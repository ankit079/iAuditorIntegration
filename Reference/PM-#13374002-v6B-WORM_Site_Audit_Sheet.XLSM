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filterPrivacy="1" codeName="ThisWorkbook" defaultThemeVersion="124226"/>
  <bookViews>
    <workbookView xWindow="360" yWindow="276" windowWidth="13392" windowHeight="7500" activeTab="2" xr2:uid="{00000000-000D-0000-FFFF-FFFF00000000}"/>
  </bookViews>
  <sheets>
    <sheet name="Sample" sheetId="1" r:id="rId1"/>
    <sheet name="sitelist" sheetId="2" state="hidden" r:id="rId2"/>
    <sheet name="Modified sitelist" sheetId="3" r:id="rId3"/>
    <sheet name="Sheet1" sheetId="4" r:id="rId4"/>
    <sheet name="Sheet2" sheetId="5" r:id="rId5"/>
    <sheet name="Sheet3" sheetId="6" state="hidden" r:id="rId6"/>
  </sheets>
  <externalReferences>
    <externalReference r:id="rId7"/>
    <externalReference r:id="rId8"/>
  </externalReferences>
  <definedNames>
    <definedName name="_xlnm._FilterDatabase" localSheetId="2" hidden="1">'Modified sitelist'!$B$1:$AG$265</definedName>
    <definedName name="AllsiteData">'Modified sitelist'!$B$1:$AM$269</definedName>
    <definedName name="AuditNum">Sheet3!$A$1:$B$265</definedName>
    <definedName name="HELVData">[1]HELVDatabase!$E$7:$AJ$1484</definedName>
    <definedName name="MainAuditNumber">'Modified sitelist'!$A$1:$B$265</definedName>
    <definedName name="PowerMeters">[2]PowerMeters!$G$1:$K$2505</definedName>
    <definedName name="_xlnm.Print_Area" localSheetId="2">'Modified sitelist'!$C$1:$H$265</definedName>
    <definedName name="_xlnm.Print_Area" localSheetId="0">Sample!$A$1:$I$112</definedName>
    <definedName name="_xlnm.Print_Titles" localSheetId="2">'Modified sitelist'!$1:$1</definedName>
    <definedName name="_xlnm.Print_Titles" localSheetId="0">Sample!$1:$1</definedName>
    <definedName name="SAPData">[1]Sewer_Pump_Stations!$B$2:$S$1807</definedName>
    <definedName name="Sitenamesonly">'Modified sitelist'!$B$2:$B$265</definedName>
    <definedName name="ViewX">[1]ViewX!$A$1:$I$59</definedName>
  </definedNames>
  <calcPr calcId="171027"/>
</workbook>
</file>

<file path=xl/calcChain.xml><?xml version="1.0" encoding="utf-8"?>
<calcChain xmlns="http://schemas.openxmlformats.org/spreadsheetml/2006/main">
  <c r="C12" i="1" l="1"/>
  <c r="C13" i="1" s="1"/>
  <c r="C14" i="1" s="1"/>
  <c r="C15" i="1" s="1"/>
  <c r="C16" i="1" s="1"/>
  <c r="C17" i="1" s="1"/>
  <c r="C18" i="1" s="1"/>
  <c r="C19" i="1" s="1"/>
  <c r="C20" i="1" s="1"/>
  <c r="C21" i="1" s="1"/>
  <c r="C22" i="1" s="1"/>
  <c r="C23" i="1" s="1"/>
  <c r="C24" i="1" s="1"/>
  <c r="C25" i="1" s="1"/>
  <c r="C26" i="1" s="1"/>
  <c r="C27" i="1" s="1"/>
  <c r="C28" i="1" s="1"/>
  <c r="C29" i="1" s="1"/>
  <c r="C30" i="1" s="1"/>
  <c r="C31" i="1" s="1"/>
  <c r="C32" i="1" l="1"/>
  <c r="C34" i="1" s="1"/>
  <c r="C35" i="1" s="1"/>
  <c r="C36" i="1" s="1"/>
  <c r="C37" i="1" s="1"/>
  <c r="C38" i="1" s="1"/>
  <c r="C39" i="1" s="1"/>
  <c r="C40" i="1" s="1"/>
  <c r="C41" i="1" s="1"/>
  <c r="C42" i="1" s="1"/>
  <c r="C33" i="1"/>
  <c r="B46" i="3"/>
  <c r="A46" i="3" s="1"/>
  <c r="B54" i="3"/>
  <c r="A54" i="3" s="1"/>
  <c r="B160" i="3"/>
  <c r="A160" i="3" s="1"/>
  <c r="B6" i="3"/>
  <c r="A6" i="3" s="1"/>
  <c r="B229" i="3"/>
  <c r="A229" i="3" s="1"/>
  <c r="B109" i="3"/>
  <c r="A109" i="3" s="1"/>
  <c r="B77" i="3"/>
  <c r="A77" i="3" s="1"/>
  <c r="B121" i="3"/>
  <c r="A121" i="3" s="1"/>
  <c r="B148" i="3"/>
  <c r="A148" i="3" s="1"/>
  <c r="B181" i="3"/>
  <c r="A181" i="3" s="1"/>
  <c r="B264" i="3"/>
  <c r="A264" i="3" s="1"/>
  <c r="B217" i="3"/>
  <c r="A217" i="3" s="1"/>
  <c r="B67" i="3"/>
  <c r="A67" i="3" s="1"/>
  <c r="B85" i="3"/>
  <c r="A85" i="3" s="1"/>
  <c r="B41" i="3"/>
  <c r="A41" i="3" s="1"/>
  <c r="B117" i="3"/>
  <c r="A117" i="3" s="1"/>
  <c r="B214" i="3"/>
  <c r="A214" i="3" s="1"/>
  <c r="B163" i="3"/>
  <c r="A163" i="3" s="1"/>
  <c r="B239" i="3"/>
  <c r="A239" i="3" s="1"/>
  <c r="B207" i="3"/>
  <c r="A207" i="3" s="1"/>
  <c r="B24" i="3"/>
  <c r="A24" i="3" s="1"/>
  <c r="B168" i="3"/>
  <c r="A168" i="3" s="1"/>
  <c r="B32" i="3"/>
  <c r="A32" i="3" s="1"/>
  <c r="B14" i="3"/>
  <c r="A14" i="3" s="1"/>
  <c r="B18" i="3"/>
  <c r="A18" i="3" s="1"/>
  <c r="B71" i="3"/>
  <c r="A71" i="3" s="1"/>
  <c r="B130" i="3"/>
  <c r="A130" i="3" s="1"/>
  <c r="B74" i="3"/>
  <c r="A74" i="3" s="1"/>
  <c r="B33" i="3"/>
  <c r="A33" i="3" s="1"/>
  <c r="B107" i="3"/>
  <c r="A107" i="3" s="1"/>
  <c r="B171" i="3"/>
  <c r="A171" i="3" s="1"/>
  <c r="B78" i="3"/>
  <c r="A78" i="3" s="1"/>
  <c r="B92" i="3"/>
  <c r="A92" i="3" s="1"/>
  <c r="B174" i="3"/>
  <c r="A174" i="3" s="1"/>
  <c r="B232" i="3"/>
  <c r="A232" i="3" s="1"/>
  <c r="B195" i="3"/>
  <c r="A195" i="3" s="1"/>
  <c r="B213" i="3"/>
  <c r="A213" i="3" s="1"/>
  <c r="B47" i="3"/>
  <c r="A47" i="3" s="1"/>
  <c r="B44" i="3"/>
  <c r="A44" i="3" s="1"/>
  <c r="B118" i="3"/>
  <c r="A118" i="3" s="1"/>
  <c r="B167" i="3"/>
  <c r="A167" i="3" s="1"/>
  <c r="B17" i="3"/>
  <c r="A17" i="3" s="1"/>
  <c r="B72" i="3"/>
  <c r="A72" i="3" s="1"/>
  <c r="B43" i="3"/>
  <c r="A43" i="3" s="1"/>
  <c r="B146" i="3"/>
  <c r="A146" i="3" s="1"/>
  <c r="B149" i="3"/>
  <c r="A149" i="3" s="1"/>
  <c r="B236" i="3"/>
  <c r="A236" i="3" s="1"/>
  <c r="B35" i="3"/>
  <c r="A35" i="3" s="1"/>
  <c r="B241" i="3"/>
  <c r="A241" i="3" s="1"/>
  <c r="B258" i="3"/>
  <c r="A258" i="3" s="1"/>
  <c r="B139" i="3"/>
  <c r="A139" i="3" s="1"/>
  <c r="B51" i="3"/>
  <c r="A51" i="3" s="1"/>
  <c r="B125" i="3"/>
  <c r="A125" i="3" s="1"/>
  <c r="B244" i="3"/>
  <c r="A244" i="3" s="1"/>
  <c r="B128" i="3"/>
  <c r="A128" i="3" s="1"/>
  <c r="B176" i="3"/>
  <c r="A176" i="3" s="1"/>
  <c r="B204" i="3"/>
  <c r="A204" i="3" s="1"/>
  <c r="B193" i="3"/>
  <c r="A193" i="3" s="1"/>
  <c r="B223" i="3"/>
  <c r="A223" i="3" s="1"/>
  <c r="B108" i="3"/>
  <c r="A108" i="3" s="1"/>
  <c r="B153" i="3"/>
  <c r="A153" i="3" s="1"/>
  <c r="B132" i="3"/>
  <c r="A132" i="3" s="1"/>
  <c r="B170" i="3"/>
  <c r="A170" i="3" s="1"/>
  <c r="B202" i="3"/>
  <c r="A202" i="3" s="1"/>
  <c r="B194" i="3"/>
  <c r="A194" i="3" s="1"/>
  <c r="B49" i="3"/>
  <c r="A49" i="3" s="1"/>
  <c r="B115" i="3"/>
  <c r="A115" i="3" s="1"/>
  <c r="B196" i="3"/>
  <c r="A196" i="3" s="1"/>
  <c r="B183" i="3"/>
  <c r="A183" i="3" s="1"/>
  <c r="B158" i="3"/>
  <c r="A158" i="3" s="1"/>
  <c r="B135" i="3"/>
  <c r="A135" i="3" s="1"/>
  <c r="B182" i="3"/>
  <c r="A182" i="3" s="1"/>
  <c r="B177" i="3"/>
  <c r="A177" i="3" s="1"/>
  <c r="B224" i="3"/>
  <c r="A224" i="3" s="1"/>
  <c r="B5" i="3"/>
  <c r="A5" i="3" s="1"/>
  <c r="B226" i="3"/>
  <c r="A226" i="3" s="1"/>
  <c r="B104" i="3"/>
  <c r="A104" i="3" s="1"/>
  <c r="B157" i="3"/>
  <c r="A157" i="3" s="1"/>
  <c r="B95" i="3"/>
  <c r="A95" i="3" s="1"/>
  <c r="B242" i="3"/>
  <c r="A242" i="3" s="1"/>
  <c r="B198" i="3"/>
  <c r="A198" i="3" s="1"/>
  <c r="B3" i="3"/>
  <c r="A3" i="3" s="1"/>
  <c r="B237" i="3"/>
  <c r="A237" i="3" s="1"/>
  <c r="B200" i="3"/>
  <c r="A200" i="3" s="1"/>
  <c r="B112" i="3"/>
  <c r="A112" i="3" s="1"/>
  <c r="B4" i="3"/>
  <c r="A4" i="3" s="1"/>
  <c r="B122" i="3"/>
  <c r="A122" i="3" s="1"/>
  <c r="B79" i="3"/>
  <c r="A79" i="3" s="1"/>
  <c r="B39" i="3"/>
  <c r="A39" i="3" s="1"/>
  <c r="B243" i="3"/>
  <c r="A243" i="3" s="1"/>
  <c r="B114" i="3"/>
  <c r="A114" i="3" s="1"/>
  <c r="B188" i="3"/>
  <c r="A188" i="3" s="1"/>
  <c r="B147" i="3"/>
  <c r="A147" i="3" s="1"/>
  <c r="B40" i="3"/>
  <c r="A40" i="3" s="1"/>
  <c r="B57" i="3"/>
  <c r="A57" i="3" s="1"/>
  <c r="B98" i="3"/>
  <c r="A98" i="3" s="1"/>
  <c r="B87" i="3"/>
  <c r="A87" i="3" s="1"/>
  <c r="B23" i="3"/>
  <c r="A23" i="3" s="1"/>
  <c r="B262" i="3"/>
  <c r="A262" i="3" s="1"/>
  <c r="B69" i="3"/>
  <c r="A69" i="3" s="1"/>
  <c r="B228" i="3"/>
  <c r="A228" i="3" s="1"/>
  <c r="B233" i="3"/>
  <c r="A233" i="3" s="1"/>
  <c r="B36" i="3"/>
  <c r="A36" i="3" s="1"/>
  <c r="B136" i="3"/>
  <c r="A136" i="3" s="1"/>
  <c r="B199" i="3"/>
  <c r="A199" i="3" s="1"/>
  <c r="B137" i="3"/>
  <c r="A137" i="3" s="1"/>
  <c r="B15" i="3"/>
  <c r="A15" i="3" s="1"/>
  <c r="B247" i="3"/>
  <c r="A247" i="3" s="1"/>
  <c r="B89" i="3"/>
  <c r="A89" i="3" s="1"/>
  <c r="B110" i="3"/>
  <c r="A110" i="3" s="1"/>
  <c r="B141" i="3"/>
  <c r="A141" i="3" s="1"/>
  <c r="B151" i="3"/>
  <c r="A151" i="3" s="1"/>
  <c r="B209" i="3"/>
  <c r="A209" i="3" s="1"/>
  <c r="B246" i="3"/>
  <c r="A246" i="3" s="1"/>
  <c r="B248" i="3"/>
  <c r="A248" i="3" s="1"/>
  <c r="B145" i="3"/>
  <c r="A145" i="3" s="1"/>
  <c r="B189" i="3"/>
  <c r="A189" i="3" s="1"/>
  <c r="B53" i="3"/>
  <c r="A53" i="3" s="1"/>
  <c r="B142" i="3"/>
  <c r="A142" i="3" s="1"/>
  <c r="B265" i="3"/>
  <c r="A265" i="3" s="1"/>
  <c r="B16" i="3"/>
  <c r="A16" i="3" s="1"/>
  <c r="B61" i="3"/>
  <c r="A61" i="3" s="1"/>
  <c r="B215" i="3"/>
  <c r="A215" i="3" s="1"/>
  <c r="B260" i="3"/>
  <c r="A260" i="3" s="1"/>
  <c r="B251" i="3"/>
  <c r="A251" i="3" s="1"/>
  <c r="B172" i="3"/>
  <c r="A172" i="3" s="1"/>
  <c r="B126" i="3"/>
  <c r="A126" i="3" s="1"/>
  <c r="B201" i="3"/>
  <c r="A201" i="3" s="1"/>
  <c r="B191" i="3"/>
  <c r="A191" i="3" s="1"/>
  <c r="B222" i="3"/>
  <c r="A222" i="3" s="1"/>
  <c r="B93" i="3"/>
  <c r="A93" i="3" s="1"/>
  <c r="B259" i="3"/>
  <c r="A259" i="3" s="1"/>
  <c r="B206" i="3"/>
  <c r="A206" i="3" s="1"/>
  <c r="B257" i="3"/>
  <c r="A257" i="3" s="1"/>
  <c r="B120" i="3"/>
  <c r="A120" i="3" s="1"/>
  <c r="B13" i="3"/>
  <c r="A13" i="3" s="1"/>
  <c r="B37" i="3"/>
  <c r="A37" i="3" s="1"/>
  <c r="B234" i="3"/>
  <c r="A234" i="3" s="1"/>
  <c r="B159" i="3"/>
  <c r="A159" i="3" s="1"/>
  <c r="B218" i="3"/>
  <c r="A218" i="3" s="1"/>
  <c r="B64" i="3"/>
  <c r="A64" i="3" s="1"/>
  <c r="B161" i="3"/>
  <c r="A161" i="3" s="1"/>
  <c r="B22" i="3"/>
  <c r="A22" i="3" s="1"/>
  <c r="B10" i="3"/>
  <c r="A10" i="3" s="1"/>
  <c r="B216" i="3"/>
  <c r="A216" i="3" s="1"/>
  <c r="B123" i="3"/>
  <c r="A123" i="3" s="1"/>
  <c r="B186" i="3"/>
  <c r="A186" i="3" s="1"/>
  <c r="B138" i="3"/>
  <c r="A138" i="3" s="1"/>
  <c r="B230" i="3"/>
  <c r="A230" i="3" s="1"/>
  <c r="B173" i="3"/>
  <c r="A173" i="3" s="1"/>
  <c r="B220" i="3"/>
  <c r="A220" i="3" s="1"/>
  <c r="B210" i="3"/>
  <c r="A210" i="3" s="1"/>
  <c r="B221" i="3"/>
  <c r="A221" i="3" s="1"/>
  <c r="B20" i="3"/>
  <c r="A20" i="3" s="1"/>
  <c r="B154" i="3"/>
  <c r="A154" i="3" s="1"/>
  <c r="B111" i="3"/>
  <c r="A111" i="3" s="1"/>
  <c r="B100" i="3"/>
  <c r="A100" i="3" s="1"/>
  <c r="B144" i="3"/>
  <c r="A144" i="3" s="1"/>
  <c r="B129" i="3"/>
  <c r="A129" i="3" s="1"/>
  <c r="B59" i="3"/>
  <c r="A59" i="3" s="1"/>
  <c r="B68" i="3"/>
  <c r="A68" i="3" s="1"/>
  <c r="B2" i="3"/>
  <c r="A2" i="3" s="1"/>
  <c r="B165" i="3"/>
  <c r="A165" i="3" s="1"/>
  <c r="B106" i="3"/>
  <c r="A106" i="3" s="1"/>
  <c r="B45" i="3"/>
  <c r="A45" i="3" s="1"/>
  <c r="B205" i="3"/>
  <c r="A205" i="3" s="1"/>
  <c r="B219" i="3"/>
  <c r="A219" i="3" s="1"/>
  <c r="B8" i="3"/>
  <c r="A8" i="3" s="1"/>
  <c r="B11" i="3"/>
  <c r="A11" i="3" s="1"/>
  <c r="B7" i="3"/>
  <c r="A7" i="3" s="1"/>
  <c r="B225" i="3"/>
  <c r="A225" i="3" s="1"/>
  <c r="B211" i="3"/>
  <c r="A211" i="3" s="1"/>
  <c r="B169" i="3"/>
  <c r="A169" i="3" s="1"/>
  <c r="B27" i="3"/>
  <c r="A27" i="3" s="1"/>
  <c r="B48" i="3"/>
  <c r="A48" i="3" s="1"/>
  <c r="B25" i="3"/>
  <c r="A25" i="3" s="1"/>
  <c r="B164" i="3"/>
  <c r="A164" i="3" s="1"/>
  <c r="B26" i="3"/>
  <c r="A26" i="3" s="1"/>
  <c r="B119" i="3"/>
  <c r="A119" i="3" s="1"/>
  <c r="B184" i="3"/>
  <c r="A184" i="3" s="1"/>
  <c r="B42" i="3"/>
  <c r="A42" i="3" s="1"/>
  <c r="B80" i="3"/>
  <c r="A80" i="3" s="1"/>
  <c r="B152" i="3"/>
  <c r="A152" i="3" s="1"/>
  <c r="B140" i="3"/>
  <c r="A140" i="3" s="1"/>
  <c r="B81" i="3"/>
  <c r="A81" i="3" s="1"/>
  <c r="B55" i="3"/>
  <c r="A55" i="3" s="1"/>
  <c r="B83" i="3"/>
  <c r="A83" i="3" s="1"/>
  <c r="B96" i="3"/>
  <c r="A96" i="3" s="1"/>
  <c r="B212" i="3"/>
  <c r="A212" i="3" s="1"/>
  <c r="B30" i="3"/>
  <c r="A30" i="3" s="1"/>
  <c r="B245" i="3"/>
  <c r="A245" i="3" s="1"/>
  <c r="B150" i="3"/>
  <c r="A150" i="3" s="1"/>
  <c r="B70" i="3"/>
  <c r="A70" i="3" s="1"/>
  <c r="B240" i="3"/>
  <c r="A240" i="3" s="1"/>
  <c r="B203" i="3"/>
  <c r="A203" i="3" s="1"/>
  <c r="B192" i="3"/>
  <c r="A192" i="3" s="1"/>
  <c r="B133" i="3"/>
  <c r="A133" i="3" s="1"/>
  <c r="B180" i="3"/>
  <c r="A180" i="3" s="1"/>
  <c r="B252" i="3"/>
  <c r="A252" i="3" s="1"/>
  <c r="B162" i="3"/>
  <c r="A162" i="3" s="1"/>
  <c r="B94" i="3"/>
  <c r="A94" i="3" s="1"/>
  <c r="B187" i="3"/>
  <c r="A187" i="3" s="1"/>
  <c r="B155" i="3"/>
  <c r="A155" i="3" s="1"/>
  <c r="B62" i="3"/>
  <c r="A62" i="3" s="1"/>
  <c r="B254" i="3"/>
  <c r="A254" i="3" s="1"/>
  <c r="B101" i="3"/>
  <c r="A101" i="3" s="1"/>
  <c r="C43" i="1" l="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B166" i="3"/>
  <c r="A166" i="3" s="1"/>
  <c r="B31" i="3"/>
  <c r="A31" i="3" s="1"/>
  <c r="B82" i="3"/>
  <c r="A82" i="3" s="1"/>
  <c r="B90" i="3"/>
  <c r="A90" i="3" s="1"/>
  <c r="B263" i="3"/>
  <c r="A263" i="3" s="1"/>
  <c r="B9" i="3"/>
  <c r="A9" i="3" s="1"/>
  <c r="C4" i="1" s="1"/>
  <c r="K1" i="1" s="1"/>
  <c r="B113" i="3"/>
  <c r="A113" i="3" s="1"/>
  <c r="B127" i="3"/>
  <c r="A127" i="3" s="1"/>
  <c r="B21" i="3"/>
  <c r="A21" i="3" s="1"/>
  <c r="B65" i="3"/>
  <c r="A65" i="3" s="1"/>
  <c r="B255" i="3"/>
  <c r="A255" i="3" s="1"/>
  <c r="B84" i="3"/>
  <c r="A84" i="3" s="1"/>
  <c r="B99" i="3"/>
  <c r="A99" i="3" s="1"/>
  <c r="B227" i="3"/>
  <c r="A227" i="3" s="1"/>
  <c r="B179" i="3"/>
  <c r="A179" i="3" s="1"/>
  <c r="B86" i="3"/>
  <c r="A86" i="3" s="1"/>
  <c r="B34" i="3"/>
  <c r="A34" i="3" s="1"/>
  <c r="B116" i="3"/>
  <c r="A116" i="3" s="1"/>
  <c r="B52" i="3"/>
  <c r="A52" i="3" s="1"/>
  <c r="B256" i="3"/>
  <c r="A256" i="3" s="1"/>
  <c r="B143" i="3"/>
  <c r="A143" i="3" s="1"/>
  <c r="B249" i="3"/>
  <c r="A249" i="3" s="1"/>
  <c r="B134" i="3"/>
  <c r="A134" i="3" s="1"/>
  <c r="B38" i="3"/>
  <c r="A38" i="3" s="1"/>
  <c r="B76" i="3"/>
  <c r="A76" i="3" s="1"/>
  <c r="B58" i="3"/>
  <c r="A58" i="3" s="1"/>
  <c r="B75" i="3"/>
  <c r="A75" i="3" s="1"/>
  <c r="B131" i="3"/>
  <c r="A131" i="3" s="1"/>
  <c r="B12" i="3"/>
  <c r="A12" i="3" s="1"/>
  <c r="B91" i="3"/>
  <c r="A91" i="3" s="1"/>
  <c r="B253" i="3"/>
  <c r="A253" i="3" s="1"/>
  <c r="B105" i="3"/>
  <c r="A105" i="3" s="1"/>
  <c r="B50" i="3"/>
  <c r="A50" i="3" s="1"/>
  <c r="B56" i="3"/>
  <c r="A56" i="3" s="1"/>
  <c r="B29" i="3"/>
  <c r="A29" i="3" s="1"/>
  <c r="B231" i="3"/>
  <c r="A231" i="3" s="1"/>
  <c r="B156" i="3"/>
  <c r="A156" i="3" s="1"/>
  <c r="B185" i="3"/>
  <c r="A185" i="3" s="1"/>
  <c r="B66" i="3"/>
  <c r="A66" i="3" s="1"/>
  <c r="B238" i="3"/>
  <c r="A238" i="3" s="1"/>
  <c r="B102" i="3"/>
  <c r="A102" i="3" s="1"/>
  <c r="B124" i="3"/>
  <c r="A124" i="3" s="1"/>
  <c r="B73" i="3"/>
  <c r="A73" i="3" s="1"/>
  <c r="B250" i="3"/>
  <c r="A250" i="3" s="1"/>
  <c r="B178" i="3"/>
  <c r="A178" i="3" s="1"/>
  <c r="B103" i="3"/>
  <c r="A103" i="3" s="1"/>
  <c r="B235" i="3"/>
  <c r="A235" i="3" s="1"/>
  <c r="B19" i="3"/>
  <c r="A19" i="3" s="1"/>
  <c r="B261" i="3"/>
  <c r="A261" i="3" s="1"/>
  <c r="B190" i="3"/>
  <c r="A190" i="3" s="1"/>
  <c r="B208" i="3"/>
  <c r="A208" i="3" s="1"/>
  <c r="B60" i="3"/>
  <c r="A60" i="3" s="1"/>
  <c r="B175" i="3"/>
  <c r="A175" i="3" s="1"/>
  <c r="B63" i="3"/>
  <c r="A63" i="3" s="1"/>
  <c r="B28" i="3"/>
  <c r="A28" i="3" s="1"/>
  <c r="B97" i="3"/>
  <c r="A97" i="3" s="1"/>
  <c r="B197" i="3"/>
  <c r="A197" i="3" s="1"/>
  <c r="B88" i="3"/>
  <c r="A88" i="3" s="1"/>
  <c r="H71" i="1" l="1"/>
  <c r="H30" i="1"/>
  <c r="H31" i="1"/>
  <c r="H110" i="1"/>
  <c r="H100" i="1"/>
  <c r="C10" i="1"/>
  <c r="C6" i="1"/>
  <c r="C5" i="1"/>
  <c r="H2" i="1"/>
  <c r="H7" i="1"/>
  <c r="H53" i="1"/>
  <c r="H109" i="1"/>
  <c r="H99" i="1"/>
  <c r="H101" i="1"/>
  <c r="C8" i="1"/>
  <c r="H102" i="1" s="1"/>
  <c r="H4" i="1"/>
  <c r="H29" i="1"/>
  <c r="H10" i="1"/>
  <c r="H6" i="1"/>
  <c r="H84" i="1"/>
  <c r="H103" i="1"/>
  <c r="H98" i="1"/>
  <c r="C9" i="1"/>
  <c r="H9" i="1"/>
  <c r="H5" i="1"/>
  <c r="H87" i="1"/>
  <c r="H97" i="1"/>
  <c r="H8" i="1"/>
  <c r="C7" i="1"/>
  <c r="C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55" authorId="0" shapeId="0" xr:uid="{00000000-0006-0000-0000-000001000000}">
      <text>
        <r>
          <rPr>
            <b/>
            <sz val="9"/>
            <color indexed="81"/>
            <rFont val="Tahoma"/>
            <family val="2"/>
          </rPr>
          <t>Author:</t>
        </r>
        <r>
          <rPr>
            <sz val="9"/>
            <color indexed="81"/>
            <rFont val="Tahoma"/>
            <family val="2"/>
          </rPr>
          <t xml:space="preserve">
Inlet or outlet</t>
        </r>
      </text>
    </comment>
    <comment ref="B59" authorId="0" shapeId="0" xr:uid="{00000000-0006-0000-0000-000002000000}">
      <text>
        <r>
          <rPr>
            <b/>
            <sz val="9"/>
            <color indexed="81"/>
            <rFont val="Tahoma"/>
            <family val="2"/>
          </rPr>
          <t>Author:</t>
        </r>
        <r>
          <rPr>
            <sz val="9"/>
            <color indexed="81"/>
            <rFont val="Tahoma"/>
            <family val="2"/>
          </rPr>
          <t xml:space="preserve">
Input voltage</t>
        </r>
      </text>
    </comment>
    <comment ref="B60" authorId="0" shapeId="0" xr:uid="{00000000-0006-0000-0000-000003000000}">
      <text>
        <r>
          <rPr>
            <b/>
            <sz val="9"/>
            <color indexed="81"/>
            <rFont val="Tahoma"/>
            <family val="2"/>
          </rPr>
          <t>Author:</t>
        </r>
        <r>
          <rPr>
            <sz val="9"/>
            <color indexed="81"/>
            <rFont val="Tahoma"/>
            <family val="2"/>
          </rPr>
          <t xml:space="preserve">
Excellent, Good, Poor, Out of Service</t>
        </r>
      </text>
    </comment>
    <comment ref="B61" authorId="0" shapeId="0" xr:uid="{00000000-0006-0000-0000-000004000000}">
      <text>
        <r>
          <rPr>
            <b/>
            <sz val="9"/>
            <color indexed="81"/>
            <rFont val="Tahoma"/>
            <family val="2"/>
          </rPr>
          <t>Author:</t>
        </r>
        <r>
          <rPr>
            <sz val="9"/>
            <color indexed="81"/>
            <rFont val="Tahoma"/>
            <family val="2"/>
          </rPr>
          <t xml:space="preserve">
Read range and voltage range</t>
        </r>
      </text>
    </comment>
    <comment ref="B62" authorId="0" shapeId="0" xr:uid="{00000000-0006-0000-0000-000005000000}">
      <text>
        <r>
          <rPr>
            <b/>
            <sz val="9"/>
            <color indexed="81"/>
            <rFont val="Tahoma"/>
            <family val="2"/>
          </rPr>
          <t>Author:</t>
        </r>
        <r>
          <rPr>
            <sz val="9"/>
            <color indexed="81"/>
            <rFont val="Tahoma"/>
            <family val="2"/>
          </rPr>
          <t xml:space="preserve">
Number, connected to what?</t>
        </r>
      </text>
    </comment>
    <comment ref="B63" authorId="0" shapeId="0" xr:uid="{00000000-0006-0000-0000-000006000000}">
      <text>
        <r>
          <rPr>
            <b/>
            <sz val="9"/>
            <color indexed="81"/>
            <rFont val="Tahoma"/>
            <family val="2"/>
          </rPr>
          <t>Author:</t>
        </r>
        <r>
          <rPr>
            <sz val="9"/>
            <color indexed="81"/>
            <rFont val="Tahoma"/>
            <family val="2"/>
          </rPr>
          <t xml:space="preserve">
Number and location. Connected to what?</t>
        </r>
      </text>
    </comment>
    <comment ref="B73" authorId="0" shapeId="0" xr:uid="{00000000-0006-0000-0000-000007000000}">
      <text>
        <r>
          <rPr>
            <b/>
            <sz val="9"/>
            <color indexed="81"/>
            <rFont val="Tahoma"/>
            <family val="2"/>
          </rPr>
          <t>Author:</t>
        </r>
        <r>
          <rPr>
            <sz val="9"/>
            <color indexed="81"/>
            <rFont val="Tahoma"/>
            <family val="2"/>
          </rPr>
          <t xml:space="preserve">
Inlet or outlet</t>
        </r>
      </text>
    </comment>
    <comment ref="B76" authorId="0" shapeId="0" xr:uid="{00000000-0006-0000-0000-000008000000}">
      <text>
        <r>
          <rPr>
            <b/>
            <sz val="9"/>
            <color indexed="81"/>
            <rFont val="Tahoma"/>
            <family val="2"/>
          </rPr>
          <t>Author:</t>
        </r>
        <r>
          <rPr>
            <sz val="9"/>
            <color indexed="81"/>
            <rFont val="Tahoma"/>
            <family val="2"/>
          </rPr>
          <t xml:space="preserve">
Excellent, Good, Poor, Out of Service</t>
        </r>
      </text>
    </comment>
    <comment ref="B77" authorId="0" shapeId="0" xr:uid="{00000000-0006-0000-0000-000009000000}">
      <text>
        <r>
          <rPr>
            <b/>
            <sz val="9"/>
            <color indexed="81"/>
            <rFont val="Tahoma"/>
            <family val="2"/>
          </rPr>
          <t>Author:</t>
        </r>
        <r>
          <rPr>
            <sz val="9"/>
            <color indexed="81"/>
            <rFont val="Tahoma"/>
            <family val="2"/>
          </rPr>
          <t xml:space="preserve">
Read range and voltage range</t>
        </r>
      </text>
    </comment>
    <comment ref="B78" authorId="0" shapeId="0" xr:uid="{00000000-0006-0000-0000-00000A000000}">
      <text>
        <r>
          <rPr>
            <b/>
            <sz val="9"/>
            <color indexed="81"/>
            <rFont val="Tahoma"/>
            <family val="2"/>
          </rPr>
          <t>Author:</t>
        </r>
        <r>
          <rPr>
            <sz val="9"/>
            <color indexed="81"/>
            <rFont val="Tahoma"/>
            <family val="2"/>
          </rPr>
          <t xml:space="preserve">
Number, connected to what?</t>
        </r>
      </text>
    </comment>
    <comment ref="B79" authorId="0" shapeId="0" xr:uid="{00000000-0006-0000-0000-00000B000000}">
      <text>
        <r>
          <rPr>
            <b/>
            <sz val="9"/>
            <color indexed="81"/>
            <rFont val="Tahoma"/>
            <family val="2"/>
          </rPr>
          <t>Author:</t>
        </r>
        <r>
          <rPr>
            <sz val="9"/>
            <color indexed="81"/>
            <rFont val="Tahoma"/>
            <family val="2"/>
          </rPr>
          <t xml:space="preserve">
Number and location. Connected to what?</t>
        </r>
      </text>
    </comment>
    <comment ref="B83" authorId="0" shapeId="0" xr:uid="{00000000-0006-0000-0000-00000C000000}">
      <text>
        <r>
          <rPr>
            <b/>
            <sz val="9"/>
            <color indexed="81"/>
            <rFont val="Tahoma"/>
            <family val="2"/>
          </rPr>
          <t>Author:</t>
        </r>
        <r>
          <rPr>
            <sz val="9"/>
            <color indexed="81"/>
            <rFont val="Tahoma"/>
            <family val="2"/>
          </rPr>
          <t xml:space="preserve">
Acceptable lengths up and downstream</t>
        </r>
      </text>
    </comment>
    <comment ref="B89" authorId="0" shapeId="0" xr:uid="{00000000-0006-0000-0000-00000D000000}">
      <text>
        <r>
          <rPr>
            <b/>
            <sz val="9"/>
            <color indexed="81"/>
            <rFont val="Tahoma"/>
            <family val="2"/>
          </rPr>
          <t>Author:</t>
        </r>
        <r>
          <rPr>
            <sz val="9"/>
            <color indexed="81"/>
            <rFont val="Tahoma"/>
            <family val="2"/>
          </rPr>
          <t xml:space="preserve">
Input voltage</t>
        </r>
      </text>
    </comment>
    <comment ref="B90" authorId="0" shapeId="0" xr:uid="{00000000-0006-0000-0000-00000E000000}">
      <text>
        <r>
          <rPr>
            <b/>
            <sz val="9"/>
            <color indexed="81"/>
            <rFont val="Tahoma"/>
            <family val="2"/>
          </rPr>
          <t>Author:</t>
        </r>
        <r>
          <rPr>
            <sz val="9"/>
            <color indexed="81"/>
            <rFont val="Tahoma"/>
            <family val="2"/>
          </rPr>
          <t xml:space="preserve">
Excellent, Good, Poor, Out of Service</t>
        </r>
      </text>
    </comment>
    <comment ref="B91" authorId="0" shapeId="0" xr:uid="{00000000-0006-0000-0000-00000F000000}">
      <text>
        <r>
          <rPr>
            <b/>
            <sz val="9"/>
            <color indexed="81"/>
            <rFont val="Tahoma"/>
            <family val="2"/>
          </rPr>
          <t>Author:</t>
        </r>
        <r>
          <rPr>
            <sz val="9"/>
            <color indexed="81"/>
            <rFont val="Tahoma"/>
            <family val="2"/>
          </rPr>
          <t xml:space="preserve">
Read range and voltage range</t>
        </r>
      </text>
    </comment>
    <comment ref="B92" authorId="0" shapeId="0" xr:uid="{00000000-0006-0000-0000-000010000000}">
      <text>
        <r>
          <rPr>
            <b/>
            <sz val="9"/>
            <color indexed="81"/>
            <rFont val="Tahoma"/>
            <family val="2"/>
          </rPr>
          <t>Author:</t>
        </r>
        <r>
          <rPr>
            <sz val="9"/>
            <color indexed="81"/>
            <rFont val="Tahoma"/>
            <family val="2"/>
          </rPr>
          <t xml:space="preserve">
Number, connected to what?</t>
        </r>
      </text>
    </comment>
    <comment ref="B93" authorId="0" shapeId="0" xr:uid="{00000000-0006-0000-0000-000011000000}">
      <text>
        <r>
          <rPr>
            <b/>
            <sz val="9"/>
            <color indexed="81"/>
            <rFont val="Tahoma"/>
            <family val="2"/>
          </rPr>
          <t>Author:</t>
        </r>
        <r>
          <rPr>
            <sz val="9"/>
            <color indexed="81"/>
            <rFont val="Tahoma"/>
            <family val="2"/>
          </rPr>
          <t xml:space="preserve">
Number and location. Connected to what?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 authorId="0" shapeId="0" xr:uid="{00000000-0006-0000-0200-000001000000}">
      <text>
        <r>
          <rPr>
            <b/>
            <sz val="9"/>
            <color rgb="FF000000"/>
            <rFont val="Tahoma"/>
            <family val="2"/>
          </rPr>
          <t>Author:</t>
        </r>
        <r>
          <rPr>
            <sz val="9"/>
            <color rgb="FF000000"/>
            <rFont val="Tahoma"/>
            <family val="2"/>
          </rPr>
          <t xml:space="preserve">
Longitude</t>
        </r>
      </text>
    </comment>
    <comment ref="M1" authorId="0" shapeId="0" xr:uid="{00000000-0006-0000-0200-000002000000}">
      <text>
        <r>
          <rPr>
            <b/>
            <sz val="9"/>
            <color rgb="FF000000"/>
            <rFont val="Tahoma"/>
            <family val="2"/>
          </rPr>
          <t>Author:</t>
        </r>
        <r>
          <rPr>
            <sz val="9"/>
            <color rgb="FF000000"/>
            <rFont val="Tahoma"/>
            <family val="2"/>
          </rPr>
          <t xml:space="preserve">
Latitude
</t>
        </r>
      </text>
    </comment>
  </commentList>
</comments>
</file>

<file path=xl/sharedStrings.xml><?xml version="1.0" encoding="utf-8"?>
<sst xmlns="http://schemas.openxmlformats.org/spreadsheetml/2006/main" count="9137" uniqueCount="3067">
  <si>
    <t>Station FL</t>
  </si>
  <si>
    <t>Station Description</t>
  </si>
  <si>
    <t>Street Address</t>
  </si>
  <si>
    <t>Power - Overhead or U/G</t>
  </si>
  <si>
    <t>Details</t>
  </si>
  <si>
    <t>Outdoor Cubicles</t>
  </si>
  <si>
    <t>Graffiti/Vandalism Damage</t>
  </si>
  <si>
    <t>Cubicle keys correct</t>
  </si>
  <si>
    <t>Fencing, Lighting</t>
  </si>
  <si>
    <t>Building/Cabinet</t>
  </si>
  <si>
    <t>Location for new panels/cabinet</t>
  </si>
  <si>
    <t>Zelemite present in existing panel</t>
  </si>
  <si>
    <t>Existing Mast</t>
  </si>
  <si>
    <t>Radio path barriers</t>
  </si>
  <si>
    <t>Existing Mast Location</t>
  </si>
  <si>
    <t>Comms Type</t>
  </si>
  <si>
    <t>Location for new mast</t>
  </si>
  <si>
    <t>As Con Markups</t>
  </si>
  <si>
    <t>Existing Flowmeter</t>
  </si>
  <si>
    <t>Flowmeter General Location</t>
  </si>
  <si>
    <t>Flowmeter Process Location</t>
  </si>
  <si>
    <t>Flowmeter Type</t>
  </si>
  <si>
    <t>Flowmeter Make</t>
  </si>
  <si>
    <t>Flowmeter Model</t>
  </si>
  <si>
    <t>Flowmeter Conditon</t>
  </si>
  <si>
    <t>Flowmeter Alarm Contacts</t>
  </si>
  <si>
    <t>Existing Pressure Transmitter</t>
  </si>
  <si>
    <t>Pressure Transmitter General Location</t>
  </si>
  <si>
    <t>Pressure Transmitter Process Location</t>
  </si>
  <si>
    <t>Pressure Transmitter Make</t>
  </si>
  <si>
    <t>Pressure Transmitter Model</t>
  </si>
  <si>
    <t>Pressure Transmitter Conditon</t>
  </si>
  <si>
    <t>Pressure Transmitter Range</t>
  </si>
  <si>
    <t>Pressure Transmitter Pipework Tapping Point</t>
  </si>
  <si>
    <t>Existing Level Transmitter</t>
  </si>
  <si>
    <t>Level Transmitter General Location</t>
  </si>
  <si>
    <t>Level Transmitter Type</t>
  </si>
  <si>
    <t>Level Transmitter Make</t>
  </si>
  <si>
    <t>Level Transmitter Model</t>
  </si>
  <si>
    <t>Level Transmitter Voltage</t>
  </si>
  <si>
    <t>Level Transmitter Conditon</t>
  </si>
  <si>
    <t>Level Transmitter Range</t>
  </si>
  <si>
    <t>Level Transmitter Alarm Contacts</t>
  </si>
  <si>
    <t>Existing Electrodes</t>
  </si>
  <si>
    <t>Existing Ademco</t>
  </si>
  <si>
    <t>Existing RTU</t>
  </si>
  <si>
    <t>Backup PSU</t>
  </si>
  <si>
    <t>Backup PSU Make</t>
  </si>
  <si>
    <t>Backup PSU Model</t>
  </si>
  <si>
    <t>General</t>
  </si>
  <si>
    <t>Comms</t>
  </si>
  <si>
    <t>Drawings</t>
  </si>
  <si>
    <t>Flowmeter</t>
  </si>
  <si>
    <t>Pressure Transmitter</t>
  </si>
  <si>
    <t>Level Transmitter</t>
  </si>
  <si>
    <t>RTUs and PLCs</t>
  </si>
  <si>
    <t>Site ID</t>
  </si>
  <si>
    <t>Area of Interest</t>
  </si>
  <si>
    <t>Results from desktop study</t>
  </si>
  <si>
    <t>Description</t>
  </si>
  <si>
    <t>Results from site visit</t>
  </si>
  <si>
    <t>AutoSave Location Exists</t>
  </si>
  <si>
    <t>AutoSave Location</t>
  </si>
  <si>
    <t>AutoSave configuration exists</t>
  </si>
  <si>
    <t>AutoSave site name</t>
  </si>
  <si>
    <t>Additional Comments</t>
  </si>
  <si>
    <t>S2003571</t>
  </si>
  <si>
    <t>SPS MUNSTER 3 MUNSTER</t>
  </si>
  <si>
    <t>S0030110</t>
  </si>
  <si>
    <t>SPS CRESSWELL RD DIANELLA</t>
  </si>
  <si>
    <t>S0033952</t>
  </si>
  <si>
    <t>SPS ARMAGH ST VICTORIA PARK</t>
  </si>
  <si>
    <t>S0030479</t>
  </si>
  <si>
    <t>SPS SEABROOKE AV ROCKINGHAM</t>
  </si>
  <si>
    <t>S0033360</t>
  </si>
  <si>
    <t>SPS ANACONDA DR GOSNELLS</t>
  </si>
  <si>
    <t>S0032795</t>
  </si>
  <si>
    <t>SPS WATERWORKS RD HAYNES</t>
  </si>
  <si>
    <t>S2017556</t>
  </si>
  <si>
    <t>SPS SAFETY BAY RD STH WARNBRO</t>
  </si>
  <si>
    <t>S0028985</t>
  </si>
  <si>
    <t>SPS FLORA ST MIDLAND</t>
  </si>
  <si>
    <t>S0033080</t>
  </si>
  <si>
    <t>SPS RICHMOND ST CANNINGTON</t>
  </si>
  <si>
    <t>S0032687</t>
  </si>
  <si>
    <t>SPS SWANBOURNE MAIN SWANBOURNE</t>
  </si>
  <si>
    <t>S0030881</t>
  </si>
  <si>
    <t>SPS CLAISEBROOK MAIN EAST PERTH</t>
  </si>
  <si>
    <t>S0033448</t>
  </si>
  <si>
    <t>SPS LILAC PL HUNTINGDALE</t>
  </si>
  <si>
    <t>S0032762</t>
  </si>
  <si>
    <t>SPS LAKE RD SEVILLE GROVE</t>
  </si>
  <si>
    <t>S0030203</t>
  </si>
  <si>
    <t>SPS SLADE ST BAYSWATER</t>
  </si>
  <si>
    <t>S0030922</t>
  </si>
  <si>
    <t>SPS PERTH CENTRAL PERTH</t>
  </si>
  <si>
    <t>S0028430</t>
  </si>
  <si>
    <t>SPS GREENPARK RD ALEXANDER HEIGHTS</t>
  </si>
  <si>
    <t>S0034046</t>
  </si>
  <si>
    <t>SPS FRANCISCO ST BELMONT</t>
  </si>
  <si>
    <t>S0044740</t>
  </si>
  <si>
    <t>SPS MURDOCH DR GREENFIELDS</t>
  </si>
  <si>
    <t>S0028629</t>
  </si>
  <si>
    <t>SPS SHELDRAKE ST STIRLING</t>
  </si>
  <si>
    <t>S0034424</t>
  </si>
  <si>
    <t>SPS RIVERMOOR LOOP RIVERTON</t>
  </si>
  <si>
    <t>S2001394</t>
  </si>
  <si>
    <t>SPS BARRAMBIE WY WHITEMAN</t>
  </si>
  <si>
    <t>S0033735</t>
  </si>
  <si>
    <t>SPS KAROONDA RD BRENTWOOD</t>
  </si>
  <si>
    <t>S0034072</t>
  </si>
  <si>
    <t>SPS HARDEY RD BELMONT</t>
  </si>
  <si>
    <t>S0033742</t>
  </si>
  <si>
    <t>SPS LE SOUEF DR KARDINYA</t>
  </si>
  <si>
    <t>S0033097</t>
  </si>
  <si>
    <t>SPS ST JOHN RD WATTLE GROVE</t>
  </si>
  <si>
    <t>S0033066</t>
  </si>
  <si>
    <t>SPS PALMERSTON ST ST JAMES</t>
  </si>
  <si>
    <t>S0029333</t>
  </si>
  <si>
    <t>SPS ARITI AV WANNEROO</t>
  </si>
  <si>
    <t>S0033574</t>
  </si>
  <si>
    <t>SPS ADRIAN ST PALMYRA</t>
  </si>
  <si>
    <t>S0033512</t>
  </si>
  <si>
    <t>SPS WITTENOOM RD HIGH WYCOMBE</t>
  </si>
  <si>
    <t>S0030035</t>
  </si>
  <si>
    <t>SPS BENARA RD EAST BEECHBORO</t>
  </si>
  <si>
    <t>S0028710</t>
  </si>
  <si>
    <t>SPS WHIPPLE ST BALCATTA</t>
  </si>
  <si>
    <t>S0033749</t>
  </si>
  <si>
    <t>SPS LEACH HWY BRENTWOOD</t>
  </si>
  <si>
    <t>S0033487</t>
  </si>
  <si>
    <t>SPS ROYAL ST KENWICK</t>
  </si>
  <si>
    <t>S0033047</t>
  </si>
  <si>
    <t>SPS MANNING RD WEST KARAWARA</t>
  </si>
  <si>
    <t>S0034106</t>
  </si>
  <si>
    <t>SPS JARMAN AV MANNING</t>
  </si>
  <si>
    <t>S0030528</t>
  </si>
  <si>
    <t>SPS NAPLES PL SECRET HARBOUR</t>
  </si>
  <si>
    <t>S0033707</t>
  </si>
  <si>
    <t>SPS GROVES AV ATTADALE</t>
  </si>
  <si>
    <t>S8003705</t>
  </si>
  <si>
    <t>SPS PEBBLE BEACH BVD MEADOW SPRINGS</t>
  </si>
  <si>
    <t>S0044725</t>
  </si>
  <si>
    <t>SPS MANDURAH TCE MANDURAH</t>
  </si>
  <si>
    <t>S0030079</t>
  </si>
  <si>
    <t>SPS BRIDGE ST GUILDFORD</t>
  </si>
  <si>
    <t>S0028441</t>
  </si>
  <si>
    <t>SPS GRINDLEFORD DR BALCATTA</t>
  </si>
  <si>
    <t>S0028341</t>
  </si>
  <si>
    <t>SPS DOG SWAMP YOKINE</t>
  </si>
  <si>
    <t>S0033419</t>
  </si>
  <si>
    <t>SPS HELM ST MADDINGTON</t>
  </si>
  <si>
    <t>S0032755</t>
  </si>
  <si>
    <t>SPS HEMINGWAY DR CAMILLO</t>
  </si>
  <si>
    <t>S0034277</t>
  </si>
  <si>
    <t>SPS COULSON WY CANNING VALE</t>
  </si>
  <si>
    <t>S0031683</t>
  </si>
  <si>
    <t>SPS DEELEY ST MAYLANDS</t>
  </si>
  <si>
    <t>S0034438</t>
  </si>
  <si>
    <t>SPS SHERMAN ST CANNING VALE</t>
  </si>
  <si>
    <t>S0045007</t>
  </si>
  <si>
    <t>SPS QUEEN PDE WANNANUP</t>
  </si>
  <si>
    <t>S2003451</t>
  </si>
  <si>
    <t>SPS CANDELLA SQ STIRLING</t>
  </si>
  <si>
    <t>S2003487</t>
  </si>
  <si>
    <t>SPS SCENIC DR WANNEROO</t>
  </si>
  <si>
    <t>S0033186</t>
  </si>
  <si>
    <t>SPS BEACH ST FREMANTLE</t>
  </si>
  <si>
    <t>S0044966</t>
  </si>
  <si>
    <t>SPS FORREST ST PINJARRA</t>
  </si>
  <si>
    <t>S0030561</t>
  </si>
  <si>
    <t>SPS SWANSON WY SECRET HARBOUR</t>
  </si>
  <si>
    <t>S0034001</t>
  </si>
  <si>
    <t>SPS BOWMAN ST SOUTH PERTH</t>
  </si>
  <si>
    <t>S0045034</t>
  </si>
  <si>
    <t>SPS CULEENUP RD NORTH YUNDERUP</t>
  </si>
  <si>
    <t>S0033305</t>
  </si>
  <si>
    <t>SPS PRESTON POINT RD EAST FREMANTLE</t>
  </si>
  <si>
    <t>S2023282</t>
  </si>
  <si>
    <t>SPS HORDERN ST VICTORIA PARK</t>
  </si>
  <si>
    <t>S0028957</t>
  </si>
  <si>
    <t>SPS CHARLES ST MIDLAND</t>
  </si>
  <si>
    <t>Electrodes and 
Float Balls</t>
  </si>
  <si>
    <t>No</t>
  </si>
  <si>
    <t>Yes</t>
  </si>
  <si>
    <t>Over head</t>
  </si>
  <si>
    <t>Under ground</t>
  </si>
  <si>
    <t>Details (if applicable):</t>
  </si>
  <si>
    <t>Is existing conduit and cable path to any existing mast OK?</t>
  </si>
  <si>
    <t>Is conduit path to any new mast OK?</t>
  </si>
  <si>
    <t>Comments:</t>
  </si>
  <si>
    <t>Q No</t>
  </si>
  <si>
    <t>Inlet</t>
  </si>
  <si>
    <t>Outlet</t>
  </si>
  <si>
    <t>Flowmeter Input Voltage</t>
  </si>
  <si>
    <t>Flowmeter Range (mA and pulse)</t>
  </si>
  <si>
    <t>Flowmeter Serial Number</t>
  </si>
  <si>
    <t>Flowmeter Diameter</t>
  </si>
  <si>
    <t>Number of
Connected to:</t>
  </si>
  <si>
    <t>Flowmeter Serial Data Connection</t>
  </si>
  <si>
    <t>Flowmeter Pipework Lengths (Approx)</t>
  </si>
  <si>
    <t>BEFORE:</t>
  </si>
  <si>
    <t>AFTER:</t>
  </si>
  <si>
    <t>Pressure Transmitter Alarm Contacts</t>
  </si>
  <si>
    <t>Pressure Transmitter Serial connection</t>
  </si>
  <si>
    <t>Ultrasonic</t>
  </si>
  <si>
    <t>Pressure</t>
  </si>
  <si>
    <t>220Vac</t>
  </si>
  <si>
    <t>24V dc</t>
  </si>
  <si>
    <t>Level Transmitter Serial connection</t>
  </si>
  <si>
    <t>Existing PLC</t>
  </si>
  <si>
    <t>Voltage</t>
  </si>
  <si>
    <t>AmpHours</t>
  </si>
  <si>
    <t>Control Selector Switches</t>
  </si>
  <si>
    <t>Suburb</t>
  </si>
  <si>
    <t>Age of site</t>
  </si>
  <si>
    <t>StreetAddress</t>
  </si>
  <si>
    <t>Postcode</t>
  </si>
  <si>
    <t>ViewX Location</t>
  </si>
  <si>
    <t>GPS Location 1</t>
  </si>
  <si>
    <t>GPS Location 2</t>
  </si>
  <si>
    <t>20 MAYOR RD</t>
  </si>
  <si>
    <t xml:space="preserve"> </t>
  </si>
  <si>
    <t>WANNEROO</t>
  </si>
  <si>
    <t>SECRET HARBOUR NE CNR OF NAPLES PL, 75M E OF LA SPEZIA DR</t>
  </si>
  <si>
    <t>CANDELLA SQ, OPP SAN REMO BLVD</t>
  </si>
  <si>
    <t>CNR OF SCENIC &amp; NEVILLE DR</t>
  </si>
  <si>
    <t>SECRET HARBOUR SWANSON WY, 110M NE OF LAUREL CT</t>
  </si>
  <si>
    <t>MUNSTER</t>
  </si>
  <si>
    <t>6166</t>
  </si>
  <si>
    <t>115.770553059</t>
  </si>
  <si>
    <t>-32.13437481</t>
  </si>
  <si>
    <t>2002</t>
  </si>
  <si>
    <t>140 CRESSWELL RD</t>
  </si>
  <si>
    <t>DIANELLA</t>
  </si>
  <si>
    <t>6059</t>
  </si>
  <si>
    <t>115.863904089</t>
  </si>
  <si>
    <t>-31.89960519</t>
  </si>
  <si>
    <t>1997</t>
  </si>
  <si>
    <t>10095 ARMAGH ST</t>
  </si>
  <si>
    <t>VICTORIA PARK</t>
  </si>
  <si>
    <t>6100</t>
  </si>
  <si>
    <t>115.887984269</t>
  </si>
  <si>
    <t>-31.969301103</t>
  </si>
  <si>
    <t>1981</t>
  </si>
  <si>
    <t>51 SEABROOKE AV</t>
  </si>
  <si>
    <t>ROCKINGHAM</t>
  </si>
  <si>
    <t>6168</t>
  </si>
  <si>
    <t>115.732664953</t>
  </si>
  <si>
    <t>-32.291935128</t>
  </si>
  <si>
    <t>1987</t>
  </si>
  <si>
    <t>2 ANACONDA DR</t>
  </si>
  <si>
    <t>GOSNELLS</t>
  </si>
  <si>
    <t>6110</t>
  </si>
  <si>
    <t>115.979393858</t>
  </si>
  <si>
    <t>-32.083563726</t>
  </si>
  <si>
    <t>1979</t>
  </si>
  <si>
    <t>66 WATERWORKS RD</t>
  </si>
  <si>
    <t>HAYNES</t>
  </si>
  <si>
    <t>6112</t>
  </si>
  <si>
    <t>115.960717546</t>
  </si>
  <si>
    <t>-32.150931818</t>
  </si>
  <si>
    <t>723 SAFETY BAY RD</t>
  </si>
  <si>
    <t>WARNBRO</t>
  </si>
  <si>
    <t>6169</t>
  </si>
  <si>
    <t>115.758452225</t>
  </si>
  <si>
    <t>-32.32634482</t>
  </si>
  <si>
    <t>2005</t>
  </si>
  <si>
    <t>3 FLORA ST</t>
  </si>
  <si>
    <t>MIDLAND</t>
  </si>
  <si>
    <t>6056</t>
  </si>
  <si>
    <t>116.005141727</t>
  </si>
  <si>
    <t>-31.882155347</t>
  </si>
  <si>
    <t>1973</t>
  </si>
  <si>
    <t>14 RICHMOND ST</t>
  </si>
  <si>
    <t>CANNINGTON</t>
  </si>
  <si>
    <t>6107</t>
  </si>
  <si>
    <t>115.934064906</t>
  </si>
  <si>
    <t>-32.019939725</t>
  </si>
  <si>
    <t>1978</t>
  </si>
  <si>
    <t>204 MARINE PDE</t>
  </si>
  <si>
    <t>SWANBOURNE</t>
  </si>
  <si>
    <t>6010</t>
  </si>
  <si>
    <t>115.754654357</t>
  </si>
  <si>
    <t>-31.972146851</t>
  </si>
  <si>
    <t>1982</t>
  </si>
  <si>
    <t>8 GIBRALTAR WAY</t>
  </si>
  <si>
    <t>EAST PERTH</t>
  </si>
  <si>
    <t>6004</t>
  </si>
  <si>
    <t>115.881486073</t>
  </si>
  <si>
    <t>-31.952903208</t>
  </si>
  <si>
    <t>1995</t>
  </si>
  <si>
    <t>13 LILAC PL</t>
  </si>
  <si>
    <t>HUNTINGDALE</t>
  </si>
  <si>
    <t>115.971530983</t>
  </si>
  <si>
    <t>-32.067547156</t>
  </si>
  <si>
    <t>1972</t>
  </si>
  <si>
    <t>10 LAKE RD</t>
  </si>
  <si>
    <t>SEVILLE GROVE</t>
  </si>
  <si>
    <t>115.976822841</t>
  </si>
  <si>
    <t>-32.141209393</t>
  </si>
  <si>
    <t>1971</t>
  </si>
  <si>
    <t>104 SLADE ST</t>
  </si>
  <si>
    <t>BAYSWATER</t>
  </si>
  <si>
    <t>6053</t>
  </si>
  <si>
    <t>115.921860512</t>
  </si>
  <si>
    <t>-31.924768815</t>
  </si>
  <si>
    <t>1993</t>
  </si>
  <si>
    <t>1 MOUNTS BAY RD</t>
  </si>
  <si>
    <t>PERTH</t>
  </si>
  <si>
    <t>6000</t>
  </si>
  <si>
    <t>115.855143678</t>
  </si>
  <si>
    <t>-31.9565217476</t>
  </si>
  <si>
    <t>233 ALEXANDER DR</t>
  </si>
  <si>
    <t>ALEXANDER HEIGHTS</t>
  </si>
  <si>
    <t>6064</t>
  </si>
  <si>
    <t>115.876377801</t>
  </si>
  <si>
    <t>-31.829609422</t>
  </si>
  <si>
    <t>1980</t>
  </si>
  <si>
    <t>131 FRANCISCO ST</t>
  </si>
  <si>
    <t>BELMONT</t>
  </si>
  <si>
    <t>6104</t>
  </si>
  <si>
    <t>115.922094055</t>
  </si>
  <si>
    <t>-31.9545350151</t>
  </si>
  <si>
    <t>65 MURDOCH DR</t>
  </si>
  <si>
    <t>GREENFIELDS</t>
  </si>
  <si>
    <t>6210</t>
  </si>
  <si>
    <t>115.75402488</t>
  </si>
  <si>
    <t>-32.530885812</t>
  </si>
  <si>
    <t>52 SHELDRAKE ST</t>
  </si>
  <si>
    <t>STIRLING</t>
  </si>
  <si>
    <t>6021</t>
  </si>
  <si>
    <t>115.804073582</t>
  </si>
  <si>
    <t>-31.8779643918</t>
  </si>
  <si>
    <t>1976</t>
  </si>
  <si>
    <t>28 RIVERMOOR LOOP</t>
  </si>
  <si>
    <t>RIVERTON</t>
  </si>
  <si>
    <t>6148</t>
  </si>
  <si>
    <t>115.903971565</t>
  </si>
  <si>
    <t>-32.034494536</t>
  </si>
  <si>
    <t>40 BARRAMBIE WAY</t>
  </si>
  <si>
    <t>WHITEMAN</t>
  </si>
  <si>
    <t>6068</t>
  </si>
  <si>
    <t>115.959958752</t>
  </si>
  <si>
    <t>-31.796460988</t>
  </si>
  <si>
    <t>1999</t>
  </si>
  <si>
    <t>2551 SICKLEMORE ST</t>
  </si>
  <si>
    <t>BRENTWOOD</t>
  </si>
  <si>
    <t>6153</t>
  </si>
  <si>
    <t>115.845000099</t>
  </si>
  <si>
    <t>-32.039497351</t>
  </si>
  <si>
    <t>1975</t>
  </si>
  <si>
    <t>76 HARDEY RD</t>
  </si>
  <si>
    <t>115.930110866</t>
  </si>
  <si>
    <t>-31.9436176294</t>
  </si>
  <si>
    <t>180 LE SOUEF DR</t>
  </si>
  <si>
    <t>KARDINYA</t>
  </si>
  <si>
    <t>6163</t>
  </si>
  <si>
    <t>115.813967662</t>
  </si>
  <si>
    <t>-32.061017363</t>
  </si>
  <si>
    <t>1983</t>
  </si>
  <si>
    <t>25 ST JOHN RD</t>
  </si>
  <si>
    <t>WATTLE GROVE</t>
  </si>
  <si>
    <t>115.98589826</t>
  </si>
  <si>
    <t>-31.994040011</t>
  </si>
  <si>
    <t>35 CHAPMAN RD</t>
  </si>
  <si>
    <t>ST JAMES</t>
  </si>
  <si>
    <t>6102</t>
  </si>
  <si>
    <t>115.912321221</t>
  </si>
  <si>
    <t>-32.004360424</t>
  </si>
  <si>
    <t>86 ARITI AV</t>
  </si>
  <si>
    <t>6065</t>
  </si>
  <si>
    <t>115.798673678</t>
  </si>
  <si>
    <t>-31.761155678</t>
  </si>
  <si>
    <t>14 ADRIAN ST</t>
  </si>
  <si>
    <t>PALMYRA</t>
  </si>
  <si>
    <t>6157</t>
  </si>
  <si>
    <t>115.782108741</t>
  </si>
  <si>
    <t>-32.039347658</t>
  </si>
  <si>
    <t>1966</t>
  </si>
  <si>
    <t>106 WITTENOOM RD</t>
  </si>
  <si>
    <t>HIGH WYCOMBE</t>
  </si>
  <si>
    <t>6057</t>
  </si>
  <si>
    <t>115.993538996</t>
  </si>
  <si>
    <t>-31.9399333942</t>
  </si>
  <si>
    <t>209 BENARA RD</t>
  </si>
  <si>
    <t>BEECHBORO</t>
  </si>
  <si>
    <t>6063</t>
  </si>
  <si>
    <t>115.952201239</t>
  </si>
  <si>
    <t>-31.875975711</t>
  </si>
  <si>
    <t>9 WHIPPLE ST</t>
  </si>
  <si>
    <t>BALCATTA</t>
  </si>
  <si>
    <t>115.807408521</t>
  </si>
  <si>
    <t>-31.862548826</t>
  </si>
  <si>
    <t>1996 LEACH HWY</t>
  </si>
  <si>
    <t>115.859127072</t>
  </si>
  <si>
    <t>-32.046431745</t>
  </si>
  <si>
    <t>29 BOYDELL RD</t>
  </si>
  <si>
    <t>KENWICK</t>
  </si>
  <si>
    <t>115.967562982</t>
  </si>
  <si>
    <t>-32.0425683414</t>
  </si>
  <si>
    <t>5 MANNING RD</t>
  </si>
  <si>
    <t>KARAWARA</t>
  </si>
  <si>
    <t>6152</t>
  </si>
  <si>
    <t>115.879135626</t>
  </si>
  <si>
    <t>-32.0116233234</t>
  </si>
  <si>
    <t>3102 JARMAN AV</t>
  </si>
  <si>
    <t>MANNING</t>
  </si>
  <si>
    <t>115.865946477</t>
  </si>
  <si>
    <t>-32.0140215275</t>
  </si>
  <si>
    <t>1950</t>
  </si>
  <si>
    <t>179 NAPLES PL</t>
  </si>
  <si>
    <t>SECRET HARBOUR</t>
  </si>
  <si>
    <t>6173</t>
  </si>
  <si>
    <t>115.759186172</t>
  </si>
  <si>
    <t>-32.400596198</t>
  </si>
  <si>
    <t>1994</t>
  </si>
  <si>
    <t>558 CANNING HWY</t>
  </si>
  <si>
    <t>ATTADALE</t>
  </si>
  <si>
    <t>6156</t>
  </si>
  <si>
    <t>115.812149083</t>
  </si>
  <si>
    <t>-32.0309336593</t>
  </si>
  <si>
    <t>1968</t>
  </si>
  <si>
    <t>35 PEBBLE BEACH BVD</t>
  </si>
  <si>
    <t>MEADOW SPRINGS</t>
  </si>
  <si>
    <t>115.749222689</t>
  </si>
  <si>
    <t>-32.492789629</t>
  </si>
  <si>
    <t>74 MANDURAH TCE</t>
  </si>
  <si>
    <t>MANDURAH</t>
  </si>
  <si>
    <t>115.720468058</t>
  </si>
  <si>
    <t>-32.528219015</t>
  </si>
  <si>
    <t>229 JAMES ST</t>
  </si>
  <si>
    <t>GUILDFORD</t>
  </si>
  <si>
    <t>6055</t>
  </si>
  <si>
    <t>115.963392377</t>
  </si>
  <si>
    <t>-31.899749192</t>
  </si>
  <si>
    <t>1939</t>
  </si>
  <si>
    <t>12 RADALJ PL</t>
  </si>
  <si>
    <t>115.82360045</t>
  </si>
  <si>
    <t>-31.885580322</t>
  </si>
  <si>
    <t>6 FARINA DR</t>
  </si>
  <si>
    <t>YOKINE</t>
  </si>
  <si>
    <t>6060</t>
  </si>
  <si>
    <t>115.846748911</t>
  </si>
  <si>
    <t>-31.910245566</t>
  </si>
  <si>
    <t>1977</t>
  </si>
  <si>
    <t>28 HELM ST</t>
  </si>
  <si>
    <t>MADDINGTON</t>
  </si>
  <si>
    <t>6109</t>
  </si>
  <si>
    <t>115.995825409</t>
  </si>
  <si>
    <t>-32.0565830147</t>
  </si>
  <si>
    <t>33 MONTROSE CIR</t>
  </si>
  <si>
    <t>CAMILLO</t>
  </si>
  <si>
    <t>6111</t>
  </si>
  <si>
    <t>116.007261767</t>
  </si>
  <si>
    <t>-32.1087721899</t>
  </si>
  <si>
    <t>1974</t>
  </si>
  <si>
    <t>23 COULSON WAY</t>
  </si>
  <si>
    <t>CANNING VALE</t>
  </si>
  <si>
    <t>6155</t>
  </si>
  <si>
    <t>115.930960823</t>
  </si>
  <si>
    <t>-32.057765884</t>
  </si>
  <si>
    <t>7124 FOURTH AVE</t>
  </si>
  <si>
    <t>MAYLANDS</t>
  </si>
  <si>
    <t>6051</t>
  </si>
  <si>
    <t>115.888616766</t>
  </si>
  <si>
    <t>-31.93594007</t>
  </si>
  <si>
    <t>14 SHERMAN ST</t>
  </si>
  <si>
    <t>115.91153974</t>
  </si>
  <si>
    <t>-32.05809188</t>
  </si>
  <si>
    <t>259 QUEEN PDE</t>
  </si>
  <si>
    <t>WANNANUP</t>
  </si>
  <si>
    <t>115.64788502</t>
  </si>
  <si>
    <t>-32.602350357</t>
  </si>
  <si>
    <t>1996</t>
  </si>
  <si>
    <t>2 CANDELLA SQ</t>
  </si>
  <si>
    <t>115.820212826</t>
  </si>
  <si>
    <t>-31.8923746484</t>
  </si>
  <si>
    <t>2003</t>
  </si>
  <si>
    <t>15 NEVILLE DR</t>
  </si>
  <si>
    <t>115.795015343</t>
  </si>
  <si>
    <t>-31.742915459</t>
  </si>
  <si>
    <t>1 JAMES ST</t>
  </si>
  <si>
    <t>FREMANTLE</t>
  </si>
  <si>
    <t>6160</t>
  </si>
  <si>
    <t>115.751149195</t>
  </si>
  <si>
    <t>-32.04645842</t>
  </si>
  <si>
    <t>1915</t>
  </si>
  <si>
    <t>74 FORREST ST</t>
  </si>
  <si>
    <t>PINJARRA</t>
  </si>
  <si>
    <t>6208</t>
  </si>
  <si>
    <t>115.87354989</t>
  </si>
  <si>
    <t>-32.62604597</t>
  </si>
  <si>
    <t>13 SWANSON WAY</t>
  </si>
  <si>
    <t>115.767362317</t>
  </si>
  <si>
    <t>-32.407348148</t>
  </si>
  <si>
    <t>2 BOWMAN ST</t>
  </si>
  <si>
    <t>SOUTH PERTH</t>
  </si>
  <si>
    <t>6151</t>
  </si>
  <si>
    <t>115.849023123</t>
  </si>
  <si>
    <t>-31.9744573486</t>
  </si>
  <si>
    <t>69 CULEENUP RD</t>
  </si>
  <si>
    <t>NORTH YUNDERUP</t>
  </si>
  <si>
    <t>115.79107504</t>
  </si>
  <si>
    <t>-32.5790878686</t>
  </si>
  <si>
    <t>6799 PRESTON POINT RD</t>
  </si>
  <si>
    <t>EAST FREMANTLE</t>
  </si>
  <si>
    <t>6158</t>
  </si>
  <si>
    <t>115.766687944</t>
  </si>
  <si>
    <t>-32.029381316</t>
  </si>
  <si>
    <t>1932</t>
  </si>
  <si>
    <t>8324 HORDERN ST</t>
  </si>
  <si>
    <t>115.887291516</t>
  </si>
  <si>
    <t>-31.969530537</t>
  </si>
  <si>
    <t>2010</t>
  </si>
  <si>
    <t>35 DUDLEY ST</t>
  </si>
  <si>
    <t>116.005224081</t>
  </si>
  <si>
    <t>-31.88303448</t>
  </si>
  <si>
    <t>1951</t>
  </si>
  <si>
    <t>Photo</t>
  </si>
  <si>
    <t xml:space="preserve">Phone number:                                                                                                             </t>
  </si>
  <si>
    <t xml:space="preserve">Make &amp; Model: </t>
  </si>
  <si>
    <t>Existing PSTN Modem</t>
  </si>
  <si>
    <r>
      <rPr>
        <b/>
        <sz val="16"/>
        <color theme="1"/>
        <rFont val="Arial"/>
        <family val="2"/>
      </rPr>
      <t>Select:</t>
    </r>
    <r>
      <rPr>
        <sz val="16"/>
        <color theme="1"/>
        <rFont val="Arial"/>
        <family val="2"/>
      </rPr>
      <t xml:space="preserve">
                            Excellent,                    Good,                  Poor,                    Out of Service</t>
    </r>
  </si>
  <si>
    <t>mA span:                                                               Pulse settings:</t>
  </si>
  <si>
    <r>
      <rPr>
        <b/>
        <sz val="16"/>
        <color theme="1"/>
        <rFont val="Arial"/>
        <family val="2"/>
      </rPr>
      <t xml:space="preserve">Select: </t>
    </r>
    <r>
      <rPr>
        <sz val="16"/>
        <color theme="1"/>
        <rFont val="Arial"/>
        <family val="2"/>
      </rPr>
      <t xml:space="preserve">                 Profibus,                  Modbus                  HART                    Analogue only</t>
    </r>
  </si>
  <si>
    <t>(* Can take photo of label in SB)</t>
  </si>
  <si>
    <t>Make and Model:</t>
  </si>
  <si>
    <t>As Con Drawing Set</t>
  </si>
  <si>
    <t>ClearSCADA site Location</t>
  </si>
  <si>
    <t>HELV</t>
  </si>
  <si>
    <t>Switchboard name</t>
  </si>
  <si>
    <t>Switchboard voltage</t>
  </si>
  <si>
    <t>Switchboard fault current rating</t>
  </si>
  <si>
    <t>Switchboard build year</t>
  </si>
  <si>
    <t>Switchboard manufacturer</t>
  </si>
  <si>
    <t>Switchboard photo front of full switchboard</t>
  </si>
  <si>
    <t>Switchboard photo  back of full switchboard</t>
  </si>
  <si>
    <t>Switchboard Supplied By (eg transformer, SB xxx)</t>
  </si>
  <si>
    <t>Supply Transformer size (kvA)</t>
  </si>
  <si>
    <t>Switchboard ID (eg MCC17, DB2, etc)</t>
  </si>
  <si>
    <t>SB Incomer Fuse</t>
  </si>
  <si>
    <t>SB Incomer CB</t>
  </si>
  <si>
    <t>Manufacturer:                                      Model:                                                      Size:</t>
  </si>
  <si>
    <t>Incomer protective device settings (in particular protection settings)</t>
  </si>
  <si>
    <t>WP Meter number</t>
  </si>
  <si>
    <t>Manufacturer:                                                                                    Size:</t>
  </si>
  <si>
    <t>UWSS</t>
  </si>
  <si>
    <t>SB Build Year</t>
  </si>
  <si>
    <t>SB Supplied By</t>
  </si>
  <si>
    <t>Elec Install FL</t>
  </si>
  <si>
    <t>SB Label</t>
  </si>
  <si>
    <t>SB Drawing No</t>
  </si>
  <si>
    <t>kVA</t>
  </si>
  <si>
    <t>HV Sup</t>
  </si>
  <si>
    <t>LV Sup</t>
  </si>
  <si>
    <t>SB Voltage</t>
  </si>
  <si>
    <t>Amps Continuous</t>
  </si>
  <si>
    <t>Fault kA</t>
  </si>
  <si>
    <t>SB No</t>
  </si>
  <si>
    <t>UWSS3</t>
  </si>
  <si>
    <t>Metro.WWC.PS.Fremantle.Munster No 3 Munster No 700-28 WWPS.Overview</t>
  </si>
  <si>
    <t>SB03105</t>
  </si>
  <si>
    <t>S2003581</t>
  </si>
  <si>
    <t>SWB SB03103 22KV WELL A</t>
  </si>
  <si>
    <t>FL46-41-1</t>
  </si>
  <si>
    <t/>
  </si>
  <si>
    <t>SB03103</t>
  </si>
  <si>
    <t>Metro.WWC.PN.Yokine.Cresswell Rd Dianella No 700-23 WWPS</t>
  </si>
  <si>
    <t>Supply Auth</t>
  </si>
  <si>
    <t>S0030121</t>
  </si>
  <si>
    <t>Main SB</t>
  </si>
  <si>
    <t>DW58-42-1</t>
  </si>
  <si>
    <t>Metro.WWC.PS.Victoria Park.Armagh St System.Overview - Comms</t>
  </si>
  <si>
    <t>#1 Transformer</t>
  </si>
  <si>
    <t>S2024313</t>
  </si>
  <si>
    <t>Armagh St 415V MCC</t>
  </si>
  <si>
    <t>IX33-40-1</t>
  </si>
  <si>
    <t>Metro.WWC.PS.Rockingham.Seabrooke Ave Rockingham No 700-16 WWPS</t>
  </si>
  <si>
    <t>S2018309</t>
  </si>
  <si>
    <t>GV17-40-1</t>
  </si>
  <si>
    <t>Metro.WWC.PS.Gosnells.Anaconda Dr Gosnells No 700-08 WWPS.Overview</t>
  </si>
  <si>
    <t>WCAux Tx</t>
  </si>
  <si>
    <t>S0033372</t>
  </si>
  <si>
    <t>Mains Changeover Switch</t>
  </si>
  <si>
    <t>AO15-40-1.1</t>
  </si>
  <si>
    <t>Metro.WWC.PS.Balannup.Waterworks Rd Haynes No 700-20 WWPS</t>
  </si>
  <si>
    <t>S0032808</t>
  </si>
  <si>
    <t>Main Incoming Cubicle</t>
  </si>
  <si>
    <t>18568-41-4</t>
  </si>
  <si>
    <t>Metro.WWC.PS.Rockingham.Safety Bay Rd South Peron No 700-29 WWPS.Overview</t>
  </si>
  <si>
    <t>Western Power</t>
  </si>
  <si>
    <t>S2018369</t>
  </si>
  <si>
    <t>HB62-40-1</t>
  </si>
  <si>
    <t>Metro.WWC.PS.Cannington.Richmond St Cannington No 700-03 WWPS</t>
  </si>
  <si>
    <t>S0028996</t>
  </si>
  <si>
    <t>MOTOR CONTROL</t>
  </si>
  <si>
    <t>S0033091</t>
  </si>
  <si>
    <t>EF03-40-3.1</t>
  </si>
  <si>
    <t>Metro.WWC.PN.Swanbourne.Swanbourne Main Swanbourne No 700-18 WWPS</t>
  </si>
  <si>
    <t>S0032694</t>
  </si>
  <si>
    <t>DM86-43-1.2</t>
  </si>
  <si>
    <t>SB1</t>
  </si>
  <si>
    <t>Metro.WWC.PN.CBD.Claisebrook East Perth No 700-04 WWPS</t>
  </si>
  <si>
    <t>Kiosk Transformer</t>
  </si>
  <si>
    <t>S0030903</t>
  </si>
  <si>
    <t>Station Switchboard (MCC)</t>
  </si>
  <si>
    <t>CO21-40-01</t>
  </si>
  <si>
    <t>Metro.WWC.PS.Gosnells.Lilac Pl Huntingdale No 068-03 WWPS</t>
  </si>
  <si>
    <t>S0033454</t>
  </si>
  <si>
    <t>10937-40-1</t>
  </si>
  <si>
    <t>Metro.WWC.PS.Armadale.Lake Rd Seville Grove No 700-21 WWPS</t>
  </si>
  <si>
    <t>SEC Supply</t>
  </si>
  <si>
    <t>S0032770</t>
  </si>
  <si>
    <t>10341-40-8</t>
  </si>
  <si>
    <t>Metro.WWC.PN.Yokine.Slade St Bayswater No 010-01 WWPS</t>
  </si>
  <si>
    <t>Transformer Kiosk</t>
  </si>
  <si>
    <t>S0030209</t>
  </si>
  <si>
    <t>Station SB</t>
  </si>
  <si>
    <t>BJ42-40-1</t>
  </si>
  <si>
    <t>Metro.WWC.PN.CBD.Perth Central Perth No 700-24 WWPS</t>
  </si>
  <si>
    <t>S2018392</t>
  </si>
  <si>
    <t>Metering Switcvhboard</t>
  </si>
  <si>
    <t>AU91-41-3</t>
  </si>
  <si>
    <t>Metro.WWC.PN.Hamersley.Greenpark Rd Alexander Heights No 007-01 WWPS</t>
  </si>
  <si>
    <t>S0028436</t>
  </si>
  <si>
    <t>16797-40-</t>
  </si>
  <si>
    <t>Metro.WWC.PS.Victoria Park.Francisco St Belmont No 012-01 WWPS</t>
  </si>
  <si>
    <t>S0034052</t>
  </si>
  <si>
    <t>08998-10-1</t>
  </si>
  <si>
    <t>Metro.WWC.Mandurah - Murray.Mandurah - Yunderup.Mandurah.Murdoch Dr No 155-22 WWPS</t>
  </si>
  <si>
    <t>Supply Authority</t>
  </si>
  <si>
    <t>S8003276</t>
  </si>
  <si>
    <t>DY16-41-5</t>
  </si>
  <si>
    <t>Metro.WWC.PN.Hamersley.Sheldrake St Stirling No 005-02 WWPS</t>
  </si>
  <si>
    <t>S0028635</t>
  </si>
  <si>
    <t>12676-40-1</t>
  </si>
  <si>
    <t>Metro.WWC.PS.Willetton.Rivermoor Loop Riverton No 081-04 WWPS</t>
  </si>
  <si>
    <t>S0034430</t>
  </si>
  <si>
    <t>ELECT INSTALL</t>
  </si>
  <si>
    <t>16867-40-3</t>
  </si>
  <si>
    <t>Metro.WWC.PN.Swan Valley.Barrambie Way Whiteman No 700-27 WWPS</t>
  </si>
  <si>
    <t>S2003398</t>
  </si>
  <si>
    <t>EU20-40-1</t>
  </si>
  <si>
    <t>Metro.WWC.PS.Melville.Karoonda Rd Brentwood No 014-02 WWPS</t>
  </si>
  <si>
    <t>S0033741</t>
  </si>
  <si>
    <t>12538-40-1</t>
  </si>
  <si>
    <t>Metro.WWC.PS.Victoria Park.Hardey Rd Belmont No 061-01 WWPS</t>
  </si>
  <si>
    <t>Transformer Room 2</t>
  </si>
  <si>
    <t>S0034078</t>
  </si>
  <si>
    <t>#1 Switchboard</t>
  </si>
  <si>
    <t>GF00-40-1</t>
  </si>
  <si>
    <t>#1</t>
  </si>
  <si>
    <t>Metro.WWC.PS.Melville.Le Souef Dr Kardinya No 038-04 WWPS</t>
  </si>
  <si>
    <t>Metro.WWC.PS.Cannington.Saint John Rd Wattle Grove No 700-06 WWPS</t>
  </si>
  <si>
    <t>S0033103</t>
  </si>
  <si>
    <t>15615-40-2</t>
  </si>
  <si>
    <t>Metro.WWC.PS.Cannington.Palmerston St Saint James No 070-08 WWPS</t>
  </si>
  <si>
    <t>S2020179</t>
  </si>
  <si>
    <t>SPD and Metering Panel</t>
  </si>
  <si>
    <t>10993-42-5</t>
  </si>
  <si>
    <t>Metro.WWC.PN.Wanneroo.Ariti Av Wanneroo No 071-01 WWPS</t>
  </si>
  <si>
    <t>S0029339</t>
  </si>
  <si>
    <t>13248-40-2</t>
  </si>
  <si>
    <t>Metro.WWC.PS.Melville.Adrian St Palmyra No 057-01 WWPS</t>
  </si>
  <si>
    <t>S0033580</t>
  </si>
  <si>
    <t>09360-40-1</t>
  </si>
  <si>
    <t>Metro.WWC.PS.High Wycombe.Wittenoom Rd High Wycombe No 047-01 WWPS</t>
  </si>
  <si>
    <t>S0033518</t>
  </si>
  <si>
    <t>17728-0-1</t>
  </si>
  <si>
    <t>Metro.WWC.PN.Yokine.Benara Rd East Beechboro No 700-05 WWPS</t>
  </si>
  <si>
    <t>S0030041</t>
  </si>
  <si>
    <t>FL26-40-1</t>
  </si>
  <si>
    <t>Metro.WWC.PN.Hamersley.Whipple St Balcatta No 005-04 WWPS</t>
  </si>
  <si>
    <t>S0028716</t>
  </si>
  <si>
    <t>13474-40-1</t>
  </si>
  <si>
    <t>Metro.WWC.PS.Melville.Leach Hwy Brentwood No 700-02 WWPS</t>
  </si>
  <si>
    <t>S0033755</t>
  </si>
  <si>
    <t>11730-10-1</t>
  </si>
  <si>
    <t>Metro.WWC.PS.Gosnells.Royal St Kenwick No 068-06 WWPS</t>
  </si>
  <si>
    <t>S0033493</t>
  </si>
  <si>
    <t>17027-40-2</t>
  </si>
  <si>
    <t>Metro.WWC.PS.Cannington.Manning Rd W Karawara No 021-01 WWPS</t>
  </si>
  <si>
    <t>S0033053</t>
  </si>
  <si>
    <t>Main Switchboard SB1</t>
  </si>
  <si>
    <t>10363-40-2</t>
  </si>
  <si>
    <t>Metro.WWC.PS.Victoria Park.Jarman Ave Manning No 065-04 WWPS</t>
  </si>
  <si>
    <t>S2020177</t>
  </si>
  <si>
    <t>EF15-41-5</t>
  </si>
  <si>
    <t>Metro.WWC.PS.Warnbro.Naples Pl Secret Harbour No 183-01 WWPS</t>
  </si>
  <si>
    <t>S0030532</t>
  </si>
  <si>
    <t>CV91-42-5</t>
  </si>
  <si>
    <t>Metro.WWC.PS.Melville.Groves Ave Attadale No 004-01 WWPS</t>
  </si>
  <si>
    <t>S0033713</t>
  </si>
  <si>
    <t>10389-40-1</t>
  </si>
  <si>
    <t>Metro.WWC.Mandurah - Murray.Mandurah - Yunderup.North Mandurah.Pebble Beach Bvd No 196-04 WWPS</t>
  </si>
  <si>
    <t>S8004000</t>
  </si>
  <si>
    <t>EM52-42-5</t>
  </si>
  <si>
    <t>Metro.WWC.Mandurah - Murray.Mandurah - Yunderup.Mandurah.Mandurah Tce No 155-01 WWPS</t>
  </si>
  <si>
    <t>Supp Auth</t>
  </si>
  <si>
    <t>S2032784</t>
  </si>
  <si>
    <t>Main Circuit Breaker Cubicle</t>
  </si>
  <si>
    <t>BX07-41-5</t>
  </si>
  <si>
    <t>Metro.WWC.PN.Yokine.Bridge St Guildford No 031-01 WWPS</t>
  </si>
  <si>
    <t>S0030085</t>
  </si>
  <si>
    <t>08336-40-3</t>
  </si>
  <si>
    <t>Metro.WWC.PN.Hamersley.Grindleford Dr Balcatta No 005-05 WWPS</t>
  </si>
  <si>
    <t>S0028447</t>
  </si>
  <si>
    <t>Switchboard SB1</t>
  </si>
  <si>
    <t>17617-40-3</t>
  </si>
  <si>
    <t>Unknown</t>
  </si>
  <si>
    <t>S0028347</t>
  </si>
  <si>
    <t>12844-40-</t>
  </si>
  <si>
    <t>Metro.WWC.PS.Gosnells.Helm St Maddington No 046-01 WWPS</t>
  </si>
  <si>
    <t>S0033425</t>
  </si>
  <si>
    <t>12267-10-1</t>
  </si>
  <si>
    <t>Metro.WWC.PS.Armadale.Hemingway Dr Westfield No 076-02 WWPS</t>
  </si>
  <si>
    <t>S0032761</t>
  </si>
  <si>
    <t>11472-40-1</t>
  </si>
  <si>
    <t>Metro.WWC.PS.Willetton.Coulson Way Canning Vale No 016-01 WWPS</t>
  </si>
  <si>
    <t>S0034283</t>
  </si>
  <si>
    <t>15417-40-1/7</t>
  </si>
  <si>
    <t>Metro.WWC.PN.Perth.Deeley St Maylands No 049-05 WWPS</t>
  </si>
  <si>
    <t>S0031689</t>
  </si>
  <si>
    <t>05972-40-1</t>
  </si>
  <si>
    <t>Metro.WWC.PS.Willetton.Sherman St Canning Vale No 016-02 WWPS</t>
  </si>
  <si>
    <t>S0034444</t>
  </si>
  <si>
    <t>15981-40-4</t>
  </si>
  <si>
    <t>S8003250</t>
  </si>
  <si>
    <t>DX92-41-5</t>
  </si>
  <si>
    <t>Metro.WWC.PN.Hamersley.Candella Sq Stirling No 005-08 WWPS</t>
  </si>
  <si>
    <t>S2003455</t>
  </si>
  <si>
    <t>FT65-41-5</t>
  </si>
  <si>
    <t>Metro.WWC.PN.Wanneroo.Scenic Dr Wanneroo No 160-02 WWPS</t>
  </si>
  <si>
    <t>S2003491</t>
  </si>
  <si>
    <t>FG46-41-5</t>
  </si>
  <si>
    <t>Metro.WWC.PS.Fremantle.Beach St Fremantle No 026-04 WWPS</t>
  </si>
  <si>
    <t>S0033192</t>
  </si>
  <si>
    <t xml:space="preserve">03076- - </t>
  </si>
  <si>
    <t>S8003856</t>
  </si>
  <si>
    <t>46483-41-5</t>
  </si>
  <si>
    <t>Metro.WWC.PS.Warnbro.Swanson Way Secret Harbour No 183-04 WWPS</t>
  </si>
  <si>
    <t>S0030565</t>
  </si>
  <si>
    <t>DW07-41-5</t>
  </si>
  <si>
    <t>Metro.WWC.PS.Victoria Park.Bowman St South Perth No 065-03 WWPS</t>
  </si>
  <si>
    <t>S0034007</t>
  </si>
  <si>
    <t>06140-10-1</t>
  </si>
  <si>
    <t>Metro.WWC.Mandurah - Murray.Mandurah - Yunderup.Yunderup.Culeenup Rd No 154-08 WWPS</t>
  </si>
  <si>
    <t>S8003234</t>
  </si>
  <si>
    <t>AV56-41-5</t>
  </si>
  <si>
    <t>Metro.WWC.PS.Fremantle.Preston Point Rd Fremantle No 026-06 WWPS</t>
  </si>
  <si>
    <t>S0033311</t>
  </si>
  <si>
    <t>08478-10-1</t>
  </si>
  <si>
    <t>Metro.WWC.PS.Victoria Park.Armagh St System.Hordern St No 070-01X WWPS</t>
  </si>
  <si>
    <t>#2 Transformer</t>
  </si>
  <si>
    <t>S2031031</t>
  </si>
  <si>
    <t>Horden St 415V MCC</t>
  </si>
  <si>
    <t>IX34-40-1</t>
  </si>
  <si>
    <t>Metro.WWC.PN.Midland.Charles St Midland No 051-01 WWPS</t>
  </si>
  <si>
    <t>S2006793</t>
  </si>
  <si>
    <t>EQ40-42-3</t>
  </si>
  <si>
    <t>Age of SwitchBoard</t>
  </si>
  <si>
    <t>SB Manufacturer</t>
  </si>
  <si>
    <t>Power Meter No</t>
  </si>
  <si>
    <t>0211000414</t>
  </si>
  <si>
    <t>0221000089</t>
  </si>
  <si>
    <t>0295000192</t>
  </si>
  <si>
    <t>0221000020</t>
  </si>
  <si>
    <t>0140000754</t>
  </si>
  <si>
    <t>0140000986</t>
  </si>
  <si>
    <t>0138000233</t>
  </si>
  <si>
    <t>0211000389</t>
  </si>
  <si>
    <t>0211000228</t>
  </si>
  <si>
    <t>0211000017</t>
  </si>
  <si>
    <t>0211000563</t>
  </si>
  <si>
    <t>0136004342</t>
  </si>
  <si>
    <t>0138000246</t>
  </si>
  <si>
    <t>0138000257</t>
  </si>
  <si>
    <t>0136001929</t>
  </si>
  <si>
    <t>0148004179</t>
  </si>
  <si>
    <t>0148004288</t>
  </si>
  <si>
    <t>0136004332</t>
  </si>
  <si>
    <t>0136004245</t>
  </si>
  <si>
    <t>0211000415</t>
  </si>
  <si>
    <t>0148002894</t>
  </si>
  <si>
    <t>0148004149</t>
  </si>
  <si>
    <t>0136004473</t>
  </si>
  <si>
    <t>0148006727</t>
  </si>
  <si>
    <t>0136005157</t>
  </si>
  <si>
    <t>0136004524</t>
  </si>
  <si>
    <t>0148004352</t>
  </si>
  <si>
    <t>0148003222</t>
  </si>
  <si>
    <t>0136004330</t>
  </si>
  <si>
    <t>0136004151</t>
  </si>
  <si>
    <t>0148004371</t>
  </si>
  <si>
    <t>0148004225</t>
  </si>
  <si>
    <t>0136005084</t>
  </si>
  <si>
    <t>002000040</t>
  </si>
  <si>
    <t>0148005769</t>
  </si>
  <si>
    <t>0136004375</t>
  </si>
  <si>
    <t>0148006016</t>
  </si>
  <si>
    <t>0136004361</t>
  </si>
  <si>
    <t>0136005919</t>
  </si>
  <si>
    <t>0148002891</t>
  </si>
  <si>
    <t>0136005974</t>
  </si>
  <si>
    <t>0148004224</t>
  </si>
  <si>
    <t>0136004350</t>
  </si>
  <si>
    <t>0136004381</t>
  </si>
  <si>
    <t>0148004169</t>
  </si>
  <si>
    <t>0148004194</t>
  </si>
  <si>
    <t>0248002544</t>
  </si>
  <si>
    <t>0136001614</t>
  </si>
  <si>
    <t>0248000020</t>
  </si>
  <si>
    <t>450M22324</t>
  </si>
  <si>
    <t>0148002191</t>
  </si>
  <si>
    <t>0148006347</t>
  </si>
  <si>
    <t>450M22322</t>
  </si>
  <si>
    <t>0116000728</t>
  </si>
  <si>
    <t>410AM40926</t>
  </si>
  <si>
    <t>000000000530004177</t>
  </si>
  <si>
    <t>heiko.weck@watercorporation.com.au</t>
  </si>
  <si>
    <t>C5!</t>
  </si>
  <si>
    <t>Duty Selector Switches</t>
  </si>
  <si>
    <t xml:space="preserve">Select:                       NextG                          PSTN                           Radio                            Other </t>
  </si>
  <si>
    <t>Mast Height:</t>
  </si>
  <si>
    <t>||</t>
  </si>
  <si>
    <t>Station name</t>
  </si>
  <si>
    <t>Category</t>
  </si>
  <si>
    <t>Other Information / Comments</t>
  </si>
  <si>
    <t>Nearest Depot</t>
  </si>
  <si>
    <t>John Chudzick NextG Done</t>
  </si>
  <si>
    <t>BlueGoldenRules</t>
  </si>
  <si>
    <t>\Metro South\Fremantle-Jandakot\Munster\WWPS - Munster PS</t>
  </si>
  <si>
    <t>E&amp;H Radar</t>
  </si>
  <si>
    <t>\Metro East\Inner East\Dianella\WWPS - Cresswell Rd</t>
  </si>
  <si>
    <t>M&amp;E Upgrade Project in ATS Stage. Has an Extra High Level Alarm Float Swtch, what is it ( Half Storage or Overflow) ?</t>
  </si>
  <si>
    <t>Hawk</t>
  </si>
  <si>
    <t>\Metro South\River Proximity\Victoria Park\WWPS - Armagh St</t>
  </si>
  <si>
    <t>Auto start, auto c/o genset onsite. Parallel pumping / VSD. Has Power Transducer's. Site alarm configuration has float switch alarms installed in different parts of the Armagh St sewer system - Inlet Chamber, Wetwell, Emerg Storage Tank.</t>
  </si>
  <si>
    <t>Siemens</t>
  </si>
  <si>
    <t>\Metro South\Rockingham-Kwinana\Rockingham\WWPS - Seabrooke Av</t>
  </si>
  <si>
    <t>Has an Extra High Level Alarm Float Switch, what is it ? Auto start auto c/o genset onsite. Parallel pumping / VSD. Has Power Transducer's</t>
  </si>
  <si>
    <t>\Metro East\South East\Gosnells\WWPS - Anaconda Dr</t>
  </si>
  <si>
    <t>Generator is manual changeover requiring High Voltage Switching &amp; 2 people while switching.</t>
  </si>
  <si>
    <t>Milltronics</t>
  </si>
  <si>
    <t>\Metro East\South East\Haynes\WWPS Waterworks Rd</t>
  </si>
  <si>
    <t>Has an Extra High Level Floatswitch, what is it ? Back Up Comms is a GSM Dialler. Stn is Parallel pumping. Has c/o switch but no plug, hard wired only.</t>
  </si>
  <si>
    <t>\Metro South\Rockingham-Kwinana\Warnbro\WWPS - Safety Bay Rd</t>
  </si>
  <si>
    <t>VSD. Has c/o switch but no plug, hard wired only. Has an Extra High Level Alarm Float Switch, what is it ?</t>
  </si>
  <si>
    <t>Pulsar</t>
  </si>
  <si>
    <t>\Metro East\Midland-Swan\Midland\WWPS - Flora St</t>
  </si>
  <si>
    <t>Genset is manual start manual c/o. M&amp;E Upgrade Project in ATS Stage</t>
  </si>
  <si>
    <t>\Metro South\River Proximity\Cannington\WWPS - Richmond St</t>
  </si>
  <si>
    <t>Genset is manual start manual c/o. Backup Comms is an Ademco Dialler. VSD's. PM Pressure Transmitter was not reinstated when the pipework in the dry well was replaced.</t>
  </si>
  <si>
    <t>\Metro North\Lower Coastal\Swanbourne\WWPS - Swanbourne Main</t>
  </si>
  <si>
    <t>Has C/O Switch but no Plug, hard wired only.</t>
  </si>
  <si>
    <t>\Metro East\Inner East\East Perth\WWPS - Nile St</t>
  </si>
  <si>
    <t>Has 2 overflow alarms - 1 overflow to storage &amp; 1 overflow to environment. 2 speed motors. Final overflow into Swan River.</t>
  </si>
  <si>
    <t>GoldenRules</t>
  </si>
  <si>
    <t>\Metro East\South East\Huntingdale\WWPS - Lilac Pl</t>
  </si>
  <si>
    <t>Has power Transducers in VSD's. Has c/o switch but no plug, hard wired only.</t>
  </si>
  <si>
    <t>\Metro East\South East\Seville Grove\WWPS - Lake Rd</t>
  </si>
  <si>
    <t>Two speed pumping / parallel pumping. Has c/o switch but no plug, hard wired only.</t>
  </si>
  <si>
    <t>\Metro East\Inner East\Bayswater\WWPS - Slade St</t>
  </si>
  <si>
    <t>\Metro East\Inner East\Perth\WWPS - Perth Central</t>
  </si>
  <si>
    <t>\Metro East\Inner East\Alexander Heights\WWPS - Greenpark Rd</t>
  </si>
  <si>
    <t>A unique RTU, now obsolete. C/O Switch Only. Backup Comms is an Ademco Dialler</t>
  </si>
  <si>
    <t>\Metro East\South East\Belmont\WWPS - Francisco St</t>
  </si>
  <si>
    <t>Backup Comms is an Ademco Dialler. Has c/o switch but no plug, hard wired only.</t>
  </si>
  <si>
    <t>\Metro South\Mandurah\Greenfields\WWPS - Murdoch Dr</t>
  </si>
  <si>
    <t>Auto start auto c/o genset onsite. M&amp;E Upgrade Project in ATS Stage</t>
  </si>
  <si>
    <t>\Metro North\Wanneroo Corridor\Stirling\WWPS - Sheldrake St</t>
  </si>
  <si>
    <t>Auto start auto c/o genset onsite. Need to confirm status as a Golden Rules site</t>
  </si>
  <si>
    <t>\Metro South\River Proximity\Riverton\WWPS - Rivermoor Loop</t>
  </si>
  <si>
    <t>\Metro East\Inner East\Whiteman\WWPS - Barrambie Wy</t>
  </si>
  <si>
    <t>Auto start auto c/o genset onsite. VSD however has been set on permanent high speed. Backup Comms is an Ademco Dialler. Has an XHL Float Switch installed at flow to storage level, what is its purpose ?</t>
  </si>
  <si>
    <t>\Metro South\River Proximity\Brentwood\WWPS - Karoonda Rd</t>
  </si>
  <si>
    <t>\Metro East\South East\Belmont\WWPS - Hardey Rd</t>
  </si>
  <si>
    <t>\Metro South\Fremantle-Jandakot\Kardinya\WWPS - Le Souef Dr</t>
  </si>
  <si>
    <t>\Metro East\South East\Wattle Grove\WWPS - St John Rd</t>
  </si>
  <si>
    <t>\Metro South\River Proximity\St James\WWPS - Palmerston St</t>
  </si>
  <si>
    <t>Has an Extra High Level Alarm Float Switch, what is it ?</t>
  </si>
  <si>
    <t>\Metro North\Wanneroo Corridor\Wanneroo\WWPS - Ariti Av</t>
  </si>
  <si>
    <t>\Metro South\River Proximity\Palmyra\WWPS - Adrian St</t>
  </si>
  <si>
    <t>\Metro East\South East\High Wycombe\WWPS - Wittenoom Rd</t>
  </si>
  <si>
    <t>Pumps North to Flora St Midland via a transition tower in Hazlemere.</t>
  </si>
  <si>
    <t>\Metro East\Inner East\Beechboro\WWPS - Benara Rd East</t>
  </si>
  <si>
    <t>Backup Comms is an Ademco Dialler</t>
  </si>
  <si>
    <t>\Metro North\Wanneroo Corridor\Balcatta\WWPS - Whipple St</t>
  </si>
  <si>
    <t>Confirm why Golden Rules site? Ademco Backup Alarm</t>
  </si>
  <si>
    <t>\Metro South\River Proximity\Brentwood\WWPS - Leach Hwy</t>
  </si>
  <si>
    <t>\Metro East\South East\Kenwick\WWPS - Royal St</t>
  </si>
  <si>
    <t>\Metro South\River Proximity\Karawara\WWPS - Manning Rd West</t>
  </si>
  <si>
    <t>\Metro South\River Proximity\Manning\WWPS - Jarman Av</t>
  </si>
  <si>
    <t>\Metro South\Rockingham-Kwinana\Secret Harbour\WWPS - Naples Pl</t>
  </si>
  <si>
    <t>\Metro South\River Proximity\Attadale\WWPS - Groves Av</t>
  </si>
  <si>
    <t>\Metro South\Mandurah\Meadow Springs\WWPS - Pebble Beach Bvd</t>
  </si>
  <si>
    <t>Has a C/O switch but no plug, hard wired only. Has an Extra High Level Alarm Float Switch, what is it ?</t>
  </si>
  <si>
    <t>\Metro South\Mandurah\Mandurah\WWPS - Mandurah Tce</t>
  </si>
  <si>
    <t>Auto start auto c/o genset onsite. Modifications required to float switches as they are near impossible to access &amp; only the High Point is in service.</t>
  </si>
  <si>
    <t>\Metro East\Midland-Swan\Guildford\WWPS - Bridge St</t>
  </si>
  <si>
    <t>Backup comms is an Ademco Dialler only. Has C/O Switch but no Plug, hard wired only.</t>
  </si>
  <si>
    <t>\Metro North\Wanneroo Corridor\Balcatta\WWPS - Grindleford Dr</t>
  </si>
  <si>
    <t>Confirm why Golden Rules site ? C/O Switch Only ?</t>
  </si>
  <si>
    <t>\Metro East\Inner East\Yokine\WWPS - Powell St</t>
  </si>
  <si>
    <t>Power supply to Drainage PS onsite is fed from SPS switchboard.</t>
  </si>
  <si>
    <t>\Metro East\South East\Maddington\WWPS - Helm St</t>
  </si>
  <si>
    <t>\Metro East\South East\Camillo\WWPS - Hemingway Dr</t>
  </si>
  <si>
    <t>\Metro South\River Proximity\Canning Vale\WWPS - Coulson Wy</t>
  </si>
  <si>
    <t>\Metro East\Inner East\Maylands\WWPS - Deeley St</t>
  </si>
  <si>
    <t>\Metro South\River Proximity\Canning Vale\WWPS - Sherman St</t>
  </si>
  <si>
    <t>\Metro South\Mandurah\Wannanup\WWPS - Queen Pde</t>
  </si>
  <si>
    <t>Only has an Ademco Dialler for Alarms.</t>
  </si>
  <si>
    <t>\Metro North\Wanneroo Corridor\Stirling\WWPS - Candella Sq</t>
  </si>
  <si>
    <t>\Metro North\Wanneroo Corridor\Wanneroo\WWPS - Scenic Dr</t>
  </si>
  <si>
    <t>\Metro South\Fremantle-Jandakot\Fremantle\WWPS - Beach St</t>
  </si>
  <si>
    <t>Backup Comms is an Ademco Dialler. Has an XHL (Extra High Level Alarm Floatswitch) is it Overflow or what ?</t>
  </si>
  <si>
    <t>\Metro South\Murray-Wellington\Pinjarra\WWPS - Forrest St</t>
  </si>
  <si>
    <t>Near River Backup Comms Required ?</t>
  </si>
  <si>
    <t>\Metro South\Rockingham-Kwinana\Secret Harbour\WWPS - Swanson Wy</t>
  </si>
  <si>
    <t>\Metro South\River Proximity\South Perth\WWPS - Bowman St</t>
  </si>
  <si>
    <t>Backup Comms is an Ademco Dialler. Has an Extra High Level Alarm Float Swtch, what is it ( Half Storage or Overflow) ?</t>
  </si>
  <si>
    <t>\Metro South\Mandurah\North Yunderup\WWPS - Culeenup Rd</t>
  </si>
  <si>
    <t xml:space="preserve">No emerg power inlet causes delay in connecting genset which has caused local house flooding several times during a power failures at this site. </t>
  </si>
  <si>
    <t>\Metro South\Fremantle-Jandakot\East Fremantle\WWPS - Preston Point Rd</t>
  </si>
  <si>
    <t>\Metro South\River Proximity\Victoria Park\WWPS - Hordern St</t>
  </si>
  <si>
    <t>Shares Genset with Armagh St, on the same site. Site alarm configuration has float switch alarms installed in different parts of the Armagh St sewer system - Inlet Chamber, Wetwell, Emerg Storage Tank.</t>
  </si>
  <si>
    <t>\Metro East\Midland-Swan\Midland\WWPS - Charles St</t>
  </si>
  <si>
    <t>Has an Extra High level Alarm Floatswitch, what is it. Has C/O Switch but no Plug, hard wired only.</t>
  </si>
  <si>
    <t>S0034213</t>
  </si>
  <si>
    <t>SPS BANNISTER RD CANNING VALE</t>
  </si>
  <si>
    <t>Alpha</t>
  </si>
  <si>
    <t>219 BANNISTER RD</t>
  </si>
  <si>
    <t>115.898345158</t>
  </si>
  <si>
    <t>-32.066886924</t>
  </si>
  <si>
    <t>S0034217</t>
  </si>
  <si>
    <t>AS69-80-2</t>
  </si>
  <si>
    <t>002101519</t>
  </si>
  <si>
    <t>Canning Vale (S)</t>
  </si>
  <si>
    <t>S0031668</t>
  </si>
  <si>
    <t>SPS CENTRAL AV MT LAWLEY</t>
  </si>
  <si>
    <t>48 FIFTH AV</t>
  </si>
  <si>
    <t>MOUNT LAWLEY</t>
  </si>
  <si>
    <t>6050</t>
  </si>
  <si>
    <t>115.882826446</t>
  </si>
  <si>
    <t>-31.926248538</t>
  </si>
  <si>
    <t>Backup alarm is an Ademco Dialler.</t>
  </si>
  <si>
    <t>S0031672</t>
  </si>
  <si>
    <t>05560-41-4</t>
  </si>
  <si>
    <t>0148001621</t>
  </si>
  <si>
    <t>Balcatta (N)</t>
  </si>
  <si>
    <t>S0033671</t>
  </si>
  <si>
    <t>SPS DUNKLEY AV APPLECROSS</t>
  </si>
  <si>
    <t>17 DUNKLEY AV</t>
  </si>
  <si>
    <t>APPLECROSS</t>
  </si>
  <si>
    <t>115.825315227</t>
  </si>
  <si>
    <t>-32.025113339</t>
  </si>
  <si>
    <t>S0033675</t>
  </si>
  <si>
    <t>BZ34-41-4</t>
  </si>
  <si>
    <t>0148003973</t>
  </si>
  <si>
    <t>S0034298</t>
  </si>
  <si>
    <t>SPS FLEETWOOD RD LYNWOOD</t>
  </si>
  <si>
    <t>2382 FLEETWOOD RD</t>
  </si>
  <si>
    <t>LYNWOOD</t>
  </si>
  <si>
    <t>6147</t>
  </si>
  <si>
    <t>115.930065297</t>
  </si>
  <si>
    <t>-32.034472541</t>
  </si>
  <si>
    <t>Has an Extra High Level Alarm Float Switch, what is it ? Backup alarm is an Ademco Dialler.</t>
  </si>
  <si>
    <t>S0034304</t>
  </si>
  <si>
    <t>0148003495</t>
  </si>
  <si>
    <t>S0032748</t>
  </si>
  <si>
    <t>SPS FORREST RD ARMADALE</t>
  </si>
  <si>
    <t>19 FORREST RD</t>
  </si>
  <si>
    <t>ARMADALE</t>
  </si>
  <si>
    <t>115.997840866</t>
  </si>
  <si>
    <t>-32.1583792963</t>
  </si>
  <si>
    <t>1967</t>
  </si>
  <si>
    <t>S0032754</t>
  </si>
  <si>
    <t>09815-40-1</t>
  </si>
  <si>
    <t>0148003186</t>
  </si>
  <si>
    <t>S0031709</t>
  </si>
  <si>
    <t>SPS HASLER RD OSBORNE PARK</t>
  </si>
  <si>
    <t>7 HASLER RD</t>
  </si>
  <si>
    <t>OSBORNE PARK</t>
  </si>
  <si>
    <t>6017</t>
  </si>
  <si>
    <t>115.805223461</t>
  </si>
  <si>
    <t>-31.9092486449</t>
  </si>
  <si>
    <t>S0031713</t>
  </si>
  <si>
    <t>AL11-40-1</t>
  </si>
  <si>
    <t>0136004123</t>
  </si>
  <si>
    <t>S0031714</t>
  </si>
  <si>
    <t>SPS HERDSMAN PDE WEMBLEY</t>
  </si>
  <si>
    <t>75 HERDSMAN PDE</t>
  </si>
  <si>
    <t>WEMBLEY</t>
  </si>
  <si>
    <t>6014</t>
  </si>
  <si>
    <t>115.812339326</t>
  </si>
  <si>
    <t>-31.92949802</t>
  </si>
  <si>
    <t>1962</t>
  </si>
  <si>
    <t>S0031720</t>
  </si>
  <si>
    <t>CI37-41-4</t>
  </si>
  <si>
    <t>0081000874</t>
  </si>
  <si>
    <t>S0034319</t>
  </si>
  <si>
    <t>SPS HIGH RD FERNDALE</t>
  </si>
  <si>
    <t>445 HIGH RD</t>
  </si>
  <si>
    <t>FERNDALE</t>
  </si>
  <si>
    <t>115.917232011</t>
  </si>
  <si>
    <t>-32.039455301</t>
  </si>
  <si>
    <t>S0034326</t>
  </si>
  <si>
    <t>14594-40-5</t>
  </si>
  <si>
    <t>0148004196</t>
  </si>
  <si>
    <t>S0033431</t>
  </si>
  <si>
    <t>SPS HOMESTEAD RD GOSNELLS</t>
  </si>
  <si>
    <t>56 HOMESTEAD RD</t>
  </si>
  <si>
    <t>115.984164345</t>
  </si>
  <si>
    <t>-32.063813404</t>
  </si>
  <si>
    <t>1991</t>
  </si>
  <si>
    <t>Backup alarm is an Ademco Dialler. Has power c/o switch but no plug, manual hard wired only.</t>
  </si>
  <si>
    <t>S0033435</t>
  </si>
  <si>
    <t>BQ01-41-5</t>
  </si>
  <si>
    <t>0148001609</t>
  </si>
  <si>
    <t>S0030159</t>
  </si>
  <si>
    <t>SPS HYLAND ST BASSENDEAN</t>
  </si>
  <si>
    <t>42 HYLAND ST</t>
  </si>
  <si>
    <t>BASSENDEAN</t>
  </si>
  <si>
    <t>6054</t>
  </si>
  <si>
    <t>115.955170346</t>
  </si>
  <si>
    <t>-31.9098212443</t>
  </si>
  <si>
    <t>1941</t>
  </si>
  <si>
    <t>S0030165</t>
  </si>
  <si>
    <t>06318-40-2</t>
  </si>
  <si>
    <t>0148004178</t>
  </si>
  <si>
    <t>S0029002</t>
  </si>
  <si>
    <t>SPS LLOYD ST NTH MIDDLE SWAN</t>
  </si>
  <si>
    <t>91 PATTERSON DR</t>
  </si>
  <si>
    <t>MIDDLE SWAN</t>
  </si>
  <si>
    <t>116.018154025</t>
  </si>
  <si>
    <t>-31.874220055</t>
  </si>
  <si>
    <t>1992</t>
  </si>
  <si>
    <t>S0029005</t>
  </si>
  <si>
    <t>BJ11-41-2</t>
  </si>
  <si>
    <t>0148004156</t>
  </si>
  <si>
    <t>S0033775</t>
  </si>
  <si>
    <t>SPS MARMION ST WEST MYAREE</t>
  </si>
  <si>
    <t>436 MARMION ST</t>
  </si>
  <si>
    <t>MYAREE</t>
  </si>
  <si>
    <t>6154</t>
  </si>
  <si>
    <t>115.811719177</t>
  </si>
  <si>
    <t>-32.039696212</t>
  </si>
  <si>
    <t>Has c/o switch but no plug, hard wired only.</t>
  </si>
  <si>
    <t>S0033780</t>
  </si>
  <si>
    <t>DY94-41-5</t>
  </si>
  <si>
    <t>0148001819</t>
  </si>
  <si>
    <t>S0032284</t>
  </si>
  <si>
    <t>SPS PARKWAY ST CRAWLEY</t>
  </si>
  <si>
    <t>1 HACKETT DR</t>
  </si>
  <si>
    <t>CRAWLEY</t>
  </si>
  <si>
    <t>6009</t>
  </si>
  <si>
    <t>115.818577803</t>
  </si>
  <si>
    <t>-31.9867641187</t>
  </si>
  <si>
    <t>1988</t>
  </si>
  <si>
    <t>Backup alarm is an Ademco dialler.</t>
  </si>
  <si>
    <t>S0032288</t>
  </si>
  <si>
    <t>05127-10-1</t>
  </si>
  <si>
    <t>0148004042</t>
  </si>
  <si>
    <t>S0034418</t>
  </si>
  <si>
    <t>SPS PURLEY CR LYNWOOD</t>
  </si>
  <si>
    <t>2464 PURLEY CR</t>
  </si>
  <si>
    <t>115.926949857</t>
  </si>
  <si>
    <t>-32.039446165</t>
  </si>
  <si>
    <t>1970</t>
  </si>
  <si>
    <t>S0034423</t>
  </si>
  <si>
    <t>Main CB Cubicle</t>
  </si>
  <si>
    <t>BT41-41-5</t>
  </si>
  <si>
    <t>0136004359</t>
  </si>
  <si>
    <t>S0033833</t>
  </si>
  <si>
    <t>SPS ROOKWOOD ST MT PLEASANT</t>
  </si>
  <si>
    <t xml:space="preserve">36 THE ESPLANADE </t>
  </si>
  <si>
    <t>MOUNT PLEASANT</t>
  </si>
  <si>
    <t>115.850852328</t>
  </si>
  <si>
    <t>-32.01702463</t>
  </si>
  <si>
    <t>S0033842</t>
  </si>
  <si>
    <t>09797-40-2</t>
  </si>
  <si>
    <t>0148004173</t>
  </si>
  <si>
    <t>S0034181</t>
  </si>
  <si>
    <t>SPS THELMA ST WEST COMO</t>
  </si>
  <si>
    <t>143 MELVILLE PDE</t>
  </si>
  <si>
    <t>COMO</t>
  </si>
  <si>
    <t>115.855999095</t>
  </si>
  <si>
    <t>-31.9960808661</t>
  </si>
  <si>
    <t>1938</t>
  </si>
  <si>
    <t>S0034187</t>
  </si>
  <si>
    <t>06305-41-2</t>
  </si>
  <si>
    <t>0148002296</t>
  </si>
  <si>
    <t>S0030235</t>
  </si>
  <si>
    <t>VPS WILKIE ST SOUTH GUILDFORD</t>
  </si>
  <si>
    <t>1 WILKIE ST</t>
  </si>
  <si>
    <t>SOUTH GUILDFORD</t>
  </si>
  <si>
    <t>115.965203055</t>
  </si>
  <si>
    <t>-31.9078137212</t>
  </si>
  <si>
    <t>This is a Vacuum PS &amp; operates differently to a normal WWPS &amp; has different alarms.</t>
  </si>
  <si>
    <t>S2000004</t>
  </si>
  <si>
    <t>CA69-41-5.1</t>
  </si>
  <si>
    <t>0148006441</t>
  </si>
  <si>
    <t>Probe</t>
  </si>
  <si>
    <t>S0030257</t>
  </si>
  <si>
    <t>SPS BARRICK RD CALISTA</t>
  </si>
  <si>
    <t>Beta</t>
  </si>
  <si>
    <t>21 BARRICK RD</t>
  </si>
  <si>
    <t>CALISTA</t>
  </si>
  <si>
    <t>6167</t>
  </si>
  <si>
    <t>115.811817322</t>
  </si>
  <si>
    <t>-32.245724715</t>
  </si>
  <si>
    <t xml:space="preserve">Has an Extra High Level Alarm FloatSwitch, what is it ? </t>
  </si>
  <si>
    <t>S0030263</t>
  </si>
  <si>
    <t>10838-10-1</t>
  </si>
  <si>
    <t>0148002673</t>
  </si>
  <si>
    <t>S2016916</t>
  </si>
  <si>
    <t>SPS MAGENTA CR BALDIVIS</t>
  </si>
  <si>
    <t>34 MAGENTA CR</t>
  </si>
  <si>
    <t>BALDIVIS</t>
  </si>
  <si>
    <t>6171</t>
  </si>
  <si>
    <t>115.822995557</t>
  </si>
  <si>
    <t>-32.3344662792</t>
  </si>
  <si>
    <t>S2017741</t>
  </si>
  <si>
    <t>GU36-42-5</t>
  </si>
  <si>
    <t>0180028454</t>
  </si>
  <si>
    <t>S0028545</t>
  </si>
  <si>
    <t>SPS MAWSON CR HILLARYS</t>
  </si>
  <si>
    <t>12 MAWSON CR</t>
  </si>
  <si>
    <t>HILLARYS</t>
  </si>
  <si>
    <t>6025</t>
  </si>
  <si>
    <t>115.749538349</t>
  </si>
  <si>
    <t>-31.804361045</t>
  </si>
  <si>
    <t>S0028551</t>
  </si>
  <si>
    <t>10865-10-1</t>
  </si>
  <si>
    <t>0148002671</t>
  </si>
  <si>
    <t>S0028223</t>
  </si>
  <si>
    <t>SPS ABBETT PARK SCARBOROUGH</t>
  </si>
  <si>
    <t>15 JOYCE ST</t>
  </si>
  <si>
    <t>SCARBOROUGH</t>
  </si>
  <si>
    <t>6019</t>
  </si>
  <si>
    <t>115.763953951</t>
  </si>
  <si>
    <t>-31.8909039198</t>
  </si>
  <si>
    <t>S2003493</t>
  </si>
  <si>
    <t>CF40-41-5</t>
  </si>
  <si>
    <t>0148006002</t>
  </si>
  <si>
    <t>S2020172</t>
  </si>
  <si>
    <t>SPS BROWNELL CR MEDINA</t>
  </si>
  <si>
    <t>84 BROWNELL CR</t>
  </si>
  <si>
    <t>MEDINA</t>
  </si>
  <si>
    <t>115.811813053</t>
  </si>
  <si>
    <t>-32.234608009</t>
  </si>
  <si>
    <t>VSD. Has c/o switch but no plug, hard wired only.</t>
  </si>
  <si>
    <t>S2023203</t>
  </si>
  <si>
    <t>IG53-40-1</t>
  </si>
  <si>
    <t>0211001360</t>
  </si>
  <si>
    <t>S0027273</t>
  </si>
  <si>
    <t>SPS DUNSCORE WY KINROSS</t>
  </si>
  <si>
    <t>10 DUNSCORE WAY</t>
  </si>
  <si>
    <t>KINROSS</t>
  </si>
  <si>
    <t>6028</t>
  </si>
  <si>
    <t>115.7404778</t>
  </si>
  <si>
    <t>-31.7252359786</t>
  </si>
  <si>
    <t>Has an Extra High Level Alarm Float Switch, what is it ? Has VSD's.</t>
  </si>
  <si>
    <t>S0027276</t>
  </si>
  <si>
    <t>BY66-41-4</t>
  </si>
  <si>
    <t>0148004973</t>
  </si>
  <si>
    <t>S0030344</t>
  </si>
  <si>
    <t>SPS EIGHTY RD NTH BALDIVIS</t>
  </si>
  <si>
    <t>35 BRIDGEMAN WAY</t>
  </si>
  <si>
    <t>115.803558542</t>
  </si>
  <si>
    <t>-32.330218598</t>
  </si>
  <si>
    <t>S0030348</t>
  </si>
  <si>
    <t>DI82-41-5</t>
  </si>
  <si>
    <t>0148006331</t>
  </si>
  <si>
    <t>S0030266</t>
  </si>
  <si>
    <t>SPS BERTRAM RD BERTRAM</t>
  </si>
  <si>
    <t>61 BERTRAM RD</t>
  </si>
  <si>
    <t>BERTRAM</t>
  </si>
  <si>
    <t>115.835060066</t>
  </si>
  <si>
    <t>-32.25142273</t>
  </si>
  <si>
    <t>1989</t>
  </si>
  <si>
    <t>S0030270</t>
  </si>
  <si>
    <t>BQ89-42-5</t>
  </si>
  <si>
    <t>0136000726</t>
  </si>
  <si>
    <t>S0028683</t>
  </si>
  <si>
    <t>SPS VICTORIA RD WEST MALAGA</t>
  </si>
  <si>
    <t>13 VICTORIA RD</t>
  </si>
  <si>
    <t>MALAGA</t>
  </si>
  <si>
    <t>6090</t>
  </si>
  <si>
    <t>115.891907768</t>
  </si>
  <si>
    <t>-31.8618228802</t>
  </si>
  <si>
    <t>S0028686</t>
  </si>
  <si>
    <t>AU18-40-1</t>
  </si>
  <si>
    <t>0211000391</t>
  </si>
  <si>
    <t>S0032277</t>
  </si>
  <si>
    <t>SPS KINGSTON ST NEDLANDS</t>
  </si>
  <si>
    <t>6 KINGSTON ST</t>
  </si>
  <si>
    <t>NEDLANDS</t>
  </si>
  <si>
    <t>115.81360811</t>
  </si>
  <si>
    <t>-31.9654697989</t>
  </si>
  <si>
    <t>1929</t>
  </si>
  <si>
    <t>S0032283</t>
  </si>
  <si>
    <t xml:space="preserve">05258- - </t>
  </si>
  <si>
    <t>0148002889</t>
  </si>
  <si>
    <t>S0029348</t>
  </si>
  <si>
    <t>SPS WARRADALE TCE LANDSDALE</t>
  </si>
  <si>
    <t>25 WARRADALE TCE</t>
  </si>
  <si>
    <t>LANDSDALE</t>
  </si>
  <si>
    <t>115.863832095</t>
  </si>
  <si>
    <t>-31.802634668</t>
  </si>
  <si>
    <t>Simple Scada site.</t>
  </si>
  <si>
    <t>S2003568</t>
  </si>
  <si>
    <t>CZ43-41-5</t>
  </si>
  <si>
    <t>0102000187</t>
  </si>
  <si>
    <t>S0044800</t>
  </si>
  <si>
    <t>SPS WANJEEP ST NTH COODANUP</t>
  </si>
  <si>
    <t>155 WANJEEP ST</t>
  </si>
  <si>
    <t>COODANUP</t>
  </si>
  <si>
    <t>115.755019187</t>
  </si>
  <si>
    <t>-32.544626136</t>
  </si>
  <si>
    <t>S8003191</t>
  </si>
  <si>
    <t>IJ30-41-5</t>
  </si>
  <si>
    <t>000000000348000717</t>
  </si>
  <si>
    <t>Mandurah (M)</t>
  </si>
  <si>
    <t>S2019040</t>
  </si>
  <si>
    <t>SPS WANNEROO RD NEERABUP</t>
  </si>
  <si>
    <t>1511 WANNEROO RD</t>
  </si>
  <si>
    <t>NEERABUP</t>
  </si>
  <si>
    <t>6031</t>
  </si>
  <si>
    <t>115.77477188</t>
  </si>
  <si>
    <t>-31.70837218</t>
  </si>
  <si>
    <t>2008</t>
  </si>
  <si>
    <t>Has c/o switch but no plug, hard wired only. Electrical locks are not EL2 or Bilock keyed but use a local tool available onsite to open cubicles.</t>
  </si>
  <si>
    <t>S2023066</t>
  </si>
  <si>
    <t>IK16-41-2</t>
  </si>
  <si>
    <t>0211001048</t>
  </si>
  <si>
    <t>S0032970</t>
  </si>
  <si>
    <t>SPS DUBS CL FORRESTFIELD</t>
  </si>
  <si>
    <t>21 DUBS CL</t>
  </si>
  <si>
    <t>FORRESTFIELD</t>
  </si>
  <si>
    <t>6058</t>
  </si>
  <si>
    <t>115.98319663</t>
  </si>
  <si>
    <t>-31.968705051</t>
  </si>
  <si>
    <t>1998</t>
  </si>
  <si>
    <t>Simple Scada Site. Has c/o switch but no plug, hard wired only.</t>
  </si>
  <si>
    <t>S0032974</t>
  </si>
  <si>
    <t>EJ46-41-5</t>
  </si>
  <si>
    <t>0081000101</t>
  </si>
  <si>
    <t>S2005320</t>
  </si>
  <si>
    <t>SPS DRIVER RD DARCH</t>
  </si>
  <si>
    <t>31 DRIVER RD</t>
  </si>
  <si>
    <t>DARCH</t>
  </si>
  <si>
    <t>115.848919647</t>
  </si>
  <si>
    <t>-31.8105539389</t>
  </si>
  <si>
    <t>S2005324</t>
  </si>
  <si>
    <t>FX55-41-5</t>
  </si>
  <si>
    <t>0148006375</t>
  </si>
  <si>
    <t>S0031702</t>
  </si>
  <si>
    <t>SPS HARBORNE ST OSBORNE PARK</t>
  </si>
  <si>
    <t>90 WALTERS DR</t>
  </si>
  <si>
    <t>115.818250439</t>
  </si>
  <si>
    <t>-31.9156395419</t>
  </si>
  <si>
    <t>1965</t>
  </si>
  <si>
    <t>S0031708</t>
  </si>
  <si>
    <t>09897-40-2</t>
  </si>
  <si>
    <t>0148004329</t>
  </si>
  <si>
    <t>S0028390</t>
  </si>
  <si>
    <t>SPS CRESSBROOK WY CARINE</t>
  </si>
  <si>
    <t>55 CRESSBROOK WAY</t>
  </si>
  <si>
    <t>CARINE</t>
  </si>
  <si>
    <t>6020</t>
  </si>
  <si>
    <t>115.765150341</t>
  </si>
  <si>
    <t>-31.847816464</t>
  </si>
  <si>
    <t>S0028396</t>
  </si>
  <si>
    <t>14919-40-1</t>
  </si>
  <si>
    <t>0081000899</t>
  </si>
  <si>
    <t>S0033336</t>
  </si>
  <si>
    <t>SPS TROODE ST SPEARWOOD</t>
  </si>
  <si>
    <t>50 TROODE ST</t>
  </si>
  <si>
    <t>SPEARWOOD</t>
  </si>
  <si>
    <t>115.778404976</t>
  </si>
  <si>
    <t>-32.120099004</t>
  </si>
  <si>
    <t>1986</t>
  </si>
  <si>
    <t>Simple Scada Only</t>
  </si>
  <si>
    <t>S0033340</t>
  </si>
  <si>
    <t>AU03-41-4</t>
  </si>
  <si>
    <t>0081000115</t>
  </si>
  <si>
    <t>S2018428</t>
  </si>
  <si>
    <t>SPS WRIGHT RD PIARA WATERS</t>
  </si>
  <si>
    <t>956 WRIGHT RD</t>
  </si>
  <si>
    <t>PIARA WATERS</t>
  </si>
  <si>
    <t>115.91760533</t>
  </si>
  <si>
    <t>-32.12502728</t>
  </si>
  <si>
    <t>S2023136</t>
  </si>
  <si>
    <t>IA25-41-5</t>
  </si>
  <si>
    <t>000000000136006216</t>
  </si>
  <si>
    <t>S0030092</t>
  </si>
  <si>
    <t>SPS CHEDWORTH WY EDEN HILL</t>
  </si>
  <si>
    <t>11 CHEDWORTH WAY</t>
  </si>
  <si>
    <t>EDEN HILL</t>
  </si>
  <si>
    <t>115.945060364</t>
  </si>
  <si>
    <t>-31.890989397</t>
  </si>
  <si>
    <t>Only has an Ademco Alarm Dialler as alarm system.</t>
  </si>
  <si>
    <t>S0030098</t>
  </si>
  <si>
    <t>14175-40-1</t>
  </si>
  <si>
    <t>0148002665</t>
  </si>
  <si>
    <t>S0029341</t>
  </si>
  <si>
    <t>SPS ROGERS WY LANDSDALE</t>
  </si>
  <si>
    <t>26 ROGERS WAY</t>
  </si>
  <si>
    <t>115.846271104</t>
  </si>
  <si>
    <t>-31.802822908</t>
  </si>
  <si>
    <t>S0029347</t>
  </si>
  <si>
    <t>14287-40-3</t>
  </si>
  <si>
    <t>0148002881</t>
  </si>
  <si>
    <t>S0033210</t>
  </si>
  <si>
    <t>SPS ESSEX ST FREMANTLE</t>
  </si>
  <si>
    <t>1589 MARINE TCE</t>
  </si>
  <si>
    <t>115.746457983</t>
  </si>
  <si>
    <t>-32.058159815</t>
  </si>
  <si>
    <t>1985</t>
  </si>
  <si>
    <t>S0033216</t>
  </si>
  <si>
    <t xml:space="preserve">14648- - </t>
  </si>
  <si>
    <t>002101465</t>
  </si>
  <si>
    <t>S0028691</t>
  </si>
  <si>
    <t>SPS WARRIGAL WY GREENWOOD</t>
  </si>
  <si>
    <t>14 WARRIGAL WAY</t>
  </si>
  <si>
    <t>GREENWOOD</t>
  </si>
  <si>
    <t>6024</t>
  </si>
  <si>
    <t>115.792978247</t>
  </si>
  <si>
    <t>-31.824919907</t>
  </si>
  <si>
    <t>S0028697</t>
  </si>
  <si>
    <t>11350-10-1</t>
  </si>
  <si>
    <t>0148002878</t>
  </si>
  <si>
    <t>S2019216</t>
  </si>
  <si>
    <t>SPS FELTBUSH MEWS CANNING VALE</t>
  </si>
  <si>
    <t>852 NICHOLSON RD</t>
  </si>
  <si>
    <t>115.920475896</t>
  </si>
  <si>
    <t>-32.0784346446</t>
  </si>
  <si>
    <t>2011</t>
  </si>
  <si>
    <t>S2022033</t>
  </si>
  <si>
    <t>IV79-40-1</t>
  </si>
  <si>
    <t>0214000327</t>
  </si>
  <si>
    <t>S0029137</t>
  </si>
  <si>
    <t>SPS ROSSLARE PROM MINDARIE</t>
  </si>
  <si>
    <t>24 ROSSLARE PROM</t>
  </si>
  <si>
    <t>MINDARIE</t>
  </si>
  <si>
    <t>6030</t>
  </si>
  <si>
    <t>115.700694516</t>
  </si>
  <si>
    <t>-31.6858040072</t>
  </si>
  <si>
    <t>VSD</t>
  </si>
  <si>
    <t>S0029140</t>
  </si>
  <si>
    <t>BH65-41-2</t>
  </si>
  <si>
    <t>0148002890</t>
  </si>
  <si>
    <t>S0030514</t>
  </si>
  <si>
    <t>SPS ENDEAVOUR DR PORT KENNEDY</t>
  </si>
  <si>
    <t>6 WARNBRO SOUND AV</t>
  </si>
  <si>
    <t>PORT KENNEDY</t>
  </si>
  <si>
    <t>6172</t>
  </si>
  <si>
    <t>115.754932733</t>
  </si>
  <si>
    <t>-32.368703824</t>
  </si>
  <si>
    <t>S0030518</t>
  </si>
  <si>
    <t>CI05-42-3</t>
  </si>
  <si>
    <t>0148006011</t>
  </si>
  <si>
    <t>S0028325</t>
  </si>
  <si>
    <t>SPS DAMPIER AV KALLAROO</t>
  </si>
  <si>
    <t>275 DAMPIER AV</t>
  </si>
  <si>
    <t>KALLAROO</t>
  </si>
  <si>
    <t>115.748864125</t>
  </si>
  <si>
    <t>-31.7951822277</t>
  </si>
  <si>
    <t>S0028331</t>
  </si>
  <si>
    <t xml:space="preserve">11428- - </t>
  </si>
  <si>
    <t>0148002885</t>
  </si>
  <si>
    <t>S2016968</t>
  </si>
  <si>
    <t>SPS LYON RD AUBIN GROVE</t>
  </si>
  <si>
    <t>37 AUBIN GROVE LINK</t>
  </si>
  <si>
    <t>AUBIN GROVE</t>
  </si>
  <si>
    <t>6164</t>
  </si>
  <si>
    <t>115.86125101</t>
  </si>
  <si>
    <t>-32.16173221</t>
  </si>
  <si>
    <t>2006</t>
  </si>
  <si>
    <t>Overflow Float Switch is a remote alarm at the OF point.</t>
  </si>
  <si>
    <t>S2019193</t>
  </si>
  <si>
    <t>GX13-41-5</t>
  </si>
  <si>
    <t>0380008430</t>
  </si>
  <si>
    <t>S0034237</t>
  </si>
  <si>
    <t>SPS CAMPBELL RD CANNING VALE</t>
  </si>
  <si>
    <t>122 CAMPBELL RD</t>
  </si>
  <si>
    <t>115.932065704</t>
  </si>
  <si>
    <t>-32.088238322</t>
  </si>
  <si>
    <t>Only has an Ademco Alarm Dialler as alarm system. Has an Extra High Level Alarm Float Switch, what is it ?</t>
  </si>
  <si>
    <t>S0034241</t>
  </si>
  <si>
    <t>DS42-41-5</t>
  </si>
  <si>
    <t>0148006283</t>
  </si>
  <si>
    <t>S0033700</t>
  </si>
  <si>
    <t>SPS FORREST ST PALMYRA</t>
  </si>
  <si>
    <t>241 FORREST ST</t>
  </si>
  <si>
    <t>115.791835605</t>
  </si>
  <si>
    <t>-32.048337006</t>
  </si>
  <si>
    <t>Simple Scada Site. Has c/o switch but no plug, hard wired only. Overflow Basin.</t>
  </si>
  <si>
    <t>S0033706</t>
  </si>
  <si>
    <t>09615-40-1</t>
  </si>
  <si>
    <t>0148006678</t>
  </si>
  <si>
    <t>S0038055</t>
  </si>
  <si>
    <t>SPS WORDSWORTH AV YOKINE</t>
  </si>
  <si>
    <t>83 WORDSWORTH AV</t>
  </si>
  <si>
    <t>115.862333311</t>
  </si>
  <si>
    <t>-31.907315904</t>
  </si>
  <si>
    <t>S0038059</t>
  </si>
  <si>
    <t>ED51-41-5</t>
  </si>
  <si>
    <t>0148002462</t>
  </si>
  <si>
    <t>S0030028</t>
  </si>
  <si>
    <t>SPS BEECHBORO RD MORLEY</t>
  </si>
  <si>
    <t>737 BEECHBORO RDN</t>
  </si>
  <si>
    <t>MORLEY</t>
  </si>
  <si>
    <t>6062</t>
  </si>
  <si>
    <t>115.925453859</t>
  </si>
  <si>
    <t>-31.881646374</t>
  </si>
  <si>
    <t>S0030034</t>
  </si>
  <si>
    <t>17548-40-3</t>
  </si>
  <si>
    <t>0102000522</t>
  </si>
  <si>
    <t>S0030419</t>
  </si>
  <si>
    <t>SPS ELANORA DR COOLOONGUP</t>
  </si>
  <si>
    <t>4 ELANORA DR</t>
  </si>
  <si>
    <t>COOLOONGUP</t>
  </si>
  <si>
    <t>115.766410055</t>
  </si>
  <si>
    <t>-32.292882066</t>
  </si>
  <si>
    <t>S2023285</t>
  </si>
  <si>
    <t>14519-41-5</t>
  </si>
  <si>
    <t>0148006207</t>
  </si>
  <si>
    <t>S0032851</t>
  </si>
  <si>
    <t>SPS GLENBAWN DR SOUTH LAKE</t>
  </si>
  <si>
    <t>225 GLENBAWN DR</t>
  </si>
  <si>
    <t>SOUTH LAKE</t>
  </si>
  <si>
    <t>115.834908134</t>
  </si>
  <si>
    <t>-32.110584032</t>
  </si>
  <si>
    <t>1984</t>
  </si>
  <si>
    <t>S0032857</t>
  </si>
  <si>
    <t>18251-41-3</t>
  </si>
  <si>
    <t>0081000010</t>
  </si>
  <si>
    <t>S0029100</t>
  </si>
  <si>
    <t>SPS BALTIMORE PDE MERRIWA</t>
  </si>
  <si>
    <t>163 BALTIMORE PDE</t>
  </si>
  <si>
    <t>MERRIWA</t>
  </si>
  <si>
    <t>115.71423707</t>
  </si>
  <si>
    <t>-31.66102313</t>
  </si>
  <si>
    <t>S0029103</t>
  </si>
  <si>
    <t>BQ79-333-0</t>
  </si>
  <si>
    <t>0148002904</t>
  </si>
  <si>
    <t>S0032836</t>
  </si>
  <si>
    <t>SPS BRENCHLEY DR ATWELL</t>
  </si>
  <si>
    <t>432 BRENCHLEY DR</t>
  </si>
  <si>
    <t>ATWELL</t>
  </si>
  <si>
    <t>115.861746514</t>
  </si>
  <si>
    <t>-32.140849691</t>
  </si>
  <si>
    <t>Has an Extra High Level Alarm Float Switch. What is it ?</t>
  </si>
  <si>
    <t>S0032840</t>
  </si>
  <si>
    <t>DH07-41-5</t>
  </si>
  <si>
    <t>0148006113</t>
  </si>
  <si>
    <t>S0030122</t>
  </si>
  <si>
    <t>SPS CROYDON ST DIANELLA</t>
  </si>
  <si>
    <t>353 COODE ST</t>
  </si>
  <si>
    <t>115.886108355</t>
  </si>
  <si>
    <t>-31.897174232</t>
  </si>
  <si>
    <t>S0030126</t>
  </si>
  <si>
    <t>18185-41-5</t>
  </si>
  <si>
    <t>0248000177</t>
  </si>
  <si>
    <t>S0029118</t>
  </si>
  <si>
    <t>SPS CONNOLLY DR CLARKSON</t>
  </si>
  <si>
    <t>650 CONNOLLY DR</t>
  </si>
  <si>
    <t>CLARKSON</t>
  </si>
  <si>
    <t>115.727795939</t>
  </si>
  <si>
    <t>-31.6881964665</t>
  </si>
  <si>
    <t>IM17-40-1</t>
  </si>
  <si>
    <t>0211000983</t>
  </si>
  <si>
    <t>S0030152</t>
  </si>
  <si>
    <t>SPS HOLMESDALE RD WOODBRIDGE</t>
  </si>
  <si>
    <t>38 HOLMESDALE RD</t>
  </si>
  <si>
    <t>WOODBRIDGE</t>
  </si>
  <si>
    <t>115.991445541</t>
  </si>
  <si>
    <t>-31.892868567</t>
  </si>
  <si>
    <t>1955</t>
  </si>
  <si>
    <t>S2020176</t>
  </si>
  <si>
    <t>GN55-41-5</t>
  </si>
  <si>
    <t>450M22357</t>
  </si>
  <si>
    <t>S2000016</t>
  </si>
  <si>
    <t>SPS BENNETT AV HAMILTON HILL</t>
  </si>
  <si>
    <t>1946 ROLLINSON RD</t>
  </si>
  <si>
    <t>NORTH COOGEE</t>
  </si>
  <si>
    <t>115.756639898</t>
  </si>
  <si>
    <t>-32.082674545</t>
  </si>
  <si>
    <t>Has an Extra High Level Alarm Float Switch, what is it ? Has c/o switch but no plug, hard wired only. Backup alarm is an Ademco dialler. Has an Overflow Tank not self draining, has to be pumped out.</t>
  </si>
  <si>
    <t>S2000287</t>
  </si>
  <si>
    <t>08927-40-2</t>
  </si>
  <si>
    <t>0136004410</t>
  </si>
  <si>
    <t>S0033945</t>
  </si>
  <si>
    <t>SPS ABERNETHY RD ASCOT</t>
  </si>
  <si>
    <t>Gamma</t>
  </si>
  <si>
    <t>633 GREAT EASTERN HWY</t>
  </si>
  <si>
    <t>ASCOT</t>
  </si>
  <si>
    <t>115.918613909</t>
  </si>
  <si>
    <t>-31.947075234</t>
  </si>
  <si>
    <t>S0033951</t>
  </si>
  <si>
    <t>14079-40-1</t>
  </si>
  <si>
    <t>000000000148003116</t>
  </si>
  <si>
    <t>S0031642</t>
  </si>
  <si>
    <t>SPS ALBERT ST NORTH PERTH</t>
  </si>
  <si>
    <t>53 ALBERT ST</t>
  </si>
  <si>
    <t>NORTH PERTH</t>
  </si>
  <si>
    <t>6006</t>
  </si>
  <si>
    <t>115.850754826</t>
  </si>
  <si>
    <t>-31.930042934</t>
  </si>
  <si>
    <t>1952</t>
  </si>
  <si>
    <t>S0031648</t>
  </si>
  <si>
    <t>09714-40-1</t>
  </si>
  <si>
    <t>0350008515</t>
  </si>
  <si>
    <t>S0033581</t>
  </si>
  <si>
    <t>SPS ALDRIDGE RD BOORAGOON</t>
  </si>
  <si>
    <t>55 ALDRIDGE RD</t>
  </si>
  <si>
    <t>BOORAGOON</t>
  </si>
  <si>
    <t>115.842027786</t>
  </si>
  <si>
    <t>-32.043181499</t>
  </si>
  <si>
    <t>S0033587</t>
  </si>
  <si>
    <t>12979-40-1</t>
  </si>
  <si>
    <t>450M22332</t>
  </si>
  <si>
    <t>S0033355</t>
  </si>
  <si>
    <t>SPS ALLOA ST MADDINGTON</t>
  </si>
  <si>
    <t>1 LOWER PARK RD</t>
  </si>
  <si>
    <t>115.98548813</t>
  </si>
  <si>
    <t>-32.044460097</t>
  </si>
  <si>
    <t>S0033359</t>
  </si>
  <si>
    <t>14399-41-5</t>
  </si>
  <si>
    <t>002101290</t>
  </si>
  <si>
    <t>S0033967</t>
  </si>
  <si>
    <t>SPS ASCOT PL ASCOT</t>
  </si>
  <si>
    <t>10913 ASCOT PL</t>
  </si>
  <si>
    <t>115.928869191</t>
  </si>
  <si>
    <t>-31.9325131667</t>
  </si>
  <si>
    <t>S0033971</t>
  </si>
  <si>
    <t>18184-40-1</t>
  </si>
  <si>
    <t>450M22328</t>
  </si>
  <si>
    <t>S0033378</t>
  </si>
  <si>
    <t>SPS ASTLEY ST GOSNELLS</t>
  </si>
  <si>
    <t>100 ASTLEY ST</t>
  </si>
  <si>
    <t>116.00959528</t>
  </si>
  <si>
    <t>-32.0770401028</t>
  </si>
  <si>
    <t>S0033382</t>
  </si>
  <si>
    <t>18455-40-1</t>
  </si>
  <si>
    <t>0350043753</t>
  </si>
  <si>
    <t>S0031649</t>
  </si>
  <si>
    <t>SPS BARNET ST NORTH PERTH</t>
  </si>
  <si>
    <t>26 BARNET ST</t>
  </si>
  <si>
    <t>115.847510494</t>
  </si>
  <si>
    <t>-31.930993014</t>
  </si>
  <si>
    <t>1953</t>
  </si>
  <si>
    <t>S0031653</t>
  </si>
  <si>
    <t>07529-40-1</t>
  </si>
  <si>
    <t>410M103818</t>
  </si>
  <si>
    <t>S0033383</t>
  </si>
  <si>
    <t>SPS BAXTER CL HUNTINGDALE</t>
  </si>
  <si>
    <t>64 BAXTER CL</t>
  </si>
  <si>
    <t>115.971164873</t>
  </si>
  <si>
    <t>-32.0871265234</t>
  </si>
  <si>
    <t>S0033387</t>
  </si>
  <si>
    <t>CD24-42-3</t>
  </si>
  <si>
    <t>0148001611</t>
  </si>
  <si>
    <t>S2023290</t>
  </si>
  <si>
    <t>SPS BENNETT ST CAVERSHAM</t>
  </si>
  <si>
    <t>18 BENNETT ST</t>
  </si>
  <si>
    <t>CAVERSHAM</t>
  </si>
  <si>
    <t>115.96046186</t>
  </si>
  <si>
    <t>-31.87420825</t>
  </si>
  <si>
    <t>2015</t>
  </si>
  <si>
    <t>S0034218</t>
  </si>
  <si>
    <t>SPS BERYL AV SHELLEY</t>
  </si>
  <si>
    <t>2 BERYL AV</t>
  </si>
  <si>
    <t>SHELLEY</t>
  </si>
  <si>
    <t>115.886951221</t>
  </si>
  <si>
    <t>-32.025110698</t>
  </si>
  <si>
    <t>S0034222</t>
  </si>
  <si>
    <t>CJ77-41-4</t>
  </si>
  <si>
    <t>450M22333</t>
  </si>
  <si>
    <t>S0030052</t>
  </si>
  <si>
    <t>SPS BEST WY BASSENDEAN</t>
  </si>
  <si>
    <t>27 IVESON PL</t>
  </si>
  <si>
    <t>115.947248251</t>
  </si>
  <si>
    <t>-31.9163210246</t>
  </si>
  <si>
    <t>S0030058</t>
  </si>
  <si>
    <t>11516-41-4</t>
  </si>
  <si>
    <t>000000000530001905</t>
  </si>
  <si>
    <t>S0033987</t>
  </si>
  <si>
    <t>SPS BICKLEY ST COMO</t>
  </si>
  <si>
    <t>9 CASSEY ST</t>
  </si>
  <si>
    <t>115.856105369</t>
  </si>
  <si>
    <t>-32.007954752</t>
  </si>
  <si>
    <t>S0033993</t>
  </si>
  <si>
    <t xml:space="preserve">09640- - </t>
  </si>
  <si>
    <t>450M22320</t>
  </si>
  <si>
    <t>S0031982</t>
  </si>
  <si>
    <t>SPS BISHOP RILEY WY CHURCHLANDS</t>
  </si>
  <si>
    <t>20 BISHOP RILEY WAY</t>
  </si>
  <si>
    <t>CHURCHLANDS</t>
  </si>
  <si>
    <t>6018</t>
  </si>
  <si>
    <t>115.799281095</t>
  </si>
  <si>
    <t>-31.914594909</t>
  </si>
  <si>
    <t>S0031985</t>
  </si>
  <si>
    <t>CC87-41-5</t>
  </si>
  <si>
    <t>450M22335</t>
  </si>
  <si>
    <t>S0033600</t>
  </si>
  <si>
    <t>SPS BLACKWALL REACH PDE BICTON</t>
  </si>
  <si>
    <t>11245 BLACKWALL REACH PDE</t>
  </si>
  <si>
    <t>BICTON</t>
  </si>
  <si>
    <t>115.778548876</t>
  </si>
  <si>
    <t>-32.026968594</t>
  </si>
  <si>
    <t>S0033606</t>
  </si>
  <si>
    <t>09614-40-1</t>
  </si>
  <si>
    <t>0148001628</t>
  </si>
  <si>
    <t>S0034223</t>
  </si>
  <si>
    <t>SPS BROOKMAN AV LANGFORD</t>
  </si>
  <si>
    <t>3 BROOKMAN AV</t>
  </si>
  <si>
    <t>LANGFORD</t>
  </si>
  <si>
    <t>115.935742818</t>
  </si>
  <si>
    <t>-32.036111415</t>
  </si>
  <si>
    <t>S0034229</t>
  </si>
  <si>
    <t>11655-9-7</t>
  </si>
  <si>
    <t>0148001619</t>
  </si>
  <si>
    <t>S0032736</t>
  </si>
  <si>
    <t>SPS BROOKSIDE AV KELMSCOTT</t>
  </si>
  <si>
    <t>32 BROOKSIDE AV</t>
  </si>
  <si>
    <t>KELMSCOTT</t>
  </si>
  <si>
    <t>116.016801495</t>
  </si>
  <si>
    <t>-32.1070323093</t>
  </si>
  <si>
    <t>S0032742</t>
  </si>
  <si>
    <t>10839-10-1</t>
  </si>
  <si>
    <t>450M2000515</t>
  </si>
  <si>
    <t>S0030086</t>
  </si>
  <si>
    <t>SPS BROOKSIDE GDNS CAVERSHAM</t>
  </si>
  <si>
    <t>12444 BROOKSIDE GDNS</t>
  </si>
  <si>
    <t>115.954678086</t>
  </si>
  <si>
    <t>-31.861662988</t>
  </si>
  <si>
    <t>S2003509</t>
  </si>
  <si>
    <t>DG37-41-2</t>
  </si>
  <si>
    <t>410M172555</t>
  </si>
  <si>
    <t>S2003221</t>
  </si>
  <si>
    <t>SPS BROOKTON HWY KELMSCOTT</t>
  </si>
  <si>
    <t>70 BROOKTON HWY</t>
  </si>
  <si>
    <t>116.024973931</t>
  </si>
  <si>
    <t>-32.1297484697</t>
  </si>
  <si>
    <t>2000</t>
  </si>
  <si>
    <t>S2003225</t>
  </si>
  <si>
    <t>EJ35-41-5</t>
  </si>
  <si>
    <t>410M202553</t>
  </si>
  <si>
    <t>S0033146</t>
  </si>
  <si>
    <t>SPS BRUCE ST NORTH FREMANTLE</t>
  </si>
  <si>
    <t>484 STIRLING HWY</t>
  </si>
  <si>
    <t>NORTH FREMANTLE</t>
  </si>
  <si>
    <t>6159</t>
  </si>
  <si>
    <t>115.758270709</t>
  </si>
  <si>
    <t>-32.0386097937</t>
  </si>
  <si>
    <t>S0033150</t>
  </si>
  <si>
    <t>DV60-41-5</t>
  </si>
  <si>
    <t>450M22331</t>
  </si>
  <si>
    <t>S0033607</t>
  </si>
  <si>
    <t>SPS BURKE DR ATTADALE</t>
  </si>
  <si>
    <t>11543 BURKE DR</t>
  </si>
  <si>
    <t>115.811639367</t>
  </si>
  <si>
    <t>-32.022494927</t>
  </si>
  <si>
    <t>S0033613</t>
  </si>
  <si>
    <t>11150-40-1</t>
  </si>
  <si>
    <t>450M22334</t>
  </si>
  <si>
    <t>S0031661</t>
  </si>
  <si>
    <t>SPS CALEDONIAN AV MAYLANDS</t>
  </si>
  <si>
    <t>257 GUILDFORD RD</t>
  </si>
  <si>
    <t>115.897733901</t>
  </si>
  <si>
    <t>-31.9287065273</t>
  </si>
  <si>
    <t>1937</t>
  </si>
  <si>
    <t>S0031667</t>
  </si>
  <si>
    <t>05847-10-1</t>
  </si>
  <si>
    <t>410M96868</t>
  </si>
  <si>
    <t>S0032743</t>
  </si>
  <si>
    <t>SPS CAMMILLO RD KELMSCOTT</t>
  </si>
  <si>
    <t>179 CAMMILLO RD</t>
  </si>
  <si>
    <t>116.008524244</t>
  </si>
  <si>
    <t>-32.1178987848</t>
  </si>
  <si>
    <t>S0032747</t>
  </si>
  <si>
    <t>14993-40-3</t>
  </si>
  <si>
    <t>0148001665</t>
  </si>
  <si>
    <t>S0034242</t>
  </si>
  <si>
    <t>SPS CAMSELL WY FERNDALE</t>
  </si>
  <si>
    <t>25 CAMSELL WAY</t>
  </si>
  <si>
    <t>115.933411593</t>
  </si>
  <si>
    <t>-32.024396861</t>
  </si>
  <si>
    <t>S0034248</t>
  </si>
  <si>
    <t>13195-4-11</t>
  </si>
  <si>
    <t>0148001122</t>
  </si>
  <si>
    <t>S0033614</t>
  </si>
  <si>
    <t>SPS CANNING BEACH RD APPLECROSS</t>
  </si>
  <si>
    <t>60 CANNING BEACH RD</t>
  </si>
  <si>
    <t>115.850101053</t>
  </si>
  <si>
    <t>-32.009884767</t>
  </si>
  <si>
    <t>S0033618</t>
  </si>
  <si>
    <t>09795-40-1</t>
  </si>
  <si>
    <t>0148001660</t>
  </si>
  <si>
    <t>S2018322</t>
  </si>
  <si>
    <t>SPS CAPORN ST MOSMAN PARK</t>
  </si>
  <si>
    <t>8 CAPORN ST</t>
  </si>
  <si>
    <t>MOSMAN PARK</t>
  </si>
  <si>
    <t>6012</t>
  </si>
  <si>
    <t>115.779542173</t>
  </si>
  <si>
    <t>-32.0183596996</t>
  </si>
  <si>
    <t>S2019241</t>
  </si>
  <si>
    <t>HT92-41-5</t>
  </si>
  <si>
    <t>0280001807</t>
  </si>
  <si>
    <t>S0028288</t>
  </si>
  <si>
    <t>SPS CARENIUP AV GWELUP</t>
  </si>
  <si>
    <t>20 CARENIUP AV</t>
  </si>
  <si>
    <t>GWELUP</t>
  </si>
  <si>
    <t>115.795461103</t>
  </si>
  <si>
    <t>-31.860875422</t>
  </si>
  <si>
    <t>S2003512</t>
  </si>
  <si>
    <t>CY83-41-4</t>
  </si>
  <si>
    <t>0081000696</t>
  </si>
  <si>
    <t>S0030876</t>
  </si>
  <si>
    <t>SPS CAUSEWAY EAST PERTH</t>
  </si>
  <si>
    <t>1 ADELAIDE TCE</t>
  </si>
  <si>
    <t>115.876049365</t>
  </si>
  <si>
    <t>-31.961833912</t>
  </si>
  <si>
    <t>S0030880</t>
  </si>
  <si>
    <t>BS02-41-3</t>
  </si>
  <si>
    <t>002000045</t>
  </si>
  <si>
    <t>S0033619</t>
  </si>
  <si>
    <t>SPS CHALMERS PL LEEMING</t>
  </si>
  <si>
    <t>4 CHALMERS PL</t>
  </si>
  <si>
    <t>LEEMING</t>
  </si>
  <si>
    <t>6149</t>
  </si>
  <si>
    <t>115.859808183</t>
  </si>
  <si>
    <t>-32.069414437</t>
  </si>
  <si>
    <t>S0033625</t>
  </si>
  <si>
    <t>15521-40-4</t>
  </si>
  <si>
    <t>002101280</t>
  </si>
  <si>
    <t>S2001428</t>
  </si>
  <si>
    <t>SPS CHENIN LANE THE VINES</t>
  </si>
  <si>
    <t>456 CHENIN LANE</t>
  </si>
  <si>
    <t>THE VINES</t>
  </si>
  <si>
    <t>6069</t>
  </si>
  <si>
    <t>116.015280477</t>
  </si>
  <si>
    <t>-31.76634648</t>
  </si>
  <si>
    <t>S2003459</t>
  </si>
  <si>
    <t>FP19-41-1</t>
  </si>
  <si>
    <t>410M149495</t>
  </si>
  <si>
    <t>None</t>
  </si>
  <si>
    <t>S0032964</t>
  </si>
  <si>
    <t>SPS CHISHOLM CR KEWDALE</t>
  </si>
  <si>
    <t>121 CHISHOLM CR</t>
  </si>
  <si>
    <t>KEWDALE</t>
  </si>
  <si>
    <t>6105</t>
  </si>
  <si>
    <t>115.980461692</t>
  </si>
  <si>
    <t>-31.992577131</t>
  </si>
  <si>
    <t>S0032968</t>
  </si>
  <si>
    <t>BR08-41-1</t>
  </si>
  <si>
    <t>0102000658</t>
  </si>
  <si>
    <t>S0034270</t>
  </si>
  <si>
    <t>SPS CONISTON WY FERNDALE</t>
  </si>
  <si>
    <t>57 CONISTON WAY</t>
  </si>
  <si>
    <t>115.918785319</t>
  </si>
  <si>
    <t>-32.032024223</t>
  </si>
  <si>
    <t>S0034276</t>
  </si>
  <si>
    <t>11471-40-2</t>
  </si>
  <si>
    <t>0148001601</t>
  </si>
  <si>
    <t>S0033395</t>
  </si>
  <si>
    <t>SPS CONNEMARA DR THORNLIE</t>
  </si>
  <si>
    <t>91 CONNEMARA DR</t>
  </si>
  <si>
    <t>THORNLIE</t>
  </si>
  <si>
    <t>6108</t>
  </si>
  <si>
    <t>115.970492989</t>
  </si>
  <si>
    <t>-32.050605152</t>
  </si>
  <si>
    <t>S0033401</t>
  </si>
  <si>
    <t>10765-0-212</t>
  </si>
  <si>
    <t>0148001633</t>
  </si>
  <si>
    <t>S0034024</t>
  </si>
  <si>
    <t>SPS COOLGARDIE AV ASCOT</t>
  </si>
  <si>
    <t>1 COOLGARDIE AV</t>
  </si>
  <si>
    <t>115.942727616</t>
  </si>
  <si>
    <t>-31.9273452102</t>
  </si>
  <si>
    <t>S0034028</t>
  </si>
  <si>
    <t>CF11-41-4</t>
  </si>
  <si>
    <t>0348000639</t>
  </si>
  <si>
    <t>S0033402</t>
  </si>
  <si>
    <t>SPS CORFIELD ST GOSNELLS</t>
  </si>
  <si>
    <t>213 CORFIELD ST</t>
  </si>
  <si>
    <t>115.992156282</t>
  </si>
  <si>
    <t>-32.084220943</t>
  </si>
  <si>
    <t>S0033406</t>
  </si>
  <si>
    <t>17663-40-1</t>
  </si>
  <si>
    <t>450M22316</t>
  </si>
  <si>
    <t>S0033640</t>
  </si>
  <si>
    <t>SPS CREWE ST BICTON</t>
  </si>
  <si>
    <t>24 BLACKWALL REACH PDE</t>
  </si>
  <si>
    <t>115.781594963</t>
  </si>
  <si>
    <t>-32.023426189</t>
  </si>
  <si>
    <t>S0033646</t>
  </si>
  <si>
    <t>09765-40-1</t>
  </si>
  <si>
    <t>0148001626</t>
  </si>
  <si>
    <t>S0033407</t>
  </si>
  <si>
    <t>SPS CULLIGAN RD THORNLIE</t>
  </si>
  <si>
    <t>1 NAIRN ST</t>
  </si>
  <si>
    <t>115.959844715</t>
  </si>
  <si>
    <t>-32.058153601</t>
  </si>
  <si>
    <t>S0033411</t>
  </si>
  <si>
    <t>10854-40-2</t>
  </si>
  <si>
    <t>450M22351</t>
  </si>
  <si>
    <t>S0033647</t>
  </si>
  <si>
    <t>SPS CUREDALE MEWS BULL CREEK</t>
  </si>
  <si>
    <t>23 CUREDALE MEWS</t>
  </si>
  <si>
    <t>BULL CREEK</t>
  </si>
  <si>
    <t>115.869238741</t>
  </si>
  <si>
    <t>-32.047754717</t>
  </si>
  <si>
    <t>1931</t>
  </si>
  <si>
    <t>S0033651</t>
  </si>
  <si>
    <t>CL51-42-2</t>
  </si>
  <si>
    <t>410M2002520</t>
  </si>
  <si>
    <t>S0028965</t>
  </si>
  <si>
    <t>SPS DE GREY RTT JANE BROOK</t>
  </si>
  <si>
    <t>18 DE GREY RTT</t>
  </si>
  <si>
    <t>JANE BROOK</t>
  </si>
  <si>
    <t>116.041438671</t>
  </si>
  <si>
    <t>-31.858809936</t>
  </si>
  <si>
    <t>S2003533</t>
  </si>
  <si>
    <t>DE39-41-5</t>
  </si>
  <si>
    <t>410M171926</t>
  </si>
  <si>
    <t>S0033657</t>
  </si>
  <si>
    <t>SPS DEE RD APPLECROSS</t>
  </si>
  <si>
    <t>9186 FRASER RD</t>
  </si>
  <si>
    <t>115.829538201</t>
  </si>
  <si>
    <t>-32.011389653</t>
  </si>
  <si>
    <t>S0033663</t>
  </si>
  <si>
    <t>12783-40-1</t>
  </si>
  <si>
    <t>450M22340</t>
  </si>
  <si>
    <t>S2019225</t>
  </si>
  <si>
    <t>SPS DORNEY ESP CHAMPION LAKES</t>
  </si>
  <si>
    <t>1007 DORNEY ESP</t>
  </si>
  <si>
    <t>CHAMPION LAKES</t>
  </si>
  <si>
    <t>115.992571571</t>
  </si>
  <si>
    <t>-32.1132165163</t>
  </si>
  <si>
    <t>2007</t>
  </si>
  <si>
    <t>S2022074</t>
  </si>
  <si>
    <t>IU50-41-5</t>
  </si>
  <si>
    <t>0350002859</t>
  </si>
  <si>
    <t>S0033664</t>
  </si>
  <si>
    <t>SPS DUNCRAIG RD APPLECROSS</t>
  </si>
  <si>
    <t>37 DUNCRAIG RD</t>
  </si>
  <si>
    <t>115.841525425</t>
  </si>
  <si>
    <t>-32.006574428</t>
  </si>
  <si>
    <t>S0033670</t>
  </si>
  <si>
    <t>10038-40-1</t>
  </si>
  <si>
    <t>450M22342</t>
  </si>
  <si>
    <t>S0033676</t>
  </si>
  <si>
    <t>SPS DUNVEGAN RD APPLECROSS</t>
  </si>
  <si>
    <t>11311 CANNING BEACH RD</t>
  </si>
  <si>
    <t>115.84732714</t>
  </si>
  <si>
    <t>-32.0061928893</t>
  </si>
  <si>
    <t>S0033682</t>
  </si>
  <si>
    <t>09926-40-1</t>
  </si>
  <si>
    <t>450M22339</t>
  </si>
  <si>
    <t>S0034284</t>
  </si>
  <si>
    <t>SPS EASTFIELD CT FERNDALE</t>
  </si>
  <si>
    <t>5 EASTFIELD CT</t>
  </si>
  <si>
    <t>115.936586241</t>
  </si>
  <si>
    <t>-32.029602015</t>
  </si>
  <si>
    <t>S0034290</t>
  </si>
  <si>
    <t>10627-10-1</t>
  </si>
  <si>
    <t>0148005918</t>
  </si>
  <si>
    <t>S0034029</t>
  </si>
  <si>
    <t>SPS EDGEWATER RD SALTER POINT</t>
  </si>
  <si>
    <t>3025 ROEBUCK DR</t>
  </si>
  <si>
    <t>SALTER POINT</t>
  </si>
  <si>
    <t>115.858268798</t>
  </si>
  <si>
    <t>-32.021165072</t>
  </si>
  <si>
    <t>S0034033</t>
  </si>
  <si>
    <t>15322-40-2</t>
  </si>
  <si>
    <t>0148001664</t>
  </si>
  <si>
    <t>S0028968</t>
  </si>
  <si>
    <t>SPS ELDER WY BELLEVUE</t>
  </si>
  <si>
    <t>435 KATHARINE ST</t>
  </si>
  <si>
    <t>BELLEVUE</t>
  </si>
  <si>
    <t>116.032693202</t>
  </si>
  <si>
    <t>-31.9057117696</t>
  </si>
  <si>
    <t>S0028974</t>
  </si>
  <si>
    <t>15167-40-1</t>
  </si>
  <si>
    <t>0148004372</t>
  </si>
  <si>
    <t>S0034291</t>
  </si>
  <si>
    <t>SPS ELLISON DR LANGFORD</t>
  </si>
  <si>
    <t>55 ELLISON DR</t>
  </si>
  <si>
    <t>115.950515841</t>
  </si>
  <si>
    <t>-32.0369850708</t>
  </si>
  <si>
    <t>S0034297</t>
  </si>
  <si>
    <t>11182-10-1</t>
  </si>
  <si>
    <t>0148001640</t>
  </si>
  <si>
    <t>S0028975</t>
  </si>
  <si>
    <t>SPS ELVIRE ST VIVEASH</t>
  </si>
  <si>
    <t>2 ELVIRE ST</t>
  </si>
  <si>
    <t>VIVEASH</t>
  </si>
  <si>
    <t>115.999788249</t>
  </si>
  <si>
    <t>-31.884468797</t>
  </si>
  <si>
    <t>S0028979</t>
  </si>
  <si>
    <t>07698-40-1</t>
  </si>
  <si>
    <t>450M22323</t>
  </si>
  <si>
    <t>S2003198</t>
  </si>
  <si>
    <t>SPS EVELINE RD MIDDLE SWAN</t>
  </si>
  <si>
    <t>28 GREAT NORTHERN HWY</t>
  </si>
  <si>
    <t>116.010048595</t>
  </si>
  <si>
    <t>-31.876869782</t>
  </si>
  <si>
    <t>S2003202</t>
  </si>
  <si>
    <t>EK22-41-5</t>
  </si>
  <si>
    <t>450M22326</t>
  </si>
  <si>
    <t>S0033683</t>
  </si>
  <si>
    <t>SPS FARRINGTON RD NORTH LAKE</t>
  </si>
  <si>
    <t>1 STONE CT</t>
  </si>
  <si>
    <t>115.822621922</t>
  </si>
  <si>
    <t>-32.073711202</t>
  </si>
  <si>
    <t>S0033689</t>
  </si>
  <si>
    <t>13374-40-2</t>
  </si>
  <si>
    <t>0248002418</t>
  </si>
  <si>
    <t>S0032987</t>
  </si>
  <si>
    <t>SPS FERN RD WILSON</t>
  </si>
  <si>
    <t>160 FERN RD</t>
  </si>
  <si>
    <t>WILSON</t>
  </si>
  <si>
    <t>115.909891962</t>
  </si>
  <si>
    <t>-32.024493859</t>
  </si>
  <si>
    <t>S0032991</t>
  </si>
  <si>
    <t>18911-40-1</t>
  </si>
  <si>
    <t>450M22327</t>
  </si>
  <si>
    <t>S0033690</t>
  </si>
  <si>
    <t>SPS FIFTH AV ROSSMOYNE</t>
  </si>
  <si>
    <t>3265 RIVERTON DRW</t>
  </si>
  <si>
    <t>ROSSMOYNE</t>
  </si>
  <si>
    <t>115.87336991</t>
  </si>
  <si>
    <t>-32.0322099181</t>
  </si>
  <si>
    <t>S0033694</t>
  </si>
  <si>
    <t>17873-40-1</t>
  </si>
  <si>
    <t>0148005993</t>
  </si>
  <si>
    <t>S0033695</t>
  </si>
  <si>
    <t>SPS FIRST AV ROSSMOYNE</t>
  </si>
  <si>
    <t>3187 RIVERTON DRW</t>
  </si>
  <si>
    <t>115.863892894</t>
  </si>
  <si>
    <t>-32.03668195</t>
  </si>
  <si>
    <t>S0033699</t>
  </si>
  <si>
    <t>13057-40-1</t>
  </si>
  <si>
    <t>450M22321</t>
  </si>
  <si>
    <t>S0031690</t>
  </si>
  <si>
    <t>SPS FLYNN ST CHURCHLANDS</t>
  </si>
  <si>
    <t>16 HERON PL</t>
  </si>
  <si>
    <t>115.801118165</t>
  </si>
  <si>
    <t>-31.9292780684</t>
  </si>
  <si>
    <t>S0031696</t>
  </si>
  <si>
    <t>12429-40-1</t>
  </si>
  <si>
    <t>450M22418</t>
  </si>
  <si>
    <t>S2017005</t>
  </si>
  <si>
    <t>SPS FORREST RD TEMP HILBERT</t>
  </si>
  <si>
    <t>65 MARKWELL AV</t>
  </si>
  <si>
    <t>115.990277711</t>
  </si>
  <si>
    <t>-32.1596929306</t>
  </si>
  <si>
    <t>S2018307</t>
  </si>
  <si>
    <t>HB33-40-1</t>
  </si>
  <si>
    <t>0180030659</t>
  </si>
  <si>
    <t>S0027277</t>
  </si>
  <si>
    <t>SPS GAINSBOROUGH WY MULLALOO</t>
  </si>
  <si>
    <t>412 GAINSBOROUGH WAY</t>
  </si>
  <si>
    <t>MULLALOO</t>
  </si>
  <si>
    <t>6027</t>
  </si>
  <si>
    <t>115.737311598</t>
  </si>
  <si>
    <t>-31.773678547</t>
  </si>
  <si>
    <t>S0027281</t>
  </si>
  <si>
    <t>19225-41-2</t>
  </si>
  <si>
    <t>0148005342</t>
  </si>
  <si>
    <t>S0033412</t>
  </si>
  <si>
    <t>SPS GAYHURST RD KENWICK</t>
  </si>
  <si>
    <t>34 GAYHURST RD</t>
  </si>
  <si>
    <t>115.973971654</t>
  </si>
  <si>
    <t>-32.040299607</t>
  </si>
  <si>
    <t>S0033418</t>
  </si>
  <si>
    <t>12269-10-1</t>
  </si>
  <si>
    <t>450M22353</t>
  </si>
  <si>
    <t>S0034305</t>
  </si>
  <si>
    <t>SPS GLEN CT FERNDALE</t>
  </si>
  <si>
    <t>3 GLEN CT</t>
  </si>
  <si>
    <t>115.919967311</t>
  </si>
  <si>
    <t>-32.027539922</t>
  </si>
  <si>
    <t>S0034311</t>
  </si>
  <si>
    <t>15798-40-3</t>
  </si>
  <si>
    <t>450M22354</t>
  </si>
  <si>
    <t>S2003379</t>
  </si>
  <si>
    <t>SPS GLENISTER RD HAMILTON HILL</t>
  </si>
  <si>
    <t>550 GLENISTER RD</t>
  </si>
  <si>
    <t>HAMILTON HILL</t>
  </si>
  <si>
    <t>115.77336322</t>
  </si>
  <si>
    <t>-32.0898226049</t>
  </si>
  <si>
    <t>2001</t>
  </si>
  <si>
    <t>S2003383</t>
  </si>
  <si>
    <t>ES97-41-5</t>
  </si>
  <si>
    <t>0148005788</t>
  </si>
  <si>
    <t>S0032621</t>
  </si>
  <si>
    <t>SPS GLENN AV MOSMAN PARK</t>
  </si>
  <si>
    <t>49 GLENN AV</t>
  </si>
  <si>
    <t>115.770828674</t>
  </si>
  <si>
    <t>-32.018867786</t>
  </si>
  <si>
    <t>S0032626</t>
  </si>
  <si>
    <t xml:space="preserve">08907- - </t>
  </si>
  <si>
    <t>410M31142</t>
  </si>
  <si>
    <t>S0030904</t>
  </si>
  <si>
    <t>SPS GLOUCESTER PARK EAST PERTH</t>
  </si>
  <si>
    <t>1 NELSON AV</t>
  </si>
  <si>
    <t>115.882231088</t>
  </si>
  <si>
    <t>-31.9591399465</t>
  </si>
  <si>
    <t>1961</t>
  </si>
  <si>
    <t>S0030910</t>
  </si>
  <si>
    <t xml:space="preserve">08659- - </t>
  </si>
  <si>
    <t>002100310</t>
  </si>
  <si>
    <t>S0028423</t>
  </si>
  <si>
    <t>SPS GOOLLELAL DR KINGSLEY</t>
  </si>
  <si>
    <t>68 GOOLLELAL DR</t>
  </si>
  <si>
    <t>KINGSLEY</t>
  </si>
  <si>
    <t>6026</t>
  </si>
  <si>
    <t>115.810707419</t>
  </si>
  <si>
    <t>-31.813972236</t>
  </si>
  <si>
    <t>S0028429</t>
  </si>
  <si>
    <t>14165-40-1</t>
  </si>
  <si>
    <t>0248000453</t>
  </si>
  <si>
    <t>S0034058</t>
  </si>
  <si>
    <t>SPS GRIFFIN CR MANNING</t>
  </si>
  <si>
    <t>2026 CHALLENGER AV</t>
  </si>
  <si>
    <t>115.874291943</t>
  </si>
  <si>
    <t>-32.0167136403</t>
  </si>
  <si>
    <t>S0034064</t>
  </si>
  <si>
    <t>10994-40-1</t>
  </si>
  <si>
    <t>0148001659</t>
  </si>
  <si>
    <t>S0032256</t>
  </si>
  <si>
    <t>SPS HACKETT DR CRAWLEY</t>
  </si>
  <si>
    <t>9843 HACKETT DR</t>
  </si>
  <si>
    <t>115.822143118</t>
  </si>
  <si>
    <t>-31.9758823246</t>
  </si>
  <si>
    <t>S0032262</t>
  </si>
  <si>
    <t>05188-10-1</t>
  </si>
  <si>
    <t>0148001667</t>
  </si>
  <si>
    <t>S0030138</t>
  </si>
  <si>
    <t>SPS HARPER ST WOODBRIDGE</t>
  </si>
  <si>
    <t>43 HARPER ST</t>
  </si>
  <si>
    <t>115.996985891</t>
  </si>
  <si>
    <t>-31.886754552</t>
  </si>
  <si>
    <t>1963</t>
  </si>
  <si>
    <t>S0030144</t>
  </si>
  <si>
    <t>DD19-41-5</t>
  </si>
  <si>
    <t>410AM58499</t>
  </si>
  <si>
    <t>S0028459</t>
  </si>
  <si>
    <t>SPS HARRIS RD MALAGA</t>
  </si>
  <si>
    <t>412 AGETT RD</t>
  </si>
  <si>
    <t>115.883412162</t>
  </si>
  <si>
    <t>-31.8663367192</t>
  </si>
  <si>
    <t>S0028466</t>
  </si>
  <si>
    <t>EG31-41-5</t>
  </si>
  <si>
    <t>0102000319</t>
  </si>
  <si>
    <t>S0030918</t>
  </si>
  <si>
    <t>SPS HENRY LAWSON WK EAST PERTH</t>
  </si>
  <si>
    <t>1 HENRY LAWSON WALK</t>
  </si>
  <si>
    <t>115.880449093</t>
  </si>
  <si>
    <t>-31.951317683</t>
  </si>
  <si>
    <t>S2003492</t>
  </si>
  <si>
    <t>DB50-41-5</t>
  </si>
  <si>
    <t>450M22338</t>
  </si>
  <si>
    <t>S0033426</t>
  </si>
  <si>
    <t>SPS HERBERT ST MADDINGTON</t>
  </si>
  <si>
    <t>14 HERBERT ST</t>
  </si>
  <si>
    <t>115.978177452</t>
  </si>
  <si>
    <t>-32.0505615383</t>
  </si>
  <si>
    <t>S0033430</t>
  </si>
  <si>
    <t xml:space="preserve">17735- - </t>
  </si>
  <si>
    <t>450M22352</t>
  </si>
  <si>
    <t>S0034312</t>
  </si>
  <si>
    <t>SPS HIBBERTIA CR FERNDALE</t>
  </si>
  <si>
    <t>19 HIBBERTIA CR</t>
  </si>
  <si>
    <t>115.91472572</t>
  </si>
  <si>
    <t>-32.036437588</t>
  </si>
  <si>
    <t>S0034318</t>
  </si>
  <si>
    <t>12132-40-2</t>
  </si>
  <si>
    <t>0148001602</t>
  </si>
  <si>
    <t>S2013748</t>
  </si>
  <si>
    <t>SPS HOPE ST NORTH BEACH</t>
  </si>
  <si>
    <t>60 HOPE ST</t>
  </si>
  <si>
    <t>NORTH BEACH</t>
  </si>
  <si>
    <t>115.757662208</t>
  </si>
  <si>
    <t>-31.8544808016</t>
  </si>
  <si>
    <t>S2013752</t>
  </si>
  <si>
    <t>GO69-41-5</t>
  </si>
  <si>
    <t>0180020319</t>
  </si>
  <si>
    <t>S0034099</t>
  </si>
  <si>
    <t>SPS HOWARD PDE SALTER POINT</t>
  </si>
  <si>
    <t>3607 SALTER POINT PDE</t>
  </si>
  <si>
    <t>115.875216582</t>
  </si>
  <si>
    <t>-32.0238542956</t>
  </si>
  <si>
    <t>S0034105</t>
  </si>
  <si>
    <t>12446-40-1</t>
  </si>
  <si>
    <t>450M22350</t>
  </si>
  <si>
    <t>S2003399</t>
  </si>
  <si>
    <t>SPS HUTCHINSON AV MOSMAN PARK</t>
  </si>
  <si>
    <t>22 HUTCHINSON AV</t>
  </si>
  <si>
    <t>115.763375711</t>
  </si>
  <si>
    <t>-32.021818733</t>
  </si>
  <si>
    <t>S2003403</t>
  </si>
  <si>
    <t>FQ96-41-5</t>
  </si>
  <si>
    <t>410M206148</t>
  </si>
  <si>
    <t>S0033443</t>
  </si>
  <si>
    <t>SPS JAMES ST GOSNELLS</t>
  </si>
  <si>
    <t>40 JAMES ST</t>
  </si>
  <si>
    <t>115.998548161</t>
  </si>
  <si>
    <t>-32.084666466</t>
  </si>
  <si>
    <t>S0033447</t>
  </si>
  <si>
    <t>EC60-41-5</t>
  </si>
  <si>
    <t>410M187796</t>
  </si>
  <si>
    <t>S0030166</t>
  </si>
  <si>
    <t>SPS JENNINGS WY LOCKRIDGE</t>
  </si>
  <si>
    <t>87 KERWIN WAY</t>
  </si>
  <si>
    <t>LOCKRIDGE</t>
  </si>
  <si>
    <t>115.947050551</t>
  </si>
  <si>
    <t>-31.881911959</t>
  </si>
  <si>
    <t>S0030172</t>
  </si>
  <si>
    <t>10249-40-1</t>
  </si>
  <si>
    <t>450M22356</t>
  </si>
  <si>
    <t>S0032270</t>
  </si>
  <si>
    <t>SPS JERSEY ST JOLIMONT</t>
  </si>
  <si>
    <t>85 JERSEY ST</t>
  </si>
  <si>
    <t>JOLIMONT</t>
  </si>
  <si>
    <t>115.8112895</t>
  </si>
  <si>
    <t>-31.9448353</t>
  </si>
  <si>
    <t>1933</t>
  </si>
  <si>
    <t>S0032276</t>
  </si>
  <si>
    <t>05365-40-1</t>
  </si>
  <si>
    <t>001401816</t>
  </si>
  <si>
    <t>S0032637</t>
  </si>
  <si>
    <t>SPS JETTY RD CLAREMONT</t>
  </si>
  <si>
    <t>10716 VICTORIA AV</t>
  </si>
  <si>
    <t>CLAREMONT</t>
  </si>
  <si>
    <t>115.78124625</t>
  </si>
  <si>
    <t>-31.9889460972</t>
  </si>
  <si>
    <t>1935</t>
  </si>
  <si>
    <t>S0032641</t>
  </si>
  <si>
    <t>06749-40-2</t>
  </si>
  <si>
    <t>450M22314</t>
  </si>
  <si>
    <t>S0031721</t>
  </si>
  <si>
    <t>SPS JOHN ST INGLEWOOD</t>
  </si>
  <si>
    <t>77 TENTH AV</t>
  </si>
  <si>
    <t>INGLEWOOD</t>
  </si>
  <si>
    <t>6052</t>
  </si>
  <si>
    <t>115.888005295</t>
  </si>
  <si>
    <t>-31.92269614</t>
  </si>
  <si>
    <t>1936</t>
  </si>
  <si>
    <t>S0031727</t>
  </si>
  <si>
    <t>05767-10-1</t>
  </si>
  <si>
    <t>450M22346</t>
  </si>
  <si>
    <t>S0031728</t>
  </si>
  <si>
    <t>SPS JOHNSON RD MAYLANDS</t>
  </si>
  <si>
    <t>18 PENINSULA RD</t>
  </si>
  <si>
    <t>115.908748028</t>
  </si>
  <si>
    <t>-31.941885985</t>
  </si>
  <si>
    <t>S0031732</t>
  </si>
  <si>
    <t>11984-40-1</t>
  </si>
  <si>
    <t>0148001243</t>
  </si>
  <si>
    <t>S0030173</t>
  </si>
  <si>
    <t>SPS KATANNING ST BAYSWATER</t>
  </si>
  <si>
    <t>84 KATANNING ST</t>
  </si>
  <si>
    <t>115.936998828</t>
  </si>
  <si>
    <t>-31.925809743</t>
  </si>
  <si>
    <t>S2000000</t>
  </si>
  <si>
    <t>DY36-41-5</t>
  </si>
  <si>
    <t>0148003124</t>
  </si>
  <si>
    <t>S0032642</t>
  </si>
  <si>
    <t>SPS KEANES POINT PEPPERMINT GROVE</t>
  </si>
  <si>
    <t>4447 HOBBS PL</t>
  </si>
  <si>
    <t>PEPPERMINT GROVE</t>
  </si>
  <si>
    <t>6011</t>
  </si>
  <si>
    <t>115.772173871</t>
  </si>
  <si>
    <t>-32.00194445</t>
  </si>
  <si>
    <t>S0032646</t>
  </si>
  <si>
    <t>HX03-41-5</t>
  </si>
  <si>
    <t>0350039067</t>
  </si>
  <si>
    <t>S0031733</t>
  </si>
  <si>
    <t>SPS KELVIN ST MAYLANDS</t>
  </si>
  <si>
    <t>75 KELVIN ST</t>
  </si>
  <si>
    <t>115.905007535</t>
  </si>
  <si>
    <t>-31.9343410881</t>
  </si>
  <si>
    <t>1969</t>
  </si>
  <si>
    <t>S0031739</t>
  </si>
  <si>
    <t>10135-40-1</t>
  </si>
  <si>
    <t>0350011056</t>
  </si>
  <si>
    <t>S0033016</t>
  </si>
  <si>
    <t>SPS KILKENNY CIR WATERFORD</t>
  </si>
  <si>
    <t>60 KILKENNY CIR</t>
  </si>
  <si>
    <t>WATERFORD</t>
  </si>
  <si>
    <t>115.882225563</t>
  </si>
  <si>
    <t>-32.0176599641</t>
  </si>
  <si>
    <t>S0033022</t>
  </si>
  <si>
    <t>17696-40-4</t>
  </si>
  <si>
    <t>450M22348</t>
  </si>
  <si>
    <t>S0038065</t>
  </si>
  <si>
    <t>SPS KITTYHAWK VIEW MAYLANDS</t>
  </si>
  <si>
    <t>20 KITTYHAWK VIEW</t>
  </si>
  <si>
    <t>115.906890966</t>
  </si>
  <si>
    <t>-31.945463446</t>
  </si>
  <si>
    <t>S0038069</t>
  </si>
  <si>
    <t>EP55-41-5</t>
  </si>
  <si>
    <t>410M187864</t>
  </si>
  <si>
    <t>S0033023</t>
  </si>
  <si>
    <t>SPS LAKE ST CANNINGTON</t>
  </si>
  <si>
    <t>16 LAKE ST</t>
  </si>
  <si>
    <t>115.943078286</t>
  </si>
  <si>
    <t>-32.01516841</t>
  </si>
  <si>
    <t>S0033027</t>
  </si>
  <si>
    <t>CD14-41-4</t>
  </si>
  <si>
    <t>410M158893</t>
  </si>
  <si>
    <t>S0032647</t>
  </si>
  <si>
    <t>SPS LAKEWAY ST CLAREMONT</t>
  </si>
  <si>
    <t>18 LAKEWAY ST</t>
  </si>
  <si>
    <t>115.780575264</t>
  </si>
  <si>
    <t>-31.972419639</t>
  </si>
  <si>
    <t>S0032653</t>
  </si>
  <si>
    <t>11413-10-1</t>
  </si>
  <si>
    <t>0102000523</t>
  </si>
  <si>
    <t>S0029006</t>
  </si>
  <si>
    <t>SPS LLOYD ST STH MIDDLE SWAN</t>
  </si>
  <si>
    <t>9 FRANCIS ST</t>
  </si>
  <si>
    <t>116.016762792</t>
  </si>
  <si>
    <t>-31.875624524</t>
  </si>
  <si>
    <t>S0029010</t>
  </si>
  <si>
    <t>AU82-2-10</t>
  </si>
  <si>
    <t>450M22325</t>
  </si>
  <si>
    <t>S0030177</t>
  </si>
  <si>
    <t>SPS LORD ST LOCKRIDGE</t>
  </si>
  <si>
    <t>344 LORD ST</t>
  </si>
  <si>
    <t>115.956168494</t>
  </si>
  <si>
    <t>-31.883709017</t>
  </si>
  <si>
    <t>S0030183</t>
  </si>
  <si>
    <t>10898-40-1</t>
  </si>
  <si>
    <t>0148001622</t>
  </si>
  <si>
    <t>S0033028</t>
  </si>
  <si>
    <t>SPS LUNAR WY BECKENHAM</t>
  </si>
  <si>
    <t>182 LUNAR WAY</t>
  </si>
  <si>
    <t>BECKENHAM</t>
  </si>
  <si>
    <t>115.96899875</t>
  </si>
  <si>
    <t>-32.0151844279</t>
  </si>
  <si>
    <t>S0033034</t>
  </si>
  <si>
    <t>11200-40-1</t>
  </si>
  <si>
    <t>0148001638</t>
  </si>
  <si>
    <t>S0033035</t>
  </si>
  <si>
    <t>SPS LUYER AV EAST CANNINGTON</t>
  </si>
  <si>
    <t>94 LUYER AV</t>
  </si>
  <si>
    <t>EAST CANNINGTON</t>
  </si>
  <si>
    <t>115.969411006</t>
  </si>
  <si>
    <t>-32.007688278</t>
  </si>
  <si>
    <t>S0033039</t>
  </si>
  <si>
    <t>14129-40-2</t>
  </si>
  <si>
    <t>450M22317</t>
  </si>
  <si>
    <t>S0033455</t>
  </si>
  <si>
    <t>SPS LYREBIRD WY THORNLIE</t>
  </si>
  <si>
    <t>6 LYREBIRD WAY</t>
  </si>
  <si>
    <t>115.950165815</t>
  </si>
  <si>
    <t>-32.045601964</t>
  </si>
  <si>
    <t>S0033461</t>
  </si>
  <si>
    <t>11780-40-1</t>
  </si>
  <si>
    <t>0148001620</t>
  </si>
  <si>
    <t>S0033462</t>
  </si>
  <si>
    <t>SPS MALCOLM RD MADDINGTON</t>
  </si>
  <si>
    <t>17 MALCOLM RD</t>
  </si>
  <si>
    <t>115.98099774</t>
  </si>
  <si>
    <t>-32.044353743</t>
  </si>
  <si>
    <t>S0033468</t>
  </si>
  <si>
    <t>14398-40-1</t>
  </si>
  <si>
    <t>002101285</t>
  </si>
  <si>
    <t>S0033245</t>
  </si>
  <si>
    <t>SPS MARKET ST FREMANTLE</t>
  </si>
  <si>
    <t>1 ELDER PL</t>
  </si>
  <si>
    <t>115.745747267</t>
  </si>
  <si>
    <t>-32.0525612704</t>
  </si>
  <si>
    <t>1913</t>
  </si>
  <si>
    <t>S0033251</t>
  </si>
  <si>
    <t xml:space="preserve">01728- - </t>
  </si>
  <si>
    <t>0148001625</t>
  </si>
  <si>
    <t>S2003414</t>
  </si>
  <si>
    <t>SPS MCNEILL RD CHAMPION LAKES</t>
  </si>
  <si>
    <t>4994 MCNEILL RD</t>
  </si>
  <si>
    <t>115.98155321</t>
  </si>
  <si>
    <t>-32.12897827</t>
  </si>
  <si>
    <t>S2003418</t>
  </si>
  <si>
    <t>FG94-41-5</t>
  </si>
  <si>
    <t>0380012463</t>
  </si>
  <si>
    <t>S0034125</t>
  </si>
  <si>
    <t>SPS MENDS ST SOUTH PERTH</t>
  </si>
  <si>
    <t>962 SOUTH PERTH ESP</t>
  </si>
  <si>
    <t>115.853838821</t>
  </si>
  <si>
    <t>-31.9715988389</t>
  </si>
  <si>
    <t>S0034129</t>
  </si>
  <si>
    <t>07203-40-1</t>
  </si>
  <si>
    <t>450M22349</t>
  </si>
  <si>
    <t>S0034137</t>
  </si>
  <si>
    <t>SPS MILL POINT RD SOUTH PERTH</t>
  </si>
  <si>
    <t>48 MILL POINT RD</t>
  </si>
  <si>
    <t>115.849114055</t>
  </si>
  <si>
    <t>-31.9688838286</t>
  </si>
  <si>
    <t>S0034143</t>
  </si>
  <si>
    <t>0148001658</t>
  </si>
  <si>
    <t>S0030911</t>
  </si>
  <si>
    <t>SPS MILL ST PERTH</t>
  </si>
  <si>
    <t>41 MOUNTS BAY RD</t>
  </si>
  <si>
    <t>115.85217279</t>
  </si>
  <si>
    <t>-31.9552771732</t>
  </si>
  <si>
    <t>1916</t>
  </si>
  <si>
    <t>S2020178</t>
  </si>
  <si>
    <t>05936-40-1</t>
  </si>
  <si>
    <t>0136001868</t>
  </si>
  <si>
    <t>S0033476</t>
  </si>
  <si>
    <t>SPS MILLS RD GOSNELLS</t>
  </si>
  <si>
    <t>18 MILLS RDW</t>
  </si>
  <si>
    <t>MARTIN</t>
  </si>
  <si>
    <t>116.001843554</t>
  </si>
  <si>
    <t>-32.0651092151</t>
  </si>
  <si>
    <t>S0033480</t>
  </si>
  <si>
    <t>17830-40-1</t>
  </si>
  <si>
    <t>000000000348000880</t>
  </si>
  <si>
    <t>S0032661</t>
  </si>
  <si>
    <t>SPS MINORA RD DALKEITH</t>
  </si>
  <si>
    <t>9 MINORA RD</t>
  </si>
  <si>
    <t>DALKEITH</t>
  </si>
  <si>
    <t>115.801999327</t>
  </si>
  <si>
    <t>-31.9988503919</t>
  </si>
  <si>
    <t>S0032667</t>
  </si>
  <si>
    <t>06385-10-1</t>
  </si>
  <si>
    <t>410M103767</t>
  </si>
  <si>
    <t>S0030533</t>
  </si>
  <si>
    <t>SPS NAVIGATOR DR SINGLETON</t>
  </si>
  <si>
    <t>42 NAVIGATOR DR</t>
  </si>
  <si>
    <t>SINGLETON</t>
  </si>
  <si>
    <t>6175</t>
  </si>
  <si>
    <t>115.756746848</t>
  </si>
  <si>
    <t>-32.43913859</t>
  </si>
  <si>
    <t>S0030537</t>
  </si>
  <si>
    <t>DG26-41-5</t>
  </si>
  <si>
    <t>450M9803</t>
  </si>
  <si>
    <t>S0030196</t>
  </si>
  <si>
    <t>SPS NOLAN PL BAYSWATER</t>
  </si>
  <si>
    <t>121 NOLAN PL</t>
  </si>
  <si>
    <t>115.906087351</t>
  </si>
  <si>
    <t>-31.923960669</t>
  </si>
  <si>
    <t>1990</t>
  </si>
  <si>
    <t>S2003545</t>
  </si>
  <si>
    <t>CB11-42-2</t>
  </si>
  <si>
    <t>410M2002572</t>
  </si>
  <si>
    <t>S0033061</t>
  </si>
  <si>
    <t>SPS PACKER ST BECKENHAM</t>
  </si>
  <si>
    <t>10 HIGHBURY CR</t>
  </si>
  <si>
    <t>115.946794336</t>
  </si>
  <si>
    <t>-32.028463077</t>
  </si>
  <si>
    <t>S0033065</t>
  </si>
  <si>
    <t>DW73-41-5</t>
  </si>
  <si>
    <t>410M187799</t>
  </si>
  <si>
    <t>S0032771</t>
  </si>
  <si>
    <t>SPS PAGE RD KELMSCOTT</t>
  </si>
  <si>
    <t>99 PAGE RD</t>
  </si>
  <si>
    <t>116.014995105</t>
  </si>
  <si>
    <t>-32.1115122358</t>
  </si>
  <si>
    <t>S0032775</t>
  </si>
  <si>
    <t>AR21-111-12</t>
  </si>
  <si>
    <t>450M22315</t>
  </si>
  <si>
    <t>S0032668</t>
  </si>
  <si>
    <t>SPS PARK LANE CLAREMONT</t>
  </si>
  <si>
    <t>6 FRESHWATER PDE</t>
  </si>
  <si>
    <t>115.780254865</t>
  </si>
  <si>
    <t>-31.9843364721</t>
  </si>
  <si>
    <t>S0032674</t>
  </si>
  <si>
    <t>DB95-41-5</t>
  </si>
  <si>
    <t>450M22337</t>
  </si>
  <si>
    <t>S2019016</t>
  </si>
  <si>
    <t>SPS PARKHILL WY WILSON</t>
  </si>
  <si>
    <t>3 WENDOUREE RD</t>
  </si>
  <si>
    <t>115.8995534</t>
  </si>
  <si>
    <t>-32.01501552</t>
  </si>
  <si>
    <t>S2030088</t>
  </si>
  <si>
    <t>Incoming Panel</t>
  </si>
  <si>
    <t>IG26-40-1</t>
  </si>
  <si>
    <t>0350044869</t>
  </si>
  <si>
    <t>S0029011</t>
  </si>
  <si>
    <t>SPS PARKVIEW GDNS HELENA VALLEY</t>
  </si>
  <si>
    <t>4 PARKVIEW GDNS</t>
  </si>
  <si>
    <t>HELENA VALLEY</t>
  </si>
  <si>
    <t>116.029503618</t>
  </si>
  <si>
    <t>-31.9112088048</t>
  </si>
  <si>
    <t>S2003552</t>
  </si>
  <si>
    <t>CU86-41-4</t>
  </si>
  <si>
    <t>410M2003229</t>
  </si>
  <si>
    <t>S0033819</t>
  </si>
  <si>
    <t>SPS PARRY AV BULL CREEK</t>
  </si>
  <si>
    <t>2 LEFROY RD</t>
  </si>
  <si>
    <t>115.869115658</t>
  </si>
  <si>
    <t>-32.056190648</t>
  </si>
  <si>
    <t>S0033825</t>
  </si>
  <si>
    <t>13338-40-1</t>
  </si>
  <si>
    <t>0081000144</t>
  </si>
  <si>
    <t>S2016013</t>
  </si>
  <si>
    <t>SPS PELICAN PT KIOSK CRAWLEY</t>
  </si>
  <si>
    <t>5 HACKETT DR</t>
  </si>
  <si>
    <t>115.821093743</t>
  </si>
  <si>
    <t>-31.9821795207</t>
  </si>
  <si>
    <t>S2003531</t>
  </si>
  <si>
    <t>S0032289</t>
  </si>
  <si>
    <t>SPS PELICAN PT MATILDA BAY CRAWLEY</t>
  </si>
  <si>
    <t>3 HACKETT DR</t>
  </si>
  <si>
    <t>115.822694381</t>
  </si>
  <si>
    <t>-31.9844266642</t>
  </si>
  <si>
    <t>S2003529</t>
  </si>
  <si>
    <t>S2016011</t>
  </si>
  <si>
    <t>SPS PELICAN PT NAT PARKS CRAWLEY</t>
  </si>
  <si>
    <t>115.822550595</t>
  </si>
  <si>
    <t>-31.9846791411</t>
  </si>
  <si>
    <t>S2003528</t>
  </si>
  <si>
    <t>S2016009</t>
  </si>
  <si>
    <t>SPS PELICAN PT RPYC CRAWLEY</t>
  </si>
  <si>
    <t>6 AUSTRALIA II DR</t>
  </si>
  <si>
    <t>115.824994264</t>
  </si>
  <si>
    <t>-31.9857119005</t>
  </si>
  <si>
    <t>S2003526</t>
  </si>
  <si>
    <t>S2016010</t>
  </si>
  <si>
    <t>SPS PELICAN PT RPYC JR CRAWLEY</t>
  </si>
  <si>
    <t>115.824011655</t>
  </si>
  <si>
    <t>-31.9854919583</t>
  </si>
  <si>
    <t>S2003527</t>
  </si>
  <si>
    <t>S2016008</t>
  </si>
  <si>
    <t>SPS PELICAN PT SAIL CLUB CRAWLEY</t>
  </si>
  <si>
    <t>10 AUSTRALIA II DR</t>
  </si>
  <si>
    <t>115.825564356</t>
  </si>
  <si>
    <t>-31.9859166629</t>
  </si>
  <si>
    <t>S0032297</t>
  </si>
  <si>
    <t>S2016012</t>
  </si>
  <si>
    <t>SPS PELICAN PT TOILETS CRAWLEY</t>
  </si>
  <si>
    <t>7996 HACKETT DR</t>
  </si>
  <si>
    <t>115.821863974</t>
  </si>
  <si>
    <t>-31.9835624692</t>
  </si>
  <si>
    <t>S2003530</t>
  </si>
  <si>
    <t>S0032021</t>
  </si>
  <si>
    <t>SPS PERRY LAKES FLOREAT</t>
  </si>
  <si>
    <t>1 MEAGHER DR</t>
  </si>
  <si>
    <t>FLOREAT</t>
  </si>
  <si>
    <t>115.787341725</t>
  </si>
  <si>
    <t>-31.9455507845</t>
  </si>
  <si>
    <t>1956</t>
  </si>
  <si>
    <t>S0032027</t>
  </si>
  <si>
    <t>DK76-41-5</t>
  </si>
  <si>
    <t>0148001670</t>
  </si>
  <si>
    <t>S0028604</t>
  </si>
  <si>
    <t>SPS RENDELL WY KOONDOOLA</t>
  </si>
  <si>
    <t>15 RENDELL WAY</t>
  </si>
  <si>
    <t>KOONDOOLA</t>
  </si>
  <si>
    <t>115.870120176</t>
  </si>
  <si>
    <t>-31.848251076</t>
  </si>
  <si>
    <t>S0028610</t>
  </si>
  <si>
    <t>12207-10-1</t>
  </si>
  <si>
    <t>0102000285</t>
  </si>
  <si>
    <t>S0032776</t>
  </si>
  <si>
    <t>SPS RIVER RD KELMSCOTT</t>
  </si>
  <si>
    <t>8 HORSESHOE CT</t>
  </si>
  <si>
    <t>116.019702546</t>
  </si>
  <si>
    <t>-32.117234327</t>
  </si>
  <si>
    <t>S0032780</t>
  </si>
  <si>
    <t>Main Switch Panel</t>
  </si>
  <si>
    <t>BD79-41-6</t>
  </si>
  <si>
    <t>Panel A</t>
  </si>
  <si>
    <t>0148005811</t>
  </si>
  <si>
    <t>S0033312</t>
  </si>
  <si>
    <t>SPS RIVERSIDE RD EAST FREMANTLE</t>
  </si>
  <si>
    <t>33 RIVERSIDE RD</t>
  </si>
  <si>
    <t>115.762801557</t>
  </si>
  <si>
    <t>-32.0362662484</t>
  </si>
  <si>
    <t>S0033318</t>
  </si>
  <si>
    <t>10467-10-1</t>
  </si>
  <si>
    <t>0148001614</t>
  </si>
  <si>
    <t>S0034150</t>
  </si>
  <si>
    <t>SPS ROBERT ST COMO</t>
  </si>
  <si>
    <t>1 ROBERT ST</t>
  </si>
  <si>
    <t>115.857686539</t>
  </si>
  <si>
    <t>-32.0119171645</t>
  </si>
  <si>
    <t>S0034154</t>
  </si>
  <si>
    <t>15326-40-2</t>
  </si>
  <si>
    <t>450M22347</t>
  </si>
  <si>
    <t>S0033826</t>
  </si>
  <si>
    <t>SPS ROBERTS RD ATTADALE</t>
  </si>
  <si>
    <t>11143 BURKE DR</t>
  </si>
  <si>
    <t>115.799297274</t>
  </si>
  <si>
    <t>-32.018214119</t>
  </si>
  <si>
    <t>S0033832</t>
  </si>
  <si>
    <t>11538-10-1</t>
  </si>
  <si>
    <t>0148001627</t>
  </si>
  <si>
    <t>S0033092</t>
  </si>
  <si>
    <t>SPS ROCHESTER AV BECKENHAM</t>
  </si>
  <si>
    <t>144 ROCHESTER AV</t>
  </si>
  <si>
    <t>115.966999667</t>
  </si>
  <si>
    <t>-32.029724922</t>
  </si>
  <si>
    <t>S0033096</t>
  </si>
  <si>
    <t xml:space="preserve">BH78- - </t>
  </si>
  <si>
    <t>0148001639</t>
  </si>
  <si>
    <t>S0032028</t>
  </si>
  <si>
    <t>SPS ROSEWOOD AV WOODLANDS</t>
  </si>
  <si>
    <t>108 ROSEWOOD AV</t>
  </si>
  <si>
    <t>WOODLANDS</t>
  </si>
  <si>
    <t>115.794287667</t>
  </si>
  <si>
    <t>-31.908751128</t>
  </si>
  <si>
    <t>S0032034</t>
  </si>
  <si>
    <t>11308-10-1</t>
  </si>
  <si>
    <t>0102000276</t>
  </si>
  <si>
    <t>S2019014</t>
  </si>
  <si>
    <t>SPS ROXBURGHE DR THE VINES</t>
  </si>
  <si>
    <t>80 ROXBURGHE DR</t>
  </si>
  <si>
    <t>116.017598848</t>
  </si>
  <si>
    <t>-31.7511566237</t>
  </si>
  <si>
    <t>S2019427</t>
  </si>
  <si>
    <t>HN79-41-5</t>
  </si>
  <si>
    <t>0380015037</t>
  </si>
  <si>
    <t>S0034431</t>
  </si>
  <si>
    <t>SPS RUBY AV LANGFORD</t>
  </si>
  <si>
    <t>3 RUBY AV</t>
  </si>
  <si>
    <t>115.940685397</t>
  </si>
  <si>
    <t>-32.033960235</t>
  </si>
  <si>
    <t>S0034437</t>
  </si>
  <si>
    <t>13801-40-1</t>
  </si>
  <si>
    <t>410L25818</t>
  </si>
  <si>
    <t>S0030551</t>
  </si>
  <si>
    <t>SPS SECRET HARBOUR BVD SECRET HARBOUR</t>
  </si>
  <si>
    <t>187 SECRET HARBOUR BVD</t>
  </si>
  <si>
    <t>115.749513057</t>
  </si>
  <si>
    <t>-32.4026949</t>
  </si>
  <si>
    <t>S0030555</t>
  </si>
  <si>
    <t>CY93-41-5</t>
  </si>
  <si>
    <t>410M170046</t>
  </si>
  <si>
    <t>S2017558</t>
  </si>
  <si>
    <t>SPS SHEFFIELD RD NTH WATTLE GROVE</t>
  </si>
  <si>
    <t>113 SHEFFIELD RD</t>
  </si>
  <si>
    <t>115.978811791</t>
  </si>
  <si>
    <t>-31.9993697909</t>
  </si>
  <si>
    <t>S2017562</t>
  </si>
  <si>
    <t>HH14-41-5</t>
  </si>
  <si>
    <t>0180035834</t>
  </si>
  <si>
    <t>S2004021</t>
  </si>
  <si>
    <t>SPS SHEFFIELD RD STH WATTLE GROVE</t>
  </si>
  <si>
    <t>67 SHEFFIELD RD</t>
  </si>
  <si>
    <t>115.982268821</t>
  </si>
  <si>
    <t>-32.002361823</t>
  </si>
  <si>
    <t>S2007283</t>
  </si>
  <si>
    <t>FZ03-41-5</t>
  </si>
  <si>
    <t>0148004593</t>
  </si>
  <si>
    <t>S2000136</t>
  </si>
  <si>
    <t>SPS STIRLING CR HAZELMERE</t>
  </si>
  <si>
    <t>816 STIRLING CR</t>
  </si>
  <si>
    <t>HAZELMERE</t>
  </si>
  <si>
    <t>115.99714928</t>
  </si>
  <si>
    <t>-31.89661954</t>
  </si>
  <si>
    <t>S2002459</t>
  </si>
  <si>
    <t>EC66-41-5</t>
  </si>
  <si>
    <t>410M193205</t>
  </si>
  <si>
    <t>S0032682</t>
  </si>
  <si>
    <t>SPS STONE ST MOSMAN PARK</t>
  </si>
  <si>
    <t>654 STONE ST</t>
  </si>
  <si>
    <t>115.770721313</t>
  </si>
  <si>
    <t>-32.0228764723</t>
  </si>
  <si>
    <t>S0032686</t>
  </si>
  <si>
    <t>ES55-41-5</t>
  </si>
  <si>
    <t>0148003127</t>
  </si>
  <si>
    <t>S0034174</t>
  </si>
  <si>
    <t>SPS STONEHAM ST ASCOT</t>
  </si>
  <si>
    <t>50 STONEHAM ST</t>
  </si>
  <si>
    <t>115.922201347</t>
  </si>
  <si>
    <t>-31.941397005</t>
  </si>
  <si>
    <t>S0034180</t>
  </si>
  <si>
    <t>AK02-41-4</t>
  </si>
  <si>
    <t>450M22329</t>
  </si>
  <si>
    <t>S0028660</t>
  </si>
  <si>
    <t>SPS SUMMERLAKES PDE BALLAJURA</t>
  </si>
  <si>
    <t>72 SUMMERLAKES PDE</t>
  </si>
  <si>
    <t>BALLAJURA</t>
  </si>
  <si>
    <t>6066</t>
  </si>
  <si>
    <t>115.88042521</t>
  </si>
  <si>
    <t>-31.842769079</t>
  </si>
  <si>
    <t>S0028664</t>
  </si>
  <si>
    <t>AL49-5-1</t>
  </si>
  <si>
    <t>410M132140</t>
  </si>
  <si>
    <t>S0033851</t>
  </si>
  <si>
    <t>SPS SWEETMAN ST ARDROSS</t>
  </si>
  <si>
    <t>1 SWEETMAN ST</t>
  </si>
  <si>
    <t>ARDROSS</t>
  </si>
  <si>
    <t>115.840443015</t>
  </si>
  <si>
    <t>-32.0225256506</t>
  </si>
  <si>
    <t>S0033855</t>
  </si>
  <si>
    <t>17439-40-1</t>
  </si>
  <si>
    <t>0148001653</t>
  </si>
  <si>
    <t>S0032786</t>
  </si>
  <si>
    <t>SPS TEWSON RD CAMILLO</t>
  </si>
  <si>
    <t>55 TEWSON RD</t>
  </si>
  <si>
    <t>115.992925442</t>
  </si>
  <si>
    <t>-32.120381073</t>
  </si>
  <si>
    <t>S0032792</t>
  </si>
  <si>
    <t>10545-10-1</t>
  </si>
  <si>
    <t>0148003210</t>
  </si>
  <si>
    <t>S0032695</t>
  </si>
  <si>
    <t>SPS THE COOMBE MOSMAN PARK</t>
  </si>
  <si>
    <t>11074 RIVERVIEW PL</t>
  </si>
  <si>
    <t>115.775368033</t>
  </si>
  <si>
    <t>-32.0125332319</t>
  </si>
  <si>
    <t>S0032701</t>
  </si>
  <si>
    <t>BM83-41-4</t>
  </si>
  <si>
    <t>450M22313</t>
  </si>
  <si>
    <t>S2019810</t>
  </si>
  <si>
    <t>SPS THE EMBANKMENT HAZELMERE</t>
  </si>
  <si>
    <t>43 PARKFARM DR</t>
  </si>
  <si>
    <t>115.98226551</t>
  </si>
  <si>
    <t>-31.90350019</t>
  </si>
  <si>
    <t>S2019814</t>
  </si>
  <si>
    <t>JD02-41-5</t>
  </si>
  <si>
    <t>0350016188</t>
  </si>
  <si>
    <t>S0033858</t>
  </si>
  <si>
    <t>SPS THE ESPLANADE NTH MT PLEASANT</t>
  </si>
  <si>
    <t xml:space="preserve">3413 THE ESPLANADE </t>
  </si>
  <si>
    <t>115.852760199</t>
  </si>
  <si>
    <t>-32.025893133</t>
  </si>
  <si>
    <t>S0033862</t>
  </si>
  <si>
    <t>18027-40-1</t>
  </si>
  <si>
    <t>002100622</t>
  </si>
  <si>
    <t>S0033863</t>
  </si>
  <si>
    <t>SPS THE ESPLANADE STH MT PLEASANT</t>
  </si>
  <si>
    <t xml:space="preserve">249 THE ESPLANADE </t>
  </si>
  <si>
    <t>115.856967045</t>
  </si>
  <si>
    <t>-32.037364617</t>
  </si>
  <si>
    <t>S0033867</t>
  </si>
  <si>
    <t>AO36-41-4</t>
  </si>
  <si>
    <t>450M22319</t>
  </si>
  <si>
    <t>S0033868</t>
  </si>
  <si>
    <t>SPS THE STRAND APPLECROSS</t>
  </si>
  <si>
    <t xml:space="preserve">10586 THE STRAND </t>
  </si>
  <si>
    <t>115.833891892</t>
  </si>
  <si>
    <t>-32.007315704</t>
  </si>
  <si>
    <t>S0033872</t>
  </si>
  <si>
    <t>17829-40-1</t>
  </si>
  <si>
    <t>450M22341</t>
  </si>
  <si>
    <t>S0033156</t>
  </si>
  <si>
    <t>SPS TYDEMAN RD NORTH FREMANTLE</t>
  </si>
  <si>
    <t>4 TYDEMAN RD</t>
  </si>
  <si>
    <t>115.755153712</t>
  </si>
  <si>
    <t>-32.036209137</t>
  </si>
  <si>
    <t>1947</t>
  </si>
  <si>
    <t>S0033162</t>
  </si>
  <si>
    <t>FV06-41-4</t>
  </si>
  <si>
    <t>0148001613</t>
  </si>
  <si>
    <t>S0034452</t>
  </si>
  <si>
    <t>SPS VALONIA RD LANGFORD</t>
  </si>
  <si>
    <t>4 VALONIA RD</t>
  </si>
  <si>
    <t>115.940154996</t>
  </si>
  <si>
    <t>-32.046680135</t>
  </si>
  <si>
    <t>S0034458</t>
  </si>
  <si>
    <t>11670-40-1</t>
  </si>
  <si>
    <t>0148001605</t>
  </si>
  <si>
    <t>S0032702</t>
  </si>
  <si>
    <t>SPS VIKING RD DALKEITH</t>
  </si>
  <si>
    <t>22 HYNES RD</t>
  </si>
  <si>
    <t>115.792527575</t>
  </si>
  <si>
    <t>-31.9982363411</t>
  </si>
  <si>
    <t>S0032710</t>
  </si>
  <si>
    <t>06658-41-5</t>
  </si>
  <si>
    <t>450M22311</t>
  </si>
  <si>
    <t>S0030210</t>
  </si>
  <si>
    <t>SPS WATKINS ST EDEN HILL</t>
  </si>
  <si>
    <t>22 LORD ST</t>
  </si>
  <si>
    <t>115.956141227</t>
  </si>
  <si>
    <t>-31.889185748</t>
  </si>
  <si>
    <t>S0030216</t>
  </si>
  <si>
    <t>14916-40-3</t>
  </si>
  <si>
    <t>450M22343</t>
  </si>
  <si>
    <t>S0032718</t>
  </si>
  <si>
    <t>SPS WATTLE AV DALKEITH</t>
  </si>
  <si>
    <t>22 WATTLE AV</t>
  </si>
  <si>
    <t>115.796933533</t>
  </si>
  <si>
    <t>-32.0033316517</t>
  </si>
  <si>
    <t>S0032722</t>
  </si>
  <si>
    <t>07315-40-1</t>
  </si>
  <si>
    <t>450M22312</t>
  </si>
  <si>
    <t>S0033121</t>
  </si>
  <si>
    <t>SPS WEIR CR BECKENHAM</t>
  </si>
  <si>
    <t>290 WEIR CR</t>
  </si>
  <si>
    <t>115.967622923</t>
  </si>
  <si>
    <t>-32.0199604796</t>
  </si>
  <si>
    <t>S0033127</t>
  </si>
  <si>
    <t>11315-18-1</t>
  </si>
  <si>
    <t>0148004230</t>
  </si>
  <si>
    <t>S0032809</t>
  </si>
  <si>
    <t>SPS WHITELEY AV HILBERT</t>
  </si>
  <si>
    <t>4 WHITELEY RD</t>
  </si>
  <si>
    <t>BROOKDALE</t>
  </si>
  <si>
    <t>115.994291268</t>
  </si>
  <si>
    <t>-32.164557117</t>
  </si>
  <si>
    <t>S0032813</t>
  </si>
  <si>
    <t>AY92-41-2</t>
  </si>
  <si>
    <t>002101086</t>
  </si>
  <si>
    <t>S0034464</t>
  </si>
  <si>
    <t>SPS WILLCOCK ST FERNDALE</t>
  </si>
  <si>
    <t>33 WILLCOCK ST</t>
  </si>
  <si>
    <t>115.927320754</t>
  </si>
  <si>
    <t>-32.027683674</t>
  </si>
  <si>
    <t>S0034470</t>
  </si>
  <si>
    <t>13196-5-12</t>
  </si>
  <si>
    <t>0148001603</t>
  </si>
  <si>
    <t>S0030240</t>
  </si>
  <si>
    <t>SPS WOODBRIDGE ST GUILDFORD</t>
  </si>
  <si>
    <t>50 GREAT EASTERN HWY</t>
  </si>
  <si>
    <t>115.986222356</t>
  </si>
  <si>
    <t>-31.8911106646</t>
  </si>
  <si>
    <t>S0030244</t>
  </si>
  <si>
    <t>08183-40-1</t>
  </si>
  <si>
    <t>000000000148004871</t>
  </si>
  <si>
    <t>S2003353</t>
  </si>
  <si>
    <t>SPS WOODLAKE RT KINGSLEY</t>
  </si>
  <si>
    <t>29 WOODLAKE RTT</t>
  </si>
  <si>
    <t>115.818880472</t>
  </si>
  <si>
    <t>-31.817399327</t>
  </si>
  <si>
    <t>S2003357</t>
  </si>
  <si>
    <t>FI64-41-5</t>
  </si>
  <si>
    <t>0148006366</t>
  </si>
  <si>
    <t>S0028717</t>
  </si>
  <si>
    <t>SPS WOODVILLE HTS HILLARYS</t>
  </si>
  <si>
    <t>23 WOODVILLE HTS</t>
  </si>
  <si>
    <t>115.73740695</t>
  </si>
  <si>
    <t>-31.806070485</t>
  </si>
  <si>
    <t>S0028720</t>
  </si>
  <si>
    <t>BI12-41-2</t>
  </si>
  <si>
    <t>0081000008</t>
  </si>
  <si>
    <t>S0033519</t>
  </si>
  <si>
    <t>SPS WORRELL AV HIGH WYCOMBE</t>
  </si>
  <si>
    <t>83 WORRELL AV</t>
  </si>
  <si>
    <t>115.993551711</t>
  </si>
  <si>
    <t>-31.9333749522</t>
  </si>
  <si>
    <t>S0033523</t>
  </si>
  <si>
    <t>CC64-42-2</t>
  </si>
  <si>
    <t>410M175808</t>
  </si>
  <si>
    <t>S2002461</t>
  </si>
  <si>
    <t>SPS WYATT RD BAYSWATER</t>
  </si>
  <si>
    <t>92 WYATT RD</t>
  </si>
  <si>
    <t>115.932652918</t>
  </si>
  <si>
    <t>-31.928348077</t>
  </si>
  <si>
    <t>S2002902</t>
  </si>
  <si>
    <t>FE79-41-5</t>
  </si>
  <si>
    <t>0148003378</t>
  </si>
  <si>
    <t>General Comments</t>
  </si>
  <si>
    <t>End Time</t>
  </si>
  <si>
    <t>Start time</t>
  </si>
  <si>
    <t>\Metro South\River Proximity\Canning Vale\WWPS - Bannister Rd</t>
  </si>
  <si>
    <t>\Metro East\Inner East\Mt Lawley\WWPS - Central Av</t>
  </si>
  <si>
    <t>\Metro South\River Proximity\Applecross\WWPS - Dunkley Av</t>
  </si>
  <si>
    <t>\Metro South\River Proximity\Lynwood\WWPS - Fleetwood Rd</t>
  </si>
  <si>
    <t>\Metro East\South East\Armadale\WWPS - Forrest Rd</t>
  </si>
  <si>
    <t>\Metro North\Lower Coastal\Osborne Park\WWPS - Hasler Rd</t>
  </si>
  <si>
    <t>\Metro North\Lower Coastal\Wembley\WWPS - Herdsman Pde</t>
  </si>
  <si>
    <t>\Metro South\River Proximity\Ferndale\WWPS - High Rd</t>
  </si>
  <si>
    <t>\Metro East\South East\Gosnells\WWPS - Homestead Rd</t>
  </si>
  <si>
    <t>\Metro East\Inner East\Bassendean\WWPS - Hyland St</t>
  </si>
  <si>
    <t>\Metro East\Midland-Swan\Middle Swan\WWPS - Lloyd St Nth</t>
  </si>
  <si>
    <t>\Metro South\River Proximity\Myaree\WWPS - Marmion St West</t>
  </si>
  <si>
    <t>\Metro North\Lower Coastal\Crawley\WWPS - Parkway St</t>
  </si>
  <si>
    <t>\Metro South\River Proximity\Lynwood\WWPS - Purley Cr</t>
  </si>
  <si>
    <t>\Metro South\River Proximity\Mt Pleasant\WWPS - The Esplanade Nth</t>
  </si>
  <si>
    <t>\Metro South\River Proximity\Como\WWPS - Thelma St West</t>
  </si>
  <si>
    <t>\Metro East\Midland-Swan\South Guildford\WWPS - Wilkie St</t>
  </si>
  <si>
    <t>\Metro South\Rockingham-Kwinana\Calista\WWPS - Barrick Rd</t>
  </si>
  <si>
    <t>\Metro North\Upper Coastal\Hillarys\WWPS - Mawson Cr</t>
  </si>
  <si>
    <t>\Metro North\Lower Coastal\Scarborough\WWPS - Abbett Pk</t>
  </si>
  <si>
    <t>\Metro South\Rockingham-Kwinana\Medina\WWPS - Brownell Cr</t>
  </si>
  <si>
    <t>\Metro North\Upper Coastal\Kinross\WWPS - Dunscore Wy</t>
  </si>
  <si>
    <t>\Metro South\Rockingham-Kwinana\Baldivis\WWPS - Eighty Rd</t>
  </si>
  <si>
    <t>\Metro South\Rockingham-Kwinana\Bertram\WWPS - Bertram Rd</t>
  </si>
  <si>
    <t>\Metro East\Inner East\Malaga\WWPS - Victoria Rd West</t>
  </si>
  <si>
    <t>\Metro North\Lower Coastal\Nedlands\WWPS - Kingston St</t>
  </si>
  <si>
    <t>\Metro North\Wanneroo Corridor\Landsdale\WWPS - Warradale Tce</t>
  </si>
  <si>
    <t>\Metro South\Mandurah\Coodanup\WWPS - Wanjeep St</t>
  </si>
  <si>
    <t>\Metro North\Upper Coastal\Neerabup\WWPS - Wanneroo Rd</t>
  </si>
  <si>
    <t>\Metro East\South East\Forrestfield\WWPS - Dubs Cl</t>
  </si>
  <si>
    <t>\Metro North\Wanneroo Corridor\Darch\WWPS - Driver Rd</t>
  </si>
  <si>
    <t>\Metro North\Lower Coastal\Osborne Park\WWPS - Harborne St</t>
  </si>
  <si>
    <t>\Metro North\Upper Coastal\Carine\WWPS - Cressbrook Wy</t>
  </si>
  <si>
    <t>\Metro South\Fremantle-Jandakot\Spearwood\WWPS - Troode St</t>
  </si>
  <si>
    <t>\Metro East\Darling Range\Piara Waters\WWPS - Wright Rd</t>
  </si>
  <si>
    <t>\Metro East\Inner East\Eden Hill\WWPS - Chedworth Wy</t>
  </si>
  <si>
    <t>\Metro North\Wanneroo Corridor\Landsdale\WWPS - Rogers Wy</t>
  </si>
  <si>
    <t>\Metro South\Fremantle-Jandakot\Fremantle\WWPS - Essex St</t>
  </si>
  <si>
    <t>\Metro North\Wanneroo Corridor\Greenwood\WWPS - Warrigal Wy</t>
  </si>
  <si>
    <t>\Metro South\River Proximity\Canning Vale\WWPS - Feltbush Mews</t>
  </si>
  <si>
    <t>\Metro North\Upper Coastal\Mindarie\WWPS - Rosslare Prom</t>
  </si>
  <si>
    <t>\Metro South\Rockingham-Kwinana\Port Kennedy\WWPS - Endeavour Dr</t>
  </si>
  <si>
    <t>\Metro North\Upper Coastal\Kallaroo\WWPS - Dampier Av</t>
  </si>
  <si>
    <t>\Metro South\Fremantle-Jandakot\Aubin Grove\WWPS - Lyon Rd</t>
  </si>
  <si>
    <t>\Metro South\River Proximity\Canning Vale\WWPS - Campbell Rd</t>
  </si>
  <si>
    <t>\Metro South\River Proximity\Palmyra\WWPS - Forrest St</t>
  </si>
  <si>
    <t>\Metro East\Inner East\Yokine\WWPS - Wordsworth Av</t>
  </si>
  <si>
    <t>\Metro East\Inner East\Morley\WWPS - Beechboro Rd</t>
  </si>
  <si>
    <t>\Metro South\Rockingham-Kwinana\Cooloongup\WWPS - Elanora Dr</t>
  </si>
  <si>
    <t>\Metro South\Fremantle-Jandakot\South Lake\WWPS - Glenbawn Dr</t>
  </si>
  <si>
    <t>\Metro North\Upper Coastal\Merriwa\WWPS - Baltimore Pde</t>
  </si>
  <si>
    <t>\Metro South\Fremantle-Jandakot\Atwell\WWPS - Brenchley Dr</t>
  </si>
  <si>
    <t>\Metro East\Inner East\Dianella\WWPS - Croydon St</t>
  </si>
  <si>
    <t>\Metro North\Upper Coastal\Clarkson\WWPS - Connolly Dr</t>
  </si>
  <si>
    <t>\Metro East\Midland-Swan\Woodbridge\WWPS - Holmesdale Rd</t>
  </si>
  <si>
    <t>\Metro South\Fremantle-Jandakot\Hamilton Hill\WWPS - Bennett Av</t>
  </si>
  <si>
    <t>Pressure Xmitter (BS Sheet)</t>
  </si>
  <si>
    <t>RTU Type (BS Sheets)</t>
  </si>
  <si>
    <t>Asbestos</t>
  </si>
  <si>
    <t>Ademco</t>
  </si>
  <si>
    <t>PDS Compact 550</t>
  </si>
  <si>
    <t>eNET</t>
  </si>
  <si>
    <t>PDS eNET</t>
  </si>
  <si>
    <t>Scadapak 350e</t>
  </si>
  <si>
    <t>eNet</t>
  </si>
  <si>
    <t>Widget Type:</t>
  </si>
  <si>
    <t>Text</t>
  </si>
  <si>
    <t>Default Label:</t>
  </si>
  <si>
    <t>Custom Label:</t>
  </si>
  <si>
    <t>Date-Time</t>
  </si>
  <si>
    <t>Start Time</t>
  </si>
  <si>
    <t>Location</t>
  </si>
  <si>
    <t>GPS Location (Field worker)</t>
  </si>
  <si>
    <t>GPS Location (Site Data)</t>
  </si>
  <si>
    <t>Select</t>
  </si>
  <si>
    <t>Display AutoSave questions?</t>
  </si>
  <si>
    <t>Display more site Info?</t>
  </si>
  <si>
    <t>Divider</t>
  </si>
  <si>
    <t>Control</t>
  </si>
  <si>
    <t>Drawings - As Con Markups available</t>
  </si>
  <si>
    <t>Post Code</t>
  </si>
  <si>
    <t>My Element7</t>
  </si>
  <si>
    <t>Site exists in AutoSave</t>
  </si>
  <si>
    <t>Image</t>
  </si>
  <si>
    <t>Graffiti Photo</t>
  </si>
  <si>
    <t>Other site Information</t>
  </si>
  <si>
    <t>My Element1</t>
  </si>
  <si>
    <t>Powerline Photo</t>
  </si>
  <si>
    <t>Details of power connection</t>
  </si>
  <si>
    <t>Power connection Photo</t>
  </si>
  <si>
    <t>Outdoor Cubicles Photo</t>
  </si>
  <si>
    <t>Fencing Photo</t>
  </si>
  <si>
    <t>Take duty/control Selector Photos?</t>
  </si>
  <si>
    <t>Building/Cabinet Photo</t>
  </si>
  <si>
    <t>Location for new Cabinet Photo</t>
  </si>
  <si>
    <t>Building/Cabinet Photo 2</t>
  </si>
  <si>
    <t>Location for new panels/cabinet - details</t>
  </si>
  <si>
    <t>Zelemite Photo</t>
  </si>
  <si>
    <t>Multiselect</t>
  </si>
  <si>
    <t>My Element3</t>
  </si>
  <si>
    <t>Additional comms Type comments</t>
  </si>
  <si>
    <t>Mast Photo</t>
  </si>
  <si>
    <t>Radio Path Photo</t>
  </si>
  <si>
    <t>Details regarding radio barriers (if any)</t>
  </si>
  <si>
    <t>Existing Mast Height</t>
  </si>
  <si>
    <t>Location of new mast Photo</t>
  </si>
  <si>
    <t>Is conduit path to existing mast OK?</t>
  </si>
  <si>
    <t>Conduit Photo</t>
  </si>
  <si>
    <t>Conduit Photo1</t>
  </si>
  <si>
    <t>My Element4</t>
  </si>
  <si>
    <t>Pick List</t>
  </si>
  <si>
    <t>Flowmeter Range (mA)</t>
  </si>
  <si>
    <t>Flowmeter Photo</t>
  </si>
  <si>
    <t>Flowmeter Model (if not found in list)</t>
  </si>
  <si>
    <t>Flowmeter Serial number</t>
  </si>
  <si>
    <t>Flowmeter Range (mA) if not in selection</t>
  </si>
  <si>
    <t>Flowmeter Supply Voltage</t>
  </si>
  <si>
    <t>Flowmeter Pulse Settings</t>
  </si>
  <si>
    <t>Flowmeter diameter (mm)</t>
  </si>
  <si>
    <t>Flowmeter Pipework Lengths upstream</t>
  </si>
  <si>
    <t>Flowmeter Pipework Lengths Downstream</t>
  </si>
  <si>
    <t>Flowmeter exists in AutoSave</t>
  </si>
  <si>
    <t>Flowmeter serial connection</t>
  </si>
  <si>
    <t>Flowmeter configuration loaded in AutoSave</t>
  </si>
  <si>
    <t>Flowmeter location in AutoSave</t>
  </si>
  <si>
    <t>My Element6</t>
  </si>
  <si>
    <t>Pressure Transmitter Condition</t>
  </si>
  <si>
    <t>My Element2</t>
  </si>
  <si>
    <t>Level Transmitter General Type</t>
  </si>
  <si>
    <t>Level Transmitter Condition</t>
  </si>
  <si>
    <t>Level Transmitter Alarm contacts</t>
  </si>
  <si>
    <t>Level Transmitter Serial Connection</t>
  </si>
  <si>
    <t>My Element5</t>
  </si>
  <si>
    <t>Exsiting Ademco</t>
  </si>
  <si>
    <t>Ademco Phone Number</t>
  </si>
  <si>
    <t>Exsiting RTU</t>
  </si>
  <si>
    <t>RTU Make</t>
  </si>
  <si>
    <t>RTU Model</t>
  </si>
  <si>
    <t>Exsiting PLC</t>
  </si>
  <si>
    <t>PLC Make</t>
  </si>
  <si>
    <t>PLC Model</t>
  </si>
  <si>
    <t>Exsiting PSTN Modem</t>
  </si>
  <si>
    <t>PSTN Modem Make and model</t>
  </si>
  <si>
    <t>My Element8</t>
  </si>
  <si>
    <t>Backup PSU Voltage</t>
  </si>
  <si>
    <t>Backup PSU AmpHours</t>
  </si>
  <si>
    <t>My Element9</t>
  </si>
  <si>
    <t>Existing electrodes</t>
  </si>
  <si>
    <t>Float Balls</t>
  </si>
  <si>
    <t>Float Balls Details</t>
  </si>
  <si>
    <t>Drawing</t>
  </si>
  <si>
    <t>Scribble Pad</t>
  </si>
  <si>
    <t>\Metro East\South East\Ascot\WWPS - Abernethy Rd</t>
  </si>
  <si>
    <t>\Metro North\Lower Coastal\North Perth\WWPS - Albert St</t>
  </si>
  <si>
    <t>\Metro South\River Proximity\Booragoon\WWPS - Aldridge Rd</t>
  </si>
  <si>
    <t>\Metro East\South East\Maddington\WWPS - Alloa St</t>
  </si>
  <si>
    <t>\Metro East\South East\Ascot\WWPS - Ascot Pl</t>
  </si>
  <si>
    <t>\Metro East\South East\Gosnells\WWPS - Astley St</t>
  </si>
  <si>
    <t>\Metro North\Lower Coastal\North Perth\WWPS - Barnet St</t>
  </si>
  <si>
    <t>\Metro East\South East\Huntingdale\WWPS - Baxter Cl</t>
  </si>
  <si>
    <t>\Metro East\Midland-Swan\Caversham\WWPS - Bennett St</t>
  </si>
  <si>
    <t>\Metro South\River Proximity\Shelley\WWPS - Beryl Av</t>
  </si>
  <si>
    <t>\Metro East\Inner East\Bassendean\WWPS - Best Wy</t>
  </si>
  <si>
    <t>\Metro South\River Proximity\Como\WWPS - Bickley Cres</t>
  </si>
  <si>
    <t>\Metro North\Lower Coastal\Churchlands\WWPS - Bishop Riley Wy</t>
  </si>
  <si>
    <t>\Metro South\River Proximity\Bicton\WWPS - Blackwall Reach Pde</t>
  </si>
  <si>
    <t>\Metro South\River Proximity\Langford\WWPS - Brookman Av</t>
  </si>
  <si>
    <t>\Metro East\South East\Kelmscott\WWPS - Brookside Av</t>
  </si>
  <si>
    <t>\Metro East\Midland-Swan\Caversham\WWPS - Brookside Gdns</t>
  </si>
  <si>
    <t>\Metro East\South East\Kelmscott\WWPS - Brookton Hwy</t>
  </si>
  <si>
    <t>\Metro South\Fremantle-Jandakot\North Fremantle\WWPS - Bruce St</t>
  </si>
  <si>
    <t>\Metro South\River Proximity\Attadale\WWPS - Burke Dr</t>
  </si>
  <si>
    <t>\Metro East\Inner East\Maylands\WWPS - Caledonian Av</t>
  </si>
  <si>
    <t>\Metro East\South East\Kelmscott\WWPS - Cammillo Rd</t>
  </si>
  <si>
    <t>\Metro South\River Proximity\Ferndale\WWPS - Camsell Wy</t>
  </si>
  <si>
    <t>\Metro South\River Proximity\Applecross\WWPS - Canning Beach Rd</t>
  </si>
  <si>
    <t>\Metro North\Lower Coastal\Mosman Park\WWPS - Caporn St</t>
  </si>
  <si>
    <t>\Metro North\Lower Coastal\Gwelup\WWPS - Careniup Av</t>
  </si>
  <si>
    <t>\Metro East\Inner East\East Perth\WWPS - Causeway</t>
  </si>
  <si>
    <t>\Metro South\Fremantle-Jandakot\Leeming\WWPS - Chalmers Pl</t>
  </si>
  <si>
    <t>\Metro East\Midland-Swan\The Vines\WWPS - Chenin La</t>
  </si>
  <si>
    <t>\Metro East\South East\Kewdale\WWPS - Chisholm Cr</t>
  </si>
  <si>
    <t>\Metro South\River Proximity\Ferndale\WWPS - Coniston Wy</t>
  </si>
  <si>
    <t>\Metro South\River Proximity\Thornlie\WWPS - Connemara Dr</t>
  </si>
  <si>
    <t>\Metro East\South East\Ascot\WWPS - Coolgardie Av</t>
  </si>
  <si>
    <t>\Metro East\South East\Gosnells\WWPS - Corfield St</t>
  </si>
  <si>
    <t>\Metro South\River Proximity\Bicton\WWPS - Crewe St</t>
  </si>
  <si>
    <t>\Metro South\River Proximity\Thornlie\WWPS - Culligan Rd</t>
  </si>
  <si>
    <t>\Metro South\Fremantle-Jandakot\Bull Creek\WWPS - Curedale Mews</t>
  </si>
  <si>
    <t>\Metro East\Midland-Swan\Jane Brook\WWPS - De Grey Rtt</t>
  </si>
  <si>
    <t>\Metro South\River Proximity\Applecross\WWPS - Dee Rd</t>
  </si>
  <si>
    <t>\Metro East\South East\Champion Lakes\WWPS - Dorney Esp</t>
  </si>
  <si>
    <t>\Metro South\River Proximity\Applecross\WWPS - Duncraig Rd</t>
  </si>
  <si>
    <t>\Metro South\River Proximity\Applecross\WWPS - Dunvegan Rd</t>
  </si>
  <si>
    <t>\Metro South\River Proximity\Ferndale\WWPS - Eastfield Ct</t>
  </si>
  <si>
    <t>\Metro South\River Proximity\Salter Point\WWPS - Edgewater Rd</t>
  </si>
  <si>
    <t>\Metro East\Midland-Swan\Bellevue\WWPS - Elder Wy</t>
  </si>
  <si>
    <t>\Metro South\River Proximity\Langford\WWPS - Ellison Dr</t>
  </si>
  <si>
    <t>\Metro East\Midland-Swan\Viveash\WWPS - Elvire St</t>
  </si>
  <si>
    <t>\Metro East\Midland-Swan\Middle Swan\WWPS - Eveline Rd</t>
  </si>
  <si>
    <t>\Metro South\Fremantle-Jandakot\North Lake\WWPS - Farrington Rd</t>
  </si>
  <si>
    <t>\Metro South\River Proximity\Wilson\WWPS - Fern Rd</t>
  </si>
  <si>
    <t>\Metro South\River Proximity\Rossmoyne\WWPS - Fifth Av</t>
  </si>
  <si>
    <t>\Metro South\River Proximity\Rossmoyne\WWPS - First Av</t>
  </si>
  <si>
    <t>\Metro North\Lower Coastal\Churchlands\WWPS - Flynn St</t>
  </si>
  <si>
    <t>\Metro East\South East\Hilbert\WWPS - Forrest Rd Temp</t>
  </si>
  <si>
    <t>\Metro North\Upper Coastal\Mullaloo\WWPS - Gainsborough Wy</t>
  </si>
  <si>
    <t>\Metro East\South East\Kenwick\WWPS - Gayhurst Rd</t>
  </si>
  <si>
    <t>\Metro South\River Proximity\Ferndale\WWPS - Glen Ct</t>
  </si>
  <si>
    <t>\Metro South\Fremantle-Jandakot\Hamilton Hill\WWPS - Glenister Rd</t>
  </si>
  <si>
    <t>\Metro North\Lower Coastal\Mosman Park\WWPS - Glenn Av</t>
  </si>
  <si>
    <t>\Metro East\Inner East\East Perth\WWPS - Gloucester Park</t>
  </si>
  <si>
    <t>\Metro North\Wanneroo Corridor\Kingsley\WWPS - Goollelal Dr</t>
  </si>
  <si>
    <t>\Metro South\River Proximity\Manning\WWPS - Griffin Cr</t>
  </si>
  <si>
    <t>\Metro North\Lower Coastal\Crawley\WWPS - Hackett Dr</t>
  </si>
  <si>
    <t>\Metro East\Midland-Swan\Woodbridge\WWPS - Harper St</t>
  </si>
  <si>
    <t>\Metro East\Inner East\Malaga\WWPS - Harris Rd</t>
  </si>
  <si>
    <t>\Metro East\Inner East\East Perth\WWPS - Henry Lawson Wk</t>
  </si>
  <si>
    <t>\Metro East\South East\Maddington\WWPS - Herbert St</t>
  </si>
  <si>
    <t>\Metro South\River Proximity\Ferndale\WWPS - Hibbertia Cr</t>
  </si>
  <si>
    <t>\Metro North\Upper Coastal\North Beach\WWPS - Hope St</t>
  </si>
  <si>
    <t>\Metro South\River Proximity\Salter Point\WWPS - Howard Pde</t>
  </si>
  <si>
    <t>\Metro North\Lower Coastal\Mosman Park\WWPS - Hutchinson Av</t>
  </si>
  <si>
    <t>\Metro East\South East\Gosnells\WWPS - James St</t>
  </si>
  <si>
    <t>\Metro East\Inner East\Lockridge\WWPS - Jennings Wy</t>
  </si>
  <si>
    <t>\Metro North\Lower Coastal\Jolimont\WWPS - Jersey St</t>
  </si>
  <si>
    <t>\Metro North\Lower Coastal\Claremont\WWPS - Jetty Rd</t>
  </si>
  <si>
    <t>\Metro East\Inner East\Inglewood\WWPS - John St</t>
  </si>
  <si>
    <t>\Metro East\Inner East\Maylands\WWPS - Johnson Rd</t>
  </si>
  <si>
    <t>\Metro East\Inner East\Bayswater\WWPS - Katanning St</t>
  </si>
  <si>
    <t>\Metro North\Lower Coastal\Peppermint Grove\WWPS - Keanes Pt</t>
  </si>
  <si>
    <t>\Metro East\Inner East\Maylands\WWPS - Kelvin St</t>
  </si>
  <si>
    <t>\Metro South\River Proximity\Waterford\WWPS - Kilkenny Cir</t>
  </si>
  <si>
    <t>\Metro East\Inner East\Maylands\WWPS - Kittyhawk View</t>
  </si>
  <si>
    <t>\Metro South\River Proximity\Cannington\WWPS - Lake St</t>
  </si>
  <si>
    <t>\Metro North\Lower Coastal\Claremont\WWPS - Lakeway St</t>
  </si>
  <si>
    <t>\Metro East\Midland-Swan\Middle Swan\WWPS - Lloyd St Sth</t>
  </si>
  <si>
    <t>\Metro East\Inner East\Eden Hill\WWPS - Lord St</t>
  </si>
  <si>
    <t>\Metro South\River Proximity\Beckenham\WWPS - Lunar Wy</t>
  </si>
  <si>
    <t>\Metro South\River Proximity\East Cannington\WWPS - Luyer Av</t>
  </si>
  <si>
    <t>\Metro South\River Proximity\Thornlie\WWPS - Lyrebird Wy</t>
  </si>
  <si>
    <t>\Metro East\South East\Maddington\WWPS - Malcolm Rd</t>
  </si>
  <si>
    <t>\Metro South\Fremantle-Jandakot\Fremantle\WWPS - Market St</t>
  </si>
  <si>
    <t>\Metro East\South East\Champion Lakes\WWPS - McNeill Rd</t>
  </si>
  <si>
    <t>\Metro South\River Proximity\South Perth\WWPS - Mends St</t>
  </si>
  <si>
    <t>\Metro South\River Proximity\South Perth\WWPS - Mill Point Rd</t>
  </si>
  <si>
    <t>\Metro East\Inner East\Perth\WWPS - Mill St</t>
  </si>
  <si>
    <t>\Metro East\South East\Gosnells\WWPS - Mills Rd</t>
  </si>
  <si>
    <t>\Metro North\Lower Coastal\Dalkeith\WWPS - Minora Rd</t>
  </si>
  <si>
    <t>\Metro South\Rockingham-Kwinana\Singleton\WWPS - Navigator Dr</t>
  </si>
  <si>
    <t>\Metro East\Inner East\Bayswater\WWPS - Nolan Pl</t>
  </si>
  <si>
    <t>\Metro South\River Proximity\Beckenham\WWPS - Packer St</t>
  </si>
  <si>
    <t>\Metro East\South East\Kelmscott\WWPS - Page Rd</t>
  </si>
  <si>
    <t>\Metro North\Lower Coastal\Claremont\WWPS - Park Lane</t>
  </si>
  <si>
    <t>\Metro South\River Proximity\Wilson\WWPS - Parkhill Wy</t>
  </si>
  <si>
    <t>\Metro East\Midland-Swan\Helena Valley\WWPS - Parkview Gdn</t>
  </si>
  <si>
    <t>\Metro South\Fremantle-Jandakot\Bull Creek\WWPS - Parry Ave</t>
  </si>
  <si>
    <t>\Metro North\Lower Coastal\Crawley\WWPS - Pelican Pt\Kiosk</t>
  </si>
  <si>
    <t>\Metro North\Lower Coastal\Crawley\WWPS - Pelican Pt\Matilda Bay</t>
  </si>
  <si>
    <t>\Metro North\Lower Coastal\Crawley\WWPS - Pelican Pt\National Park</t>
  </si>
  <si>
    <t>\Metro North\Lower Coastal\Crawley\WWPS - Pelican Pt\RPYC</t>
  </si>
  <si>
    <t>\Metro North\Lower Coastal\Crawley\WWPS - Pelican Pt\RPYC Jr</t>
  </si>
  <si>
    <t>\Metro North\Lower Coastal\Crawley\WWPS - Pelican Pt\Sail Club</t>
  </si>
  <si>
    <t>\Metro North\Lower Coastal\Crawley\WWPS - Pelican Pt\Toilets</t>
  </si>
  <si>
    <t>\Metro North\Lower Coastal\Floreat\WWPS - Meagher Dr</t>
  </si>
  <si>
    <t>\Metro East\Inner East\Koondoola\WWPS - Rendell Wy</t>
  </si>
  <si>
    <t>\Metro East\South East\Kelmscott\WWPS - River Rd</t>
  </si>
  <si>
    <t>\Metro South\Fremantle-Jandakot\East Fremantle\WWPS - Riverside Rd</t>
  </si>
  <si>
    <t>\Metro South\River Proximity\Como\WWPS - Robert St</t>
  </si>
  <si>
    <t>\Metro South\River Proximity\Attadale\WWPS - Roberts Rd</t>
  </si>
  <si>
    <t>\Metro South\River Proximity\Beckenham\WWPS - Rochester Av</t>
  </si>
  <si>
    <t>\Metro North\Lower Coastal\Woodlands\WWPS - Rosewood Av</t>
  </si>
  <si>
    <t>\Metro East\Midland-Swan\The Vines\WWPS - Roxburghe Dr</t>
  </si>
  <si>
    <t>\Metro South\River Proximity\Langford\WWPS - Ruby Av</t>
  </si>
  <si>
    <t>\Metro South\Rockingham-Kwinana\Secret Harbour\WWPS - Secret Harbour Bvd</t>
  </si>
  <si>
    <t>\Metro East\South East\Wattle Grove\WWPS - Sheffield Rd Nth</t>
  </si>
  <si>
    <t>\Metro East\South East\Wattle Grove\WWPS - Sheffield Rd Sth</t>
  </si>
  <si>
    <t>\Metro East\Midland-Swan\Hazelmere\WWPS - Stirling Cr</t>
  </si>
  <si>
    <t>\Metro North\Lower Coastal\Mosman Park\WWPS - Stone St</t>
  </si>
  <si>
    <t>\Metro East\South East\Ascot\WWPS - Stoneham St</t>
  </si>
  <si>
    <t>\Metro East\Inner East\Ballajura\WWPS - Summerlakes Pde</t>
  </si>
  <si>
    <t>\Metro South\River Proximity\Ardross\WWPS - Sweetman St</t>
  </si>
  <si>
    <t>\Metro East\South East\Camillo\WWPS - Tewson Rd</t>
  </si>
  <si>
    <t>\Metro North\Lower Coastal\Mosman Park\WWPS - The Coombe</t>
  </si>
  <si>
    <t>\Metro East\Midland-Swan\South Guildford\WWPS - The Embankment</t>
  </si>
  <si>
    <t>\Metro South\River Proximity\Mt Pleasant\WWPS - The Esplanade Sth</t>
  </si>
  <si>
    <t>\Metro South\River Proximity\Applecross\WWPS - The Strand</t>
  </si>
  <si>
    <t>\Metro South\Fremantle-Jandakot\North Fremantle\WWPS - Tydeman Rd</t>
  </si>
  <si>
    <t>\Metro South\River Proximity\Langford\WWPS - Valonia Rd</t>
  </si>
  <si>
    <t>\Metro North\Lower Coastal\Dalkeith\WWPS - Viking Rd</t>
  </si>
  <si>
    <t>\Metro East\Inner East\Eden Hill\WWPS - Watkins St</t>
  </si>
  <si>
    <t>\Metro North\Lower Coastal\Dalkeith\WWPS - Wattle Av</t>
  </si>
  <si>
    <t>\Metro South\River Proximity\Beckenham\WWPS - Weir Cr</t>
  </si>
  <si>
    <t>\Metro East\South East\Brookdale\WWPS - Whiteley Rd</t>
  </si>
  <si>
    <t>\Metro South\River Proximity\Ferndale\WWPS - Willcock St</t>
  </si>
  <si>
    <t>\Metro East\Midland-Swan\Guildford\WWPS - Woodbridge St</t>
  </si>
  <si>
    <t>\Metro North\Wanneroo Corridor\Kingsley\WWPS - Woodlake Rt</t>
  </si>
  <si>
    <t>\Metro North\Upper Coastal\Hillarys\WWPS - Woodville Hts</t>
  </si>
  <si>
    <t>\Metro East\South East\High Wycombe\WWPS - Worrell Av</t>
  </si>
  <si>
    <t>\Metro East\Inner East\Bayswater\WWPS - Wyatt Rd</t>
  </si>
  <si>
    <t>Pump Controller 
(e.g. SM7, etc)</t>
  </si>
  <si>
    <t>Next G Testing</t>
  </si>
  <si>
    <t>Next G Test Performed?</t>
  </si>
  <si>
    <t>Existing Next G Modem 
on site?</t>
  </si>
  <si>
    <t>Modem Phone Number</t>
  </si>
  <si>
    <t>Modem IP Address (LAN)</t>
  </si>
  <si>
    <t>Modem IP Address (WAN)</t>
  </si>
  <si>
    <t>(Only if there is an existing Next G modem on site)</t>
  </si>
  <si>
    <t>Site Audit number</t>
  </si>
  <si>
    <t>Site Audit Number</t>
  </si>
  <si>
    <t>\Metro South\Rockingham-Kwinana\Baldivis\WWPS - Magenta Cr</t>
  </si>
  <si>
    <t>Make, Model and Phone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</si>
</sst>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 kVA&quot;"/>
    <numFmt numFmtId="165" formatCode="##&quot; V&quot;"/>
  </numFmts>
  <fonts count="23" x14ac:knownFonts="1">
    <font>
      <sz val="11"/>
      <color theme="1"/>
      <name val="Calibri"/>
      <family val="2"/>
      <scheme val="minor"/>
    </font>
    <font>
      <sz val="12"/>
      <color theme="1"/>
      <name val="Arial"/>
      <family val="2"/>
    </font>
    <font>
      <b/>
      <sz val="11"/>
      <color rgb="FF000000"/>
      <name val="Calibri"/>
      <family val="2"/>
    </font>
    <font>
      <sz val="11"/>
      <color rgb="FF000000"/>
      <name val="Calibri"/>
      <family val="2"/>
    </font>
    <font>
      <sz val="16"/>
      <color theme="1"/>
      <name val="Arial"/>
      <family val="2"/>
    </font>
    <font>
      <b/>
      <sz val="18"/>
      <color theme="1"/>
      <name val="Arial"/>
      <family val="2"/>
    </font>
    <font>
      <b/>
      <sz val="18"/>
      <color theme="1"/>
      <name val="Calibri"/>
      <family val="2"/>
      <scheme val="minor"/>
    </font>
    <font>
      <sz val="18"/>
      <color theme="1"/>
      <name val="Arial"/>
      <family val="2"/>
    </font>
    <font>
      <b/>
      <sz val="22"/>
      <color theme="1"/>
      <name val="Calibri"/>
      <family val="2"/>
      <scheme val="minor"/>
    </font>
    <font>
      <b/>
      <sz val="26"/>
      <color theme="1"/>
      <name val="Calibri"/>
      <family val="2"/>
      <scheme val="minor"/>
    </font>
    <font>
      <b/>
      <sz val="16"/>
      <color theme="1"/>
      <name val="Arial"/>
      <family val="2"/>
    </font>
    <font>
      <sz val="20"/>
      <color theme="1"/>
      <name val="Arial"/>
      <family val="2"/>
    </font>
    <font>
      <b/>
      <sz val="16"/>
      <color theme="1"/>
      <name val="Calibri"/>
      <family val="2"/>
      <scheme val="minor"/>
    </font>
    <font>
      <b/>
      <sz val="9"/>
      <color rgb="FF000000"/>
      <name val="Tahoma"/>
      <family val="2"/>
    </font>
    <font>
      <sz val="9"/>
      <color rgb="FF000000"/>
      <name val="Tahoma"/>
      <family val="2"/>
    </font>
    <font>
      <b/>
      <sz val="9"/>
      <color indexed="81"/>
      <name val="Tahoma"/>
      <family val="2"/>
    </font>
    <font>
      <sz val="9"/>
      <color indexed="81"/>
      <name val="Tahoma"/>
      <family val="2"/>
    </font>
    <font>
      <sz val="18"/>
      <color rgb="FF000000"/>
      <name val="Calibri"/>
      <family val="2"/>
    </font>
    <font>
      <sz val="22"/>
      <color theme="1"/>
      <name val="Arial"/>
      <family val="2"/>
    </font>
    <font>
      <sz val="8"/>
      <color rgb="FF333333"/>
      <name val="Arial"/>
      <family val="2"/>
    </font>
    <font>
      <b/>
      <sz val="8"/>
      <color rgb="FF333333"/>
      <name val="Arial"/>
      <family val="2"/>
    </font>
    <font>
      <sz val="11"/>
      <color theme="1"/>
      <name val="Arial"/>
      <family val="2"/>
    </font>
    <font>
      <sz val="26"/>
      <color theme="1"/>
      <name val="Arial"/>
      <family val="2"/>
    </font>
  </fonts>
  <fills count="8">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2"/>
        <bgColor indexed="64"/>
      </patternFill>
    </fill>
    <fill>
      <patternFill patternType="solid">
        <fgColor rgb="FFFFFFFF"/>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hair">
        <color indexed="64"/>
      </left>
      <right style="hair">
        <color indexed="64"/>
      </right>
      <top style="thin">
        <color indexed="64"/>
      </top>
      <bottom style="medium">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diagonal/>
    </border>
    <border>
      <left/>
      <right style="hair">
        <color indexed="64"/>
      </right>
      <top style="hair">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style="hair">
        <color indexed="64"/>
      </bottom>
      <diagonal/>
    </border>
    <border>
      <left style="hair">
        <color indexed="64"/>
      </left>
      <right/>
      <top style="hair">
        <color indexed="64"/>
      </top>
      <bottom/>
      <diagonal/>
    </border>
    <border>
      <left/>
      <right style="thin">
        <color indexed="64"/>
      </right>
      <top style="hair">
        <color indexed="64"/>
      </top>
      <bottom/>
      <diagonal/>
    </border>
    <border>
      <left/>
      <right style="thin">
        <color indexed="64"/>
      </right>
      <top/>
      <bottom style="hair">
        <color indexed="64"/>
      </bottom>
      <diagonal/>
    </border>
    <border>
      <left style="thin">
        <color indexed="64"/>
      </left>
      <right/>
      <top/>
      <bottom/>
      <diagonal/>
    </border>
    <border>
      <left/>
      <right style="thin">
        <color indexed="64"/>
      </right>
      <top/>
      <bottom/>
      <diagonal/>
    </border>
    <border>
      <left/>
      <right style="hair">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hair">
        <color indexed="64"/>
      </top>
      <bottom/>
      <diagonal/>
    </border>
    <border>
      <left style="medium">
        <color rgb="FFCBD4C2"/>
      </left>
      <right/>
      <top/>
      <bottom style="medium">
        <color rgb="FFCBD4C2"/>
      </bottom>
      <diagonal/>
    </border>
    <border>
      <left style="thin">
        <color rgb="FF808080"/>
      </left>
      <right/>
      <top style="thin">
        <color rgb="FF808080"/>
      </top>
      <bottom style="medium">
        <color rgb="FFCBD4C2"/>
      </bottom>
      <diagonal/>
    </border>
    <border>
      <left style="medium">
        <color rgb="FFCBD4C2"/>
      </left>
      <right/>
      <top style="thin">
        <color rgb="FF808080"/>
      </top>
      <bottom style="medium">
        <color rgb="FFCBD4C2"/>
      </bottom>
      <diagonal/>
    </border>
    <border>
      <left style="medium">
        <color rgb="FFCBD4C2"/>
      </left>
      <right style="thin">
        <color rgb="FF808080"/>
      </right>
      <top style="thin">
        <color rgb="FF808080"/>
      </top>
      <bottom style="medium">
        <color rgb="FFCBD4C2"/>
      </bottom>
      <diagonal/>
    </border>
    <border>
      <left style="thin">
        <color rgb="FF808080"/>
      </left>
      <right/>
      <top/>
      <bottom style="medium">
        <color rgb="FFCBD4C2"/>
      </bottom>
      <diagonal/>
    </border>
    <border>
      <left style="medium">
        <color rgb="FFCBD4C2"/>
      </left>
      <right style="thin">
        <color rgb="FF808080"/>
      </right>
      <top/>
      <bottom style="medium">
        <color rgb="FFCBD4C2"/>
      </bottom>
      <diagonal/>
    </border>
    <border>
      <left style="thin">
        <color rgb="FF808080"/>
      </left>
      <right/>
      <top/>
      <bottom style="thin">
        <color rgb="FF808080"/>
      </bottom>
      <diagonal/>
    </border>
    <border>
      <left style="medium">
        <color rgb="FFCBD4C2"/>
      </left>
      <right/>
      <top/>
      <bottom style="thin">
        <color rgb="FF808080"/>
      </bottom>
      <diagonal/>
    </border>
    <border>
      <left style="medium">
        <color rgb="FFCBD4C2"/>
      </left>
      <right style="thin">
        <color rgb="FF808080"/>
      </right>
      <top/>
      <bottom style="thin">
        <color rgb="FF808080"/>
      </bottom>
      <diagonal/>
    </border>
    <border>
      <left/>
      <right style="hair">
        <color indexed="64"/>
      </right>
      <top/>
      <bottom/>
      <diagonal/>
    </border>
  </borders>
  <cellStyleXfs count="1">
    <xf numFmtId="0" fontId="0" fillId="0" borderId="0"/>
  </cellStyleXfs>
  <cellXfs count="217">
    <xf numFmtId="0" fontId="0" fillId="0" borderId="0" xfId="0"/>
    <xf numFmtId="0" fontId="1" fillId="0" borderId="0" xfId="0" applyFont="1"/>
    <xf numFmtId="0" fontId="1" fillId="0" borderId="0" xfId="0" applyFont="1" applyAlignment="1">
      <alignment vertical="center"/>
    </xf>
    <xf numFmtId="0" fontId="1" fillId="0" borderId="0" xfId="0" applyFont="1" applyAlignment="1">
      <alignment horizontal="center" vertical="center"/>
    </xf>
    <xf numFmtId="0" fontId="3" fillId="0" borderId="14" xfId="0" applyFont="1" applyFill="1" applyBorder="1"/>
    <xf numFmtId="0" fontId="5" fillId="3" borderId="1" xfId="0" applyFont="1" applyFill="1" applyBorder="1" applyAlignment="1">
      <alignment vertical="center" wrapText="1"/>
    </xf>
    <xf numFmtId="0" fontId="6" fillId="2" borderId="1" xfId="0" applyFont="1" applyFill="1" applyBorder="1" applyAlignment="1">
      <alignment vertical="center" wrapText="1"/>
    </xf>
    <xf numFmtId="0" fontId="7" fillId="0" borderId="0" xfId="0" applyFont="1"/>
    <xf numFmtId="0" fontId="7" fillId="0" borderId="0" xfId="0" applyFont="1" applyAlignment="1">
      <alignment wrapText="1"/>
    </xf>
    <xf numFmtId="0" fontId="1" fillId="6" borderId="5" xfId="0" applyFont="1" applyFill="1" applyBorder="1" applyAlignment="1">
      <alignment vertical="center"/>
    </xf>
    <xf numFmtId="0" fontId="1" fillId="6" borderId="6" xfId="0" applyFont="1" applyFill="1" applyBorder="1" applyAlignment="1">
      <alignment vertical="center"/>
    </xf>
    <xf numFmtId="0" fontId="1" fillId="6" borderId="8" xfId="0" applyFont="1" applyFill="1" applyBorder="1" applyAlignment="1">
      <alignment vertical="center"/>
    </xf>
    <xf numFmtId="0" fontId="5" fillId="3" borderId="10" xfId="0" applyFont="1" applyFill="1" applyBorder="1" applyAlignment="1">
      <alignment horizontal="center" vertical="center" wrapText="1"/>
    </xf>
    <xf numFmtId="0" fontId="4" fillId="0" borderId="15" xfId="0" applyFont="1" applyBorder="1" applyAlignment="1">
      <alignment vertical="top"/>
    </xf>
    <xf numFmtId="0" fontId="1" fillId="0" borderId="18" xfId="0" applyFont="1" applyBorder="1" applyAlignment="1">
      <alignment horizontal="center" vertical="center"/>
    </xf>
    <xf numFmtId="0" fontId="6" fillId="2" borderId="1" xfId="0" applyFont="1" applyFill="1" applyBorder="1" applyAlignment="1">
      <alignment vertical="center"/>
    </xf>
    <xf numFmtId="0" fontId="6" fillId="2" borderId="10" xfId="0" applyFont="1" applyFill="1" applyBorder="1" applyAlignment="1">
      <alignment vertical="center"/>
    </xf>
    <xf numFmtId="0" fontId="6" fillId="3" borderId="1" xfId="0" applyFont="1" applyFill="1" applyBorder="1" applyAlignment="1">
      <alignment vertical="center"/>
    </xf>
    <xf numFmtId="0" fontId="6" fillId="3" borderId="1" xfId="0" applyFont="1" applyFill="1" applyBorder="1" applyAlignment="1">
      <alignment vertical="center" wrapText="1"/>
    </xf>
    <xf numFmtId="0" fontId="1" fillId="0" borderId="19" xfId="0" applyFont="1" applyBorder="1" applyAlignment="1">
      <alignment horizontal="center" vertical="center"/>
    </xf>
    <xf numFmtId="0" fontId="1" fillId="0" borderId="22" xfId="0" applyFont="1" applyBorder="1" applyAlignment="1">
      <alignment horizontal="center" vertical="center"/>
    </xf>
    <xf numFmtId="0" fontId="5" fillId="3" borderId="10" xfId="0" applyFont="1" applyFill="1" applyBorder="1" applyAlignment="1">
      <alignment vertical="center" wrapText="1"/>
    </xf>
    <xf numFmtId="0" fontId="4" fillId="0" borderId="15" xfId="0" applyFont="1" applyFill="1" applyBorder="1" applyAlignment="1">
      <alignment vertical="top"/>
    </xf>
    <xf numFmtId="0" fontId="1" fillId="0" borderId="15" xfId="0" applyFont="1" applyBorder="1" applyAlignment="1">
      <alignment horizontal="center" vertical="center" wrapText="1"/>
    </xf>
    <xf numFmtId="0" fontId="4" fillId="0" borderId="20" xfId="0" applyFont="1" applyBorder="1" applyAlignment="1">
      <alignment horizontal="center" vertical="center"/>
    </xf>
    <xf numFmtId="0" fontId="4" fillId="4" borderId="20" xfId="0" applyFont="1" applyFill="1" applyBorder="1" applyAlignment="1">
      <alignment vertical="center"/>
    </xf>
    <xf numFmtId="0" fontId="4" fillId="0" borderId="21" xfId="0" applyFont="1" applyBorder="1" applyAlignment="1">
      <alignment horizontal="center" vertical="center"/>
    </xf>
    <xf numFmtId="0" fontId="4" fillId="0" borderId="15" xfId="0" applyFont="1" applyBorder="1" applyAlignment="1">
      <alignment horizontal="center" vertical="center"/>
    </xf>
    <xf numFmtId="0" fontId="5" fillId="3" borderId="7"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4" fillId="0" borderId="16" xfId="0" applyFont="1" applyBorder="1" applyAlignment="1">
      <alignment horizontal="center" vertical="center"/>
    </xf>
    <xf numFmtId="0" fontId="1" fillId="0" borderId="37" xfId="0" applyFont="1" applyBorder="1" applyAlignment="1">
      <alignment horizontal="center" vertical="center"/>
    </xf>
    <xf numFmtId="0" fontId="4" fillId="0" borderId="14" xfId="0" applyFont="1" applyBorder="1" applyAlignment="1">
      <alignment horizontal="center" vertical="center"/>
    </xf>
    <xf numFmtId="0" fontId="4" fillId="4" borderId="14" xfId="0" applyFont="1" applyFill="1" applyBorder="1" applyAlignment="1">
      <alignment vertical="center"/>
    </xf>
    <xf numFmtId="0" fontId="4" fillId="0" borderId="25" xfId="0" applyFont="1" applyBorder="1" applyAlignment="1">
      <alignment horizontal="center" vertical="center"/>
    </xf>
    <xf numFmtId="0" fontId="4" fillId="0" borderId="15" xfId="0" applyFont="1" applyFill="1" applyBorder="1" applyAlignment="1">
      <alignment horizontal="center" vertical="center"/>
    </xf>
    <xf numFmtId="0" fontId="6" fillId="2" borderId="11" xfId="0" applyFont="1" applyFill="1" applyBorder="1" applyAlignment="1">
      <alignment vertical="center" wrapText="1"/>
    </xf>
    <xf numFmtId="0" fontId="4" fillId="0" borderId="40" xfId="0" applyFont="1" applyFill="1" applyBorder="1" applyAlignment="1">
      <alignment horizontal="center" vertical="center"/>
    </xf>
    <xf numFmtId="0" fontId="2" fillId="3" borderId="13" xfId="0" applyFont="1" applyFill="1" applyBorder="1"/>
    <xf numFmtId="0" fontId="3" fillId="3" borderId="14" xfId="0" applyFont="1" applyFill="1" applyBorder="1"/>
    <xf numFmtId="0" fontId="4" fillId="0" borderId="14" xfId="0" applyFont="1" applyFill="1" applyBorder="1" applyAlignment="1">
      <alignment vertical="top" wrapText="1"/>
    </xf>
    <xf numFmtId="0" fontId="6" fillId="2" borderId="6" xfId="0" applyFont="1" applyFill="1" applyBorder="1" applyAlignment="1">
      <alignment vertical="center" wrapText="1"/>
    </xf>
    <xf numFmtId="0" fontId="11" fillId="6" borderId="4"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5" xfId="0" applyFont="1" applyFill="1" applyBorder="1" applyAlignment="1">
      <alignment vertical="center"/>
    </xf>
    <xf numFmtId="0" fontId="12" fillId="3" borderId="1" xfId="0" applyFont="1" applyFill="1" applyBorder="1" applyAlignment="1">
      <alignment vertical="center" wrapText="1"/>
    </xf>
    <xf numFmtId="0" fontId="4" fillId="0" borderId="16" xfId="0" applyFont="1" applyBorder="1" applyAlignment="1">
      <alignment vertical="top"/>
    </xf>
    <xf numFmtId="0" fontId="8" fillId="2" borderId="1" xfId="0" applyFont="1" applyFill="1" applyBorder="1" applyAlignment="1">
      <alignment horizontal="center" vertical="center" wrapText="1"/>
    </xf>
    <xf numFmtId="0" fontId="1" fillId="0" borderId="43" xfId="0" applyFont="1" applyBorder="1" applyAlignment="1">
      <alignment horizontal="center" vertical="center"/>
    </xf>
    <xf numFmtId="0" fontId="4" fillId="0" borderId="44" xfId="0" applyFont="1" applyBorder="1" applyAlignment="1">
      <alignment horizontal="center" vertical="center"/>
    </xf>
    <xf numFmtId="0" fontId="4" fillId="0" borderId="44" xfId="0" applyFont="1" applyBorder="1" applyAlignment="1">
      <alignment vertical="top"/>
    </xf>
    <xf numFmtId="0" fontId="4" fillId="0" borderId="45" xfId="0" applyFont="1" applyBorder="1" applyAlignment="1">
      <alignment horizontal="center" vertical="center"/>
    </xf>
    <xf numFmtId="0" fontId="4" fillId="0" borderId="16" xfId="0" applyFont="1" applyFill="1" applyBorder="1" applyAlignment="1">
      <alignment horizontal="center" vertical="center"/>
    </xf>
    <xf numFmtId="0" fontId="4" fillId="0" borderId="16" xfId="0" applyFont="1" applyBorder="1" applyAlignment="1">
      <alignment horizontal="center" vertical="center"/>
    </xf>
    <xf numFmtId="0" fontId="9" fillId="2" borderId="9" xfId="0" applyFont="1" applyFill="1" applyBorder="1" applyAlignment="1">
      <alignment horizontal="center" vertical="center" textRotation="90" wrapText="1"/>
    </xf>
    <xf numFmtId="0" fontId="9" fillId="2" borderId="10" xfId="0" applyFont="1" applyFill="1" applyBorder="1" applyAlignment="1">
      <alignment horizontal="center" vertical="center" textRotation="90" wrapText="1"/>
    </xf>
    <xf numFmtId="0" fontId="9" fillId="2" borderId="9" xfId="0" applyFont="1" applyFill="1" applyBorder="1" applyAlignment="1">
      <alignment horizontal="center" vertical="center" wrapText="1"/>
    </xf>
    <xf numFmtId="0" fontId="2" fillId="0" borderId="13" xfId="0" applyFont="1" applyFill="1" applyBorder="1" applyAlignment="1">
      <alignment wrapText="1"/>
    </xf>
    <xf numFmtId="165" fontId="11" fillId="6" borderId="5" xfId="0" applyNumberFormat="1" applyFont="1" applyFill="1" applyBorder="1" applyAlignment="1">
      <alignment horizontal="center" vertical="center"/>
    </xf>
    <xf numFmtId="0" fontId="4" fillId="0" borderId="23" xfId="0" applyFont="1" applyBorder="1" applyAlignment="1">
      <alignment horizontal="center" vertical="center"/>
    </xf>
    <xf numFmtId="0" fontId="4" fillId="4" borderId="23" xfId="0" applyFont="1" applyFill="1" applyBorder="1" applyAlignment="1">
      <alignment vertical="center"/>
    </xf>
    <xf numFmtId="0" fontId="6" fillId="5" borderId="4" xfId="0" applyFont="1" applyFill="1" applyBorder="1" applyAlignment="1">
      <alignment vertical="center" wrapText="1"/>
    </xf>
    <xf numFmtId="0" fontId="6" fillId="5" borderId="5" xfId="0" applyFont="1" applyFill="1" applyBorder="1" applyAlignment="1">
      <alignment vertical="center" wrapText="1"/>
    </xf>
    <xf numFmtId="164" fontId="11" fillId="6" borderId="5" xfId="0" applyNumberFormat="1" applyFont="1" applyFill="1" applyBorder="1" applyAlignment="1">
      <alignment horizontal="center" vertical="center"/>
    </xf>
    <xf numFmtId="0" fontId="4" fillId="4" borderId="16" xfId="0" applyFont="1" applyFill="1" applyBorder="1" applyAlignment="1">
      <alignment vertical="center"/>
    </xf>
    <xf numFmtId="0" fontId="4" fillId="0" borderId="41" xfId="0" applyFont="1" applyBorder="1" applyAlignment="1">
      <alignment horizontal="center" vertical="center"/>
    </xf>
    <xf numFmtId="0" fontId="4" fillId="4" borderId="41" xfId="0" applyFont="1" applyFill="1" applyBorder="1" applyAlignment="1">
      <alignment vertical="center"/>
    </xf>
    <xf numFmtId="0" fontId="6" fillId="2" borderId="10" xfId="0" applyFont="1" applyFill="1" applyBorder="1" applyAlignment="1">
      <alignment vertical="center" wrapText="1"/>
    </xf>
    <xf numFmtId="0" fontId="1" fillId="0" borderId="46" xfId="0" applyFont="1" applyBorder="1" applyAlignment="1">
      <alignment horizontal="center" vertical="center"/>
    </xf>
    <xf numFmtId="0" fontId="4" fillId="0" borderId="47" xfId="0" applyFont="1" applyBorder="1" applyAlignment="1">
      <alignment horizontal="center" vertical="center"/>
    </xf>
    <xf numFmtId="0" fontId="4" fillId="0" borderId="14" xfId="0" applyFont="1" applyBorder="1" applyAlignment="1">
      <alignment horizontal="center" vertical="center" wrapText="1"/>
    </xf>
    <xf numFmtId="0" fontId="4" fillId="0" borderId="15" xfId="0" applyFont="1" applyFill="1" applyBorder="1" applyAlignment="1">
      <alignment horizontal="center" vertical="center"/>
    </xf>
    <xf numFmtId="0" fontId="4" fillId="0" borderId="16" xfId="0" applyFont="1" applyBorder="1" applyAlignment="1">
      <alignment horizontal="center" vertical="center"/>
    </xf>
    <xf numFmtId="0" fontId="4" fillId="0" borderId="24" xfId="0" applyFont="1" applyBorder="1" applyAlignment="1">
      <alignment horizontal="center" vertical="center"/>
    </xf>
    <xf numFmtId="0" fontId="11" fillId="6" borderId="38" xfId="0" applyFont="1" applyFill="1" applyBorder="1" applyAlignment="1">
      <alignment horizontal="center" vertical="center"/>
    </xf>
    <xf numFmtId="0" fontId="20" fillId="7" borderId="52" xfId="0" applyFont="1" applyFill="1" applyBorder="1" applyAlignment="1">
      <alignment horizontal="center" vertical="center" wrapText="1"/>
    </xf>
    <xf numFmtId="0" fontId="19" fillId="7" borderId="52" xfId="0" applyFont="1" applyFill="1" applyBorder="1" applyAlignment="1">
      <alignment horizontal="center" vertical="center" wrapText="1"/>
    </xf>
    <xf numFmtId="0" fontId="20" fillId="7" borderId="53" xfId="0" applyFont="1" applyFill="1" applyBorder="1" applyAlignment="1">
      <alignment horizontal="center" vertical="center" wrapText="1"/>
    </xf>
    <xf numFmtId="0" fontId="19" fillId="7" borderId="54" xfId="0" applyFont="1" applyFill="1" applyBorder="1" applyAlignment="1">
      <alignment horizontal="center" vertical="center" wrapText="1"/>
    </xf>
    <xf numFmtId="0" fontId="20" fillId="7" borderId="54" xfId="0" applyFont="1" applyFill="1" applyBorder="1" applyAlignment="1">
      <alignment horizontal="center" vertical="center" wrapText="1"/>
    </xf>
    <xf numFmtId="0" fontId="19" fillId="7" borderId="55" xfId="0" applyFont="1" applyFill="1" applyBorder="1" applyAlignment="1">
      <alignment horizontal="center" vertical="center" wrapText="1"/>
    </xf>
    <xf numFmtId="0" fontId="20" fillId="7" borderId="56" xfId="0" applyFont="1" applyFill="1" applyBorder="1" applyAlignment="1">
      <alignment horizontal="center" vertical="center" wrapText="1"/>
    </xf>
    <xf numFmtId="0" fontId="19"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0" fontId="19" fillId="7" borderId="59" xfId="0" applyFont="1" applyFill="1" applyBorder="1" applyAlignment="1">
      <alignment horizontal="center" vertical="center" wrapText="1"/>
    </xf>
    <xf numFmtId="0" fontId="20" fillId="7" borderId="59" xfId="0" applyFont="1" applyFill="1" applyBorder="1" applyAlignment="1">
      <alignment horizontal="center" vertical="center" wrapText="1"/>
    </xf>
    <xf numFmtId="0" fontId="19" fillId="7" borderId="60" xfId="0" applyFont="1" applyFill="1" applyBorder="1" applyAlignment="1">
      <alignment horizontal="center" vertical="center" wrapText="1"/>
    </xf>
    <xf numFmtId="0" fontId="4" fillId="0" borderId="15" xfId="0" applyFont="1" applyFill="1" applyBorder="1" applyAlignment="1">
      <alignment horizontal="center" vertical="center"/>
    </xf>
    <xf numFmtId="0" fontId="4" fillId="0" borderId="16" xfId="0" applyFont="1" applyBorder="1" applyAlignment="1">
      <alignment horizontal="center" vertical="center"/>
    </xf>
    <xf numFmtId="0" fontId="1" fillId="0" borderId="49"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61" xfId="0" applyFont="1" applyBorder="1" applyAlignment="1">
      <alignment horizontal="center" vertical="center"/>
    </xf>
    <xf numFmtId="0" fontId="2" fillId="3" borderId="13" xfId="0" applyFont="1" applyFill="1" applyBorder="1" applyAlignment="1">
      <alignment wrapText="1"/>
    </xf>
    <xf numFmtId="0" fontId="0" fillId="0" borderId="0" xfId="0" applyAlignment="1">
      <alignment horizontal="center"/>
    </xf>
    <xf numFmtId="0" fontId="3" fillId="4" borderId="14" xfId="0" applyFont="1" applyFill="1" applyBorder="1" applyAlignment="1">
      <alignment horizontal="center"/>
    </xf>
    <xf numFmtId="0" fontId="4" fillId="0" borderId="0" xfId="0" applyFont="1" applyFill="1" applyBorder="1" applyAlignment="1">
      <alignment horizontal="center" vertical="center"/>
    </xf>
    <xf numFmtId="0" fontId="4" fillId="4" borderId="15" xfId="0" applyFont="1" applyFill="1" applyBorder="1" applyAlignment="1">
      <alignment horizontal="center" vertical="center"/>
    </xf>
    <xf numFmtId="0" fontId="9" fillId="2" borderId="10" xfId="0" applyFont="1" applyFill="1" applyBorder="1" applyAlignment="1">
      <alignment horizontal="center" vertical="center" textRotation="90" wrapText="1"/>
    </xf>
    <xf numFmtId="0" fontId="9" fillId="2" borderId="9" xfId="0" applyFont="1" applyFill="1" applyBorder="1" applyAlignment="1">
      <alignment horizontal="center" vertical="center" textRotation="90" wrapText="1"/>
    </xf>
    <xf numFmtId="0" fontId="9" fillId="2" borderId="11" xfId="0" applyFont="1" applyFill="1" applyBorder="1" applyAlignment="1">
      <alignment horizontal="center" vertical="center" textRotation="90" wrapText="1"/>
    </xf>
    <xf numFmtId="0" fontId="4" fillId="4" borderId="16" xfId="0" applyFont="1" applyFill="1" applyBorder="1" applyAlignment="1">
      <alignment horizontal="center" vertical="center"/>
    </xf>
    <xf numFmtId="0" fontId="4" fillId="4" borderId="26" xfId="0" applyFont="1" applyFill="1" applyBorder="1" applyAlignment="1">
      <alignment horizontal="center" vertical="center"/>
    </xf>
    <xf numFmtId="0" fontId="21" fillId="0" borderId="16" xfId="0" applyFont="1" applyBorder="1" applyAlignment="1">
      <alignment horizontal="right" vertical="center"/>
    </xf>
    <xf numFmtId="0" fontId="4" fillId="0" borderId="27" xfId="0" applyFont="1" applyBorder="1" applyAlignment="1">
      <alignment horizontal="right" vertical="center"/>
    </xf>
    <xf numFmtId="0" fontId="4" fillId="0" borderId="26" xfId="0" applyFont="1" applyBorder="1" applyAlignment="1">
      <alignment horizontal="right" vertical="center"/>
    </xf>
    <xf numFmtId="0" fontId="5" fillId="0" borderId="7"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5" fillId="0" borderId="35" xfId="0" applyFont="1" applyFill="1" applyBorder="1" applyAlignment="1">
      <alignment horizontal="center" vertical="center" wrapText="1"/>
    </xf>
    <xf numFmtId="0" fontId="5" fillId="0" borderId="36" xfId="0" applyFont="1" applyFill="1" applyBorder="1" applyAlignment="1">
      <alignment horizontal="center" vertical="center" wrapText="1"/>
    </xf>
    <xf numFmtId="0" fontId="5" fillId="0" borderId="2" xfId="0" applyFont="1" applyFill="1" applyBorder="1" applyAlignment="1">
      <alignment horizontal="center" vertical="center" wrapText="1"/>
    </xf>
    <xf numFmtId="0" fontId="5" fillId="0" borderId="39" xfId="0" applyFont="1" applyFill="1" applyBorder="1" applyAlignment="1">
      <alignment horizontal="center" vertical="center" wrapText="1"/>
    </xf>
    <xf numFmtId="0" fontId="4" fillId="0" borderId="20" xfId="0" applyFont="1" applyFill="1" applyBorder="1" applyAlignment="1">
      <alignment horizontal="center" vertical="center"/>
    </xf>
    <xf numFmtId="0" fontId="4" fillId="0" borderId="21"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25" xfId="0" applyFont="1" applyFill="1" applyBorder="1" applyAlignment="1">
      <alignment horizontal="center" vertical="center"/>
    </xf>
    <xf numFmtId="0" fontId="4" fillId="0" borderId="15" xfId="0" applyFont="1" applyFill="1" applyBorder="1" applyAlignment="1">
      <alignment horizontal="center" vertical="center"/>
    </xf>
    <xf numFmtId="0" fontId="4" fillId="0" borderId="16" xfId="0" applyFont="1" applyFill="1" applyBorder="1" applyAlignment="1">
      <alignment horizontal="center" vertical="center"/>
    </xf>
    <xf numFmtId="0" fontId="1" fillId="0" borderId="10" xfId="0" applyFont="1" applyBorder="1" applyAlignment="1">
      <alignment horizontal="center"/>
    </xf>
    <xf numFmtId="0" fontId="1" fillId="0" borderId="9" xfId="0" applyFont="1" applyBorder="1" applyAlignment="1">
      <alignment horizontal="center"/>
    </xf>
    <xf numFmtId="0" fontId="1" fillId="0" borderId="11" xfId="0" applyFont="1" applyBorder="1" applyAlignment="1">
      <alignment horizontal="center"/>
    </xf>
    <xf numFmtId="0" fontId="18" fillId="0" borderId="48" xfId="0" applyFont="1" applyFill="1" applyBorder="1" applyAlignment="1">
      <alignment horizontal="center" vertical="center"/>
    </xf>
    <xf numFmtId="0" fontId="18" fillId="0" borderId="28" xfId="0" applyFont="1" applyFill="1" applyBorder="1" applyAlignment="1">
      <alignment horizontal="center" vertical="center"/>
    </xf>
    <xf numFmtId="0" fontId="18" fillId="0" borderId="49" xfId="0" applyFont="1" applyFill="1" applyBorder="1" applyAlignment="1">
      <alignment horizontal="center" vertical="center"/>
    </xf>
    <xf numFmtId="0" fontId="18" fillId="0" borderId="26" xfId="0" applyFont="1" applyFill="1" applyBorder="1" applyAlignment="1">
      <alignment horizontal="center" vertical="center"/>
    </xf>
    <xf numFmtId="0" fontId="1" fillId="0" borderId="49" xfId="0" applyFont="1" applyFill="1" applyBorder="1" applyAlignment="1">
      <alignment horizontal="center" vertical="center"/>
    </xf>
    <xf numFmtId="0" fontId="1" fillId="0" borderId="26" xfId="0" applyFont="1" applyFill="1" applyBorder="1" applyAlignment="1">
      <alignment horizontal="center" vertical="center"/>
    </xf>
    <xf numFmtId="0" fontId="4" fillId="0" borderId="16" xfId="0" applyFont="1" applyBorder="1" applyAlignment="1">
      <alignment horizontal="left" vertical="center" wrapText="1"/>
    </xf>
    <xf numFmtId="0" fontId="4" fillId="0" borderId="27" xfId="0" applyFont="1" applyBorder="1" applyAlignment="1">
      <alignment horizontal="left" vertical="center" wrapText="1"/>
    </xf>
    <xf numFmtId="0" fontId="4" fillId="0" borderId="26" xfId="0" applyFont="1" applyBorder="1" applyAlignment="1">
      <alignment horizontal="left" vertical="center" wrapText="1"/>
    </xf>
    <xf numFmtId="0" fontId="11" fillId="6" borderId="7"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1" fillId="6" borderId="35" xfId="0" applyFont="1" applyFill="1" applyBorder="1" applyAlignment="1">
      <alignment horizontal="center" vertical="center" wrapText="1"/>
    </xf>
    <xf numFmtId="0" fontId="11" fillId="6" borderId="36" xfId="0" applyFont="1" applyFill="1" applyBorder="1" applyAlignment="1">
      <alignment horizontal="center" vertical="center" wrapText="1"/>
    </xf>
    <xf numFmtId="0" fontId="11" fillId="6" borderId="2" xfId="0" applyFont="1" applyFill="1" applyBorder="1" applyAlignment="1">
      <alignment horizontal="center" vertical="center" wrapText="1"/>
    </xf>
    <xf numFmtId="0" fontId="11" fillId="6" borderId="39" xfId="0" applyFont="1" applyFill="1" applyBorder="1" applyAlignment="1">
      <alignment horizontal="center" vertical="center" wrapText="1"/>
    </xf>
    <xf numFmtId="0" fontId="1" fillId="0" borderId="51" xfId="0" applyFont="1" applyFill="1" applyBorder="1" applyAlignment="1">
      <alignment horizontal="center" vertical="center"/>
    </xf>
    <xf numFmtId="0" fontId="1" fillId="0" borderId="33" xfId="0" applyFont="1" applyFill="1" applyBorder="1" applyAlignment="1">
      <alignment horizontal="center" vertical="center"/>
    </xf>
    <xf numFmtId="0" fontId="1" fillId="0" borderId="35" xfId="0" applyFont="1" applyFill="1" applyBorder="1" applyAlignment="1">
      <alignment horizontal="center" vertical="center"/>
    </xf>
    <xf numFmtId="0" fontId="1" fillId="0" borderId="36" xfId="0" applyFont="1" applyFill="1" applyBorder="1" applyAlignment="1">
      <alignment horizontal="center" vertical="center"/>
    </xf>
    <xf numFmtId="0" fontId="1" fillId="0" borderId="2" xfId="0" applyFont="1" applyFill="1" applyBorder="1" applyAlignment="1">
      <alignment horizontal="center" vertical="center"/>
    </xf>
    <xf numFmtId="0" fontId="1" fillId="0" borderId="39" xfId="0" applyFont="1" applyFill="1" applyBorder="1" applyAlignment="1">
      <alignment horizontal="center" vertical="center"/>
    </xf>
    <xf numFmtId="0" fontId="5" fillId="3" borderId="3"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1" fillId="0" borderId="10" xfId="0" applyFont="1" applyFill="1" applyBorder="1" applyAlignment="1">
      <alignment horizontal="center" vertical="center"/>
    </xf>
    <xf numFmtId="0" fontId="1" fillId="0" borderId="9" xfId="0" applyFont="1" applyFill="1" applyBorder="1" applyAlignment="1">
      <alignment horizontal="center" vertical="center"/>
    </xf>
    <xf numFmtId="0" fontId="4" fillId="0" borderId="16" xfId="0" applyFont="1" applyBorder="1" applyAlignment="1">
      <alignment horizontal="left" vertical="top" wrapText="1"/>
    </xf>
    <xf numFmtId="0" fontId="4" fillId="0" borderId="27" xfId="0" applyFont="1" applyBorder="1" applyAlignment="1">
      <alignment horizontal="left" vertical="top" wrapText="1"/>
    </xf>
    <xf numFmtId="0" fontId="4" fillId="0" borderId="26" xfId="0" applyFont="1" applyBorder="1" applyAlignment="1">
      <alignment horizontal="left" vertical="top" wrapText="1"/>
    </xf>
    <xf numFmtId="0" fontId="4" fillId="0" borderId="16" xfId="0" applyFont="1" applyBorder="1" applyAlignment="1">
      <alignment horizontal="center" vertical="center"/>
    </xf>
    <xf numFmtId="0" fontId="4" fillId="0" borderId="26" xfId="0" applyFont="1" applyBorder="1" applyAlignment="1">
      <alignment horizontal="center" vertical="center"/>
    </xf>
    <xf numFmtId="0" fontId="4" fillId="0" borderId="24" xfId="0" applyFont="1" applyFill="1" applyBorder="1" applyAlignment="1">
      <alignment horizontal="center" vertical="center"/>
    </xf>
    <xf numFmtId="0" fontId="4" fillId="0" borderId="29" xfId="0" applyFont="1" applyFill="1" applyBorder="1" applyAlignment="1">
      <alignment horizontal="center" vertical="center"/>
    </xf>
    <xf numFmtId="0" fontId="4" fillId="0" borderId="30" xfId="0" applyFont="1" applyFill="1" applyBorder="1" applyAlignment="1">
      <alignment horizontal="center" vertical="center"/>
    </xf>
    <xf numFmtId="0" fontId="4" fillId="0" borderId="27" xfId="0" applyFont="1" applyBorder="1" applyAlignment="1">
      <alignment horizontal="center" vertical="center"/>
    </xf>
    <xf numFmtId="0" fontId="4" fillId="4" borderId="32" xfId="0" applyFont="1" applyFill="1" applyBorder="1" applyAlignment="1">
      <alignment horizontal="center" vertical="center"/>
    </xf>
    <xf numFmtId="0" fontId="4" fillId="4" borderId="33" xfId="0" applyFont="1" applyFill="1" applyBorder="1" applyAlignment="1">
      <alignment horizontal="center" vertical="center"/>
    </xf>
    <xf numFmtId="0" fontId="4" fillId="4" borderId="25" xfId="0" applyFont="1" applyFill="1" applyBorder="1" applyAlignment="1">
      <alignment horizontal="center" vertical="center"/>
    </xf>
    <xf numFmtId="0" fontId="4" fillId="4" borderId="34" xfId="0" applyFont="1" applyFill="1" applyBorder="1" applyAlignment="1">
      <alignment horizontal="center" vertical="center"/>
    </xf>
    <xf numFmtId="0" fontId="4" fillId="0" borderId="16"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16" xfId="0" applyFont="1" applyBorder="1" applyAlignment="1">
      <alignment horizontal="left" vertical="center"/>
    </xf>
    <xf numFmtId="0" fontId="4" fillId="0" borderId="27" xfId="0" applyFont="1" applyBorder="1" applyAlignment="1">
      <alignment horizontal="left" vertical="center"/>
    </xf>
    <xf numFmtId="0" fontId="4" fillId="0" borderId="26" xfId="0" applyFont="1" applyBorder="1" applyAlignment="1">
      <alignment horizontal="left" vertical="center"/>
    </xf>
    <xf numFmtId="0" fontId="4" fillId="0" borderId="24" xfId="0" applyFont="1" applyBorder="1" applyAlignment="1">
      <alignment horizontal="center" vertical="center" wrapText="1"/>
    </xf>
    <xf numFmtId="0" fontId="4" fillId="0" borderId="29" xfId="0" applyFont="1" applyBorder="1" applyAlignment="1">
      <alignment horizontal="center" vertical="center" wrapText="1"/>
    </xf>
    <xf numFmtId="0" fontId="4" fillId="0" borderId="22" xfId="0" applyFont="1" applyBorder="1" applyAlignment="1">
      <alignment horizontal="center" vertical="center" wrapText="1"/>
    </xf>
    <xf numFmtId="0" fontId="11" fillId="6" borderId="3" xfId="0" applyFont="1" applyFill="1" applyBorder="1" applyAlignment="1">
      <alignment horizontal="center" vertical="center"/>
    </xf>
    <xf numFmtId="0" fontId="11" fillId="6" borderId="42" xfId="0" applyFont="1" applyFill="1" applyBorder="1" applyAlignment="1">
      <alignment horizontal="center" vertical="center"/>
    </xf>
    <xf numFmtId="0" fontId="1" fillId="0" borderId="7" xfId="0" applyFont="1" applyFill="1" applyBorder="1" applyAlignment="1">
      <alignment horizontal="center" vertical="center"/>
    </xf>
    <xf numFmtId="0" fontId="1" fillId="0" borderId="12" xfId="0" applyFont="1" applyFill="1" applyBorder="1" applyAlignment="1">
      <alignment horizontal="center" vertical="center"/>
    </xf>
    <xf numFmtId="0" fontId="4" fillId="0" borderId="24" xfId="0" applyFont="1" applyBorder="1" applyAlignment="1">
      <alignment horizontal="center" vertical="center"/>
    </xf>
    <xf numFmtId="0" fontId="4" fillId="0" borderId="29" xfId="0" applyFont="1" applyBorder="1" applyAlignment="1">
      <alignment horizontal="center" vertical="center"/>
    </xf>
    <xf numFmtId="0" fontId="4" fillId="0" borderId="30" xfId="0" applyFont="1" applyBorder="1" applyAlignment="1">
      <alignment horizontal="center" vertical="center"/>
    </xf>
    <xf numFmtId="0" fontId="4" fillId="0" borderId="16" xfId="0" applyFont="1" applyBorder="1" applyAlignment="1">
      <alignment horizontal="left" vertical="top"/>
    </xf>
    <xf numFmtId="0" fontId="4" fillId="0" borderId="27" xfId="0" applyFont="1" applyBorder="1" applyAlignment="1">
      <alignment horizontal="left" vertical="top"/>
    </xf>
    <xf numFmtId="0" fontId="4" fillId="0" borderId="26" xfId="0" applyFont="1" applyBorder="1" applyAlignment="1">
      <alignment horizontal="left" vertical="top"/>
    </xf>
    <xf numFmtId="0" fontId="9" fillId="2" borderId="3" xfId="0" applyFont="1" applyFill="1" applyBorder="1" applyAlignment="1">
      <alignment horizontal="center" vertical="center" textRotation="90" wrapText="1"/>
    </xf>
    <xf numFmtId="0" fontId="9" fillId="2" borderId="2" xfId="0" applyFont="1" applyFill="1" applyBorder="1" applyAlignment="1">
      <alignment horizontal="center" vertical="center" textRotation="90" wrapText="1"/>
    </xf>
    <xf numFmtId="0" fontId="6" fillId="2" borderId="10" xfId="0" applyFont="1" applyFill="1" applyBorder="1" applyAlignment="1">
      <alignment horizontal="left" vertical="center" wrapText="1"/>
    </xf>
    <xf numFmtId="0" fontId="6" fillId="2" borderId="9" xfId="0" applyFont="1" applyFill="1" applyBorder="1" applyAlignment="1">
      <alignment horizontal="left" vertical="center" wrapText="1"/>
    </xf>
    <xf numFmtId="0" fontId="6" fillId="2" borderId="11" xfId="0" applyFont="1" applyFill="1" applyBorder="1" applyAlignment="1">
      <alignment horizontal="left" vertical="center" wrapText="1"/>
    </xf>
    <xf numFmtId="0" fontId="4" fillId="4" borderId="21" xfId="0" applyFont="1" applyFill="1" applyBorder="1" applyAlignment="1">
      <alignment horizontal="center" vertical="center"/>
    </xf>
    <xf numFmtId="0" fontId="4" fillId="4" borderId="28" xfId="0" applyFont="1" applyFill="1" applyBorder="1" applyAlignment="1">
      <alignment horizontal="center" vertical="center"/>
    </xf>
    <xf numFmtId="0" fontId="4" fillId="0" borderId="24" xfId="0" applyFont="1" applyFill="1" applyBorder="1" applyAlignment="1">
      <alignment horizontal="left" vertical="center"/>
    </xf>
    <xf numFmtId="0" fontId="4" fillId="0" borderId="29" xfId="0" applyFont="1" applyFill="1" applyBorder="1" applyAlignment="1">
      <alignment horizontal="left" vertical="center"/>
    </xf>
    <xf numFmtId="0" fontId="4" fillId="0" borderId="30" xfId="0" applyFont="1" applyFill="1" applyBorder="1" applyAlignment="1">
      <alignment horizontal="left" vertical="center"/>
    </xf>
    <xf numFmtId="0" fontId="5" fillId="3" borderId="7" xfId="0" applyFont="1" applyFill="1" applyBorder="1" applyAlignment="1">
      <alignment horizontal="center" vertical="center" wrapText="1"/>
    </xf>
    <xf numFmtId="0" fontId="5" fillId="3" borderId="17"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4" fillId="0" borderId="18" xfId="0" applyFont="1" applyBorder="1" applyAlignment="1">
      <alignment horizontal="center" vertical="center"/>
    </xf>
    <xf numFmtId="0" fontId="4" fillId="0" borderId="15" xfId="0" applyFont="1" applyBorder="1" applyAlignment="1">
      <alignment horizontal="left" vertical="top"/>
    </xf>
    <xf numFmtId="0" fontId="4" fillId="0" borderId="21" xfId="0" applyFont="1" applyBorder="1" applyAlignment="1">
      <alignment horizontal="center" vertical="center" wrapText="1"/>
    </xf>
    <xf numFmtId="0" fontId="4" fillId="0" borderId="31"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5" xfId="0" applyFont="1" applyBorder="1" applyAlignment="1">
      <alignment horizontal="left" vertical="top"/>
    </xf>
    <xf numFmtId="0" fontId="4" fillId="0" borderId="34" xfId="0" applyFont="1" applyBorder="1" applyAlignment="1">
      <alignment horizontal="left" vertical="top"/>
    </xf>
    <xf numFmtId="0" fontId="4" fillId="0" borderId="21" xfId="0" applyFont="1" applyFill="1" applyBorder="1" applyAlignment="1">
      <alignment horizontal="left" vertical="center" wrapText="1"/>
    </xf>
    <xf numFmtId="0" fontId="4" fillId="0" borderId="31" xfId="0" applyFont="1" applyFill="1" applyBorder="1" applyAlignment="1">
      <alignment horizontal="left" vertical="center"/>
    </xf>
    <xf numFmtId="0" fontId="4" fillId="0" borderId="28" xfId="0" applyFont="1" applyFill="1" applyBorder="1" applyAlignment="1">
      <alignment horizontal="left" vertical="center"/>
    </xf>
    <xf numFmtId="0" fontId="22" fillId="4" borderId="49" xfId="0" applyFont="1" applyFill="1" applyBorder="1" applyAlignment="1">
      <alignment horizontal="center" vertical="center"/>
    </xf>
    <xf numFmtId="0" fontId="22" fillId="4" borderId="27" xfId="0" applyFont="1" applyFill="1" applyBorder="1" applyAlignment="1">
      <alignment horizontal="center" vertical="center"/>
    </xf>
    <xf numFmtId="0" fontId="22" fillId="4" borderId="26" xfId="0" applyFont="1" applyFill="1" applyBorder="1" applyAlignment="1">
      <alignment horizontal="center" vertical="center"/>
    </xf>
    <xf numFmtId="0" fontId="9" fillId="2" borderId="10" xfId="0" applyFont="1" applyFill="1" applyBorder="1" applyAlignment="1">
      <alignment horizontal="center" vertical="center" wrapText="1"/>
    </xf>
    <xf numFmtId="0" fontId="9" fillId="2" borderId="9" xfId="0" applyFont="1" applyFill="1" applyBorder="1" applyAlignment="1">
      <alignment horizontal="center" vertical="center" wrapText="1"/>
    </xf>
    <xf numFmtId="0" fontId="9" fillId="2" borderId="11" xfId="0" applyFont="1" applyFill="1" applyBorder="1" applyAlignment="1">
      <alignment horizontal="center" vertical="center" wrapText="1"/>
    </xf>
    <xf numFmtId="0" fontId="4" fillId="4" borderId="48" xfId="0" applyFont="1" applyFill="1" applyBorder="1" applyAlignment="1">
      <alignment horizontal="left" vertical="center"/>
    </xf>
    <xf numFmtId="0" fontId="4" fillId="4" borderId="31" xfId="0" applyFont="1" applyFill="1" applyBorder="1" applyAlignment="1">
      <alignment horizontal="left" vertical="center"/>
    </xf>
    <xf numFmtId="0" fontId="4" fillId="4" borderId="28" xfId="0" applyFont="1" applyFill="1" applyBorder="1" applyAlignment="1">
      <alignment horizontal="left" vertical="center"/>
    </xf>
    <xf numFmtId="0" fontId="4" fillId="4" borderId="49" xfId="0" applyFont="1" applyFill="1" applyBorder="1" applyAlignment="1">
      <alignment horizontal="left" vertical="center"/>
    </xf>
    <xf numFmtId="0" fontId="4" fillId="4" borderId="27" xfId="0" applyFont="1" applyFill="1" applyBorder="1" applyAlignment="1">
      <alignment horizontal="left" vertical="center"/>
    </xf>
    <xf numFmtId="0" fontId="4" fillId="4" borderId="26" xfId="0" applyFont="1" applyFill="1" applyBorder="1" applyAlignment="1">
      <alignment horizontal="left" vertical="center"/>
    </xf>
    <xf numFmtId="0" fontId="4" fillId="4" borderId="50" xfId="0" applyFont="1" applyFill="1" applyBorder="1" applyAlignment="1">
      <alignment horizontal="left" vertical="center"/>
    </xf>
    <xf numFmtId="0" fontId="4" fillId="4" borderId="29" xfId="0" applyFont="1" applyFill="1" applyBorder="1" applyAlignment="1">
      <alignment horizontal="left" vertical="center"/>
    </xf>
    <xf numFmtId="0" fontId="4" fillId="4" borderId="30" xfId="0" applyFont="1" applyFill="1" applyBorder="1" applyAlignment="1">
      <alignment horizontal="left" vertical="center"/>
    </xf>
    <xf numFmtId="0" fontId="5" fillId="4" borderId="49" xfId="0" applyFont="1" applyFill="1" applyBorder="1" applyAlignment="1">
      <alignment horizontal="center" vertical="center"/>
    </xf>
    <xf numFmtId="0" fontId="5" fillId="4" borderId="27" xfId="0" applyFont="1" applyFill="1" applyBorder="1" applyAlignment="1">
      <alignment horizontal="center" vertical="center"/>
    </xf>
    <xf numFmtId="0" fontId="5" fillId="4" borderId="26"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146276</xdr:colOff>
      <xdr:row>0</xdr:row>
      <xdr:rowOff>520471</xdr:rowOff>
    </xdr:from>
    <xdr:to>
      <xdr:col>7</xdr:col>
      <xdr:colOff>1872683</xdr:colOff>
      <xdr:row>4</xdr:row>
      <xdr:rowOff>124164</xdr:rowOff>
    </xdr:to>
    <xdr:sp macro="" textlink="" fLocksText="0">
      <xdr:nvSpPr>
        <xdr:cNvPr id="2" name="Right Arrow 1">
          <a:extLst>
            <a:ext uri="{FF2B5EF4-FFF2-40B4-BE49-F238E27FC236}">
              <a16:creationId xmlns:a16="http://schemas.microsoft.com/office/drawing/2014/main" id="{00000000-0008-0000-0000-000002000000}"/>
            </a:ext>
          </a:extLst>
        </xdr:cNvPr>
        <xdr:cNvSpPr/>
      </xdr:nvSpPr>
      <xdr:spPr>
        <a:xfrm rot="10800000">
          <a:off x="15291026" y="520471"/>
          <a:ext cx="1726407" cy="122294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fLocksWithSheet="0" fPrintsWithSheet="0"/>
  </xdr:twoCellAnchor>
  <mc:AlternateContent xmlns:mc="http://schemas.openxmlformats.org/markup-compatibility/2006">
    <mc:Choice xmlns:a14="http://schemas.microsoft.com/office/drawing/2010/main" Requires="a14">
      <xdr:twoCellAnchor editAs="absolute">
        <xdr:from>
          <xdr:col>7</xdr:col>
          <xdr:colOff>480060</xdr:colOff>
          <xdr:row>10</xdr:row>
          <xdr:rowOff>403860</xdr:rowOff>
        </xdr:from>
        <xdr:to>
          <xdr:col>7</xdr:col>
          <xdr:colOff>3086100</xdr:colOff>
          <xdr:row>11</xdr:row>
          <xdr:rowOff>838200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800" b="0" i="0" u="none" strike="noStrike" baseline="0">
                  <a:solidFill>
                    <a:srgbClr val="000000"/>
                  </a:solidFill>
                  <a:latin typeface="Calibri"/>
                  <a:cs typeface="Calibri"/>
                </a:rPr>
                <a:t>Update Header and Print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aha1/AppData/Local/Open%20Text/DM/Temp/PM-%2313391271-v2-WORM_site_Information_Lis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aha1/AppData/Local/Open%20Text/DM/Temp/PM-%2313391271-v3A-WORM_Full_Site_Information_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wer_Pump_Stations"/>
      <sheetName val="ViewX"/>
      <sheetName val="GPSFormat"/>
      <sheetName val="HELVDatabase"/>
      <sheetName val="IForm Input"/>
      <sheetName val="MAIN"/>
    </sheetNames>
    <sheetDataSet>
      <sheetData sheetId="0" refreshError="1">
        <row r="2">
          <cell r="B2" t="str">
            <v>FL NUMBER</v>
          </cell>
          <cell r="C2" t="str">
            <v>SAP_NAME</v>
          </cell>
          <cell r="D2" t="str">
            <v>STATUS</v>
          </cell>
          <cell r="E2" t="str">
            <v>TYPE</v>
          </cell>
          <cell r="F2" t="str">
            <v>PUMP STATION NAME</v>
          </cell>
          <cell r="G2" t="str">
            <v>PSNUMBER</v>
          </cell>
          <cell r="H2" t="str">
            <v>OWNER</v>
          </cell>
          <cell r="I2" t="str">
            <v>ASSET_ID</v>
          </cell>
          <cell r="J2" t="str">
            <v>DATEINST</v>
          </cell>
          <cell r="K2" t="str">
            <v>X_GEOG</v>
          </cell>
          <cell r="L2" t="str">
            <v>Y_GEOG</v>
          </cell>
          <cell r="M2" t="str">
            <v>NO_TYPE</v>
          </cell>
          <cell r="N2" t="str">
            <v>NUMBER</v>
          </cell>
          <cell r="O2" t="str">
            <v>RD_NAME</v>
          </cell>
          <cell r="P2" t="str">
            <v>RD_TYPE</v>
          </cell>
          <cell r="Q2" t="str">
            <v>RD_SUFFIX</v>
          </cell>
          <cell r="R2" t="str">
            <v>LOCALITY</v>
          </cell>
          <cell r="S2" t="str">
            <v>POSTCODE</v>
          </cell>
        </row>
        <row r="3">
          <cell r="B3" t="str">
            <v>S0037310</v>
          </cell>
          <cell r="C3" t="str">
            <v>SPS ROBINSON ST CARNARVON</v>
          </cell>
          <cell r="D3" t="str">
            <v>A- actual</v>
          </cell>
          <cell r="E3" t="str">
            <v>PS- pump station</v>
          </cell>
          <cell r="F3" t="str">
            <v>ROBINSON ST</v>
          </cell>
          <cell r="G3" t="str">
            <v>2</v>
          </cell>
          <cell r="H3" t="str">
            <v>W- water corporation</v>
          </cell>
          <cell r="I3" t="str">
            <v>17235</v>
          </cell>
          <cell r="J3" t="str">
            <v>19690101</v>
          </cell>
          <cell r="K3" t="str">
            <v>113.66564758</v>
          </cell>
          <cell r="L3" t="str">
            <v>-24.87522213</v>
          </cell>
          <cell r="M3" t="str">
            <v>H</v>
          </cell>
          <cell r="N3" t="str">
            <v>12</v>
          </cell>
          <cell r="O3" t="str">
            <v>RIDLEY</v>
          </cell>
          <cell r="P3" t="str">
            <v>PL</v>
          </cell>
          <cell r="R3" t="str">
            <v>MORGANTOWN</v>
          </cell>
          <cell r="S3" t="str">
            <v>6701</v>
          </cell>
        </row>
        <row r="4">
          <cell r="B4" t="str">
            <v>S0037316</v>
          </cell>
          <cell r="C4" t="str">
            <v>SPSPS NO 3 CARNARVON (DECOMM - REMOVED)</v>
          </cell>
          <cell r="D4" t="str">
            <v>R- removed</v>
          </cell>
          <cell r="E4" t="str">
            <v>PS- pump station</v>
          </cell>
          <cell r="F4" t="str">
            <v>WOORAMEL ST</v>
          </cell>
          <cell r="G4" t="str">
            <v>3</v>
          </cell>
          <cell r="H4" t="str">
            <v>W- water corporation</v>
          </cell>
          <cell r="I4" t="str">
            <v>17236</v>
          </cell>
          <cell r="J4" t="str">
            <v>18000101</v>
          </cell>
          <cell r="K4" t="str">
            <v>113.661085414</v>
          </cell>
          <cell r="L4" t="str">
            <v>-24.880455514</v>
          </cell>
          <cell r="M4" t="str">
            <v>H</v>
          </cell>
          <cell r="N4" t="str">
            <v>10</v>
          </cell>
          <cell r="O4" t="str">
            <v>WOORAMEL</v>
          </cell>
          <cell r="P4" t="str">
            <v>ST</v>
          </cell>
          <cell r="R4" t="str">
            <v>CARNARVON</v>
          </cell>
          <cell r="S4" t="str">
            <v>6701</v>
          </cell>
        </row>
        <row r="5">
          <cell r="B5" t="str">
            <v>S0037305</v>
          </cell>
          <cell r="C5" t="str">
            <v>SPS 1 WHEELOCK WY CARNARVON</v>
          </cell>
          <cell r="D5" t="str">
            <v>A- actual</v>
          </cell>
          <cell r="E5" t="str">
            <v>PS- pump station</v>
          </cell>
          <cell r="F5" t="str">
            <v>WHEELOCK WY MORGAN TOWN</v>
          </cell>
          <cell r="G5" t="str">
            <v>1</v>
          </cell>
          <cell r="H5" t="str">
            <v>W- water corporation</v>
          </cell>
          <cell r="I5" t="str">
            <v>17234</v>
          </cell>
          <cell r="J5" t="str">
            <v>19690101</v>
          </cell>
          <cell r="K5" t="str">
            <v>113.660406602</v>
          </cell>
          <cell r="L5" t="str">
            <v>-24.875466538</v>
          </cell>
          <cell r="M5" t="str">
            <v>H</v>
          </cell>
          <cell r="N5" t="str">
            <v>33</v>
          </cell>
          <cell r="O5" t="str">
            <v>WHEELOCK</v>
          </cell>
          <cell r="P5" t="str">
            <v>WAY</v>
          </cell>
          <cell r="R5" t="str">
            <v>MORGANTOWN</v>
          </cell>
          <cell r="S5" t="str">
            <v>6701</v>
          </cell>
        </row>
        <row r="6">
          <cell r="B6" t="str">
            <v>S0037339</v>
          </cell>
          <cell r="C6" t="str">
            <v>SPS 7 GEYER PL CARNARVON</v>
          </cell>
          <cell r="D6" t="str">
            <v>A- actual</v>
          </cell>
          <cell r="E6" t="str">
            <v>PS- pump station</v>
          </cell>
          <cell r="F6" t="str">
            <v>GEYER PL</v>
          </cell>
          <cell r="G6" t="str">
            <v>7</v>
          </cell>
          <cell r="H6" t="str">
            <v>W- water corporation</v>
          </cell>
          <cell r="I6" t="str">
            <v>17240</v>
          </cell>
          <cell r="J6" t="str">
            <v>19800101</v>
          </cell>
          <cell r="K6" t="str">
            <v>113.65501081</v>
          </cell>
          <cell r="L6" t="str">
            <v>-24.879705942</v>
          </cell>
          <cell r="M6" t="str">
            <v>H</v>
          </cell>
          <cell r="N6" t="str">
            <v>11</v>
          </cell>
          <cell r="O6" t="str">
            <v>GEYER</v>
          </cell>
          <cell r="P6" t="str">
            <v>PL</v>
          </cell>
          <cell r="R6" t="str">
            <v>BROCKMAN</v>
          </cell>
          <cell r="S6" t="str">
            <v>6701</v>
          </cell>
        </row>
        <row r="7">
          <cell r="B7" t="str">
            <v>S0037327</v>
          </cell>
          <cell r="C7" t="str">
            <v>SPS 5 BABBAGE ISLAND CARNARVON</v>
          </cell>
          <cell r="D7" t="str">
            <v>A- actual</v>
          </cell>
          <cell r="E7" t="str">
            <v>PS- pump station</v>
          </cell>
          <cell r="F7" t="str">
            <v>CNR BABBAGE ISLAND RD &amp; DAVID BRAND DR</v>
          </cell>
          <cell r="G7" t="str">
            <v>5</v>
          </cell>
          <cell r="H7" t="str">
            <v>W- water corporation</v>
          </cell>
          <cell r="I7" t="str">
            <v>17238</v>
          </cell>
          <cell r="J7" t="str">
            <v>19790101</v>
          </cell>
          <cell r="K7" t="str">
            <v>113.650921988</v>
          </cell>
          <cell r="L7" t="str">
            <v>-24.874739818</v>
          </cell>
          <cell r="M7" t="str">
            <v>H</v>
          </cell>
          <cell r="N7" t="str">
            <v>109</v>
          </cell>
          <cell r="O7" t="str">
            <v>BABBAGE ISLAND</v>
          </cell>
          <cell r="P7" t="str">
            <v>RD</v>
          </cell>
          <cell r="R7" t="str">
            <v>BROCKMAN</v>
          </cell>
          <cell r="S7" t="str">
            <v>6701</v>
          </cell>
        </row>
        <row r="8">
          <cell r="B8" t="str">
            <v>S0037333</v>
          </cell>
          <cell r="C8" t="str">
            <v>SPS 6 LEWINGTON LN CARNARVON</v>
          </cell>
          <cell r="D8" t="str">
            <v>A- actual</v>
          </cell>
          <cell r="E8" t="str">
            <v>PS- pump station</v>
          </cell>
          <cell r="F8" t="str">
            <v>LEWINGTON L</v>
          </cell>
          <cell r="G8" t="str">
            <v>6</v>
          </cell>
          <cell r="H8" t="str">
            <v>W- water corporation</v>
          </cell>
          <cell r="I8" t="str">
            <v>17239</v>
          </cell>
          <cell r="J8" t="str">
            <v>19800101</v>
          </cell>
          <cell r="K8" t="str">
            <v>113.649358465</v>
          </cell>
          <cell r="L8" t="str">
            <v>-24.8796791583</v>
          </cell>
          <cell r="M8" t="str">
            <v>H</v>
          </cell>
          <cell r="N8" t="str">
            <v>5</v>
          </cell>
          <cell r="O8" t="str">
            <v>LEWINGTON</v>
          </cell>
          <cell r="P8" t="str">
            <v>LANE</v>
          </cell>
          <cell r="R8" t="str">
            <v>BROCKMAN</v>
          </cell>
          <cell r="S8" t="str">
            <v>6701</v>
          </cell>
        </row>
        <row r="9">
          <cell r="B9" t="str">
            <v>S0025580</v>
          </cell>
          <cell r="C9" t="str">
            <v>SPS 1 WELLMAN RD HALLS CK</v>
          </cell>
          <cell r="D9" t="str">
            <v>A- actual</v>
          </cell>
          <cell r="E9" t="str">
            <v>PS- pump station</v>
          </cell>
          <cell r="F9" t="str">
            <v>WELLMAN RD</v>
          </cell>
          <cell r="G9" t="str">
            <v>1</v>
          </cell>
          <cell r="H9" t="str">
            <v>W- water corporation</v>
          </cell>
          <cell r="I9" t="str">
            <v>17514</v>
          </cell>
          <cell r="J9" t="str">
            <v>19760101</v>
          </cell>
          <cell r="K9" t="str">
            <v>127.680148664</v>
          </cell>
          <cell r="L9" t="str">
            <v>-18.225740729</v>
          </cell>
          <cell r="M9" t="str">
            <v>H</v>
          </cell>
          <cell r="N9" t="str">
            <v>64</v>
          </cell>
          <cell r="O9" t="str">
            <v>WELMAN</v>
          </cell>
          <cell r="P9" t="str">
            <v>RD</v>
          </cell>
          <cell r="R9" t="str">
            <v>HALLS CREEK</v>
          </cell>
          <cell r="S9" t="str">
            <v>6770</v>
          </cell>
        </row>
        <row r="10">
          <cell r="B10" t="str">
            <v>S0025906</v>
          </cell>
          <cell r="C10" t="str">
            <v>SPS 1 DURACK RD WYNDHAM</v>
          </cell>
          <cell r="D10" t="str">
            <v>A- actual</v>
          </cell>
          <cell r="E10" t="str">
            <v>PS- pump station</v>
          </cell>
          <cell r="F10" t="str">
            <v>DURACK RD</v>
          </cell>
          <cell r="G10" t="str">
            <v>1</v>
          </cell>
          <cell r="H10" t="str">
            <v>W- water corporation</v>
          </cell>
          <cell r="I10" t="str">
            <v>17505</v>
          </cell>
          <cell r="J10" t="str">
            <v>19740101</v>
          </cell>
          <cell r="K10" t="str">
            <v>128.116277316</v>
          </cell>
          <cell r="L10" t="str">
            <v>-15.487529283</v>
          </cell>
          <cell r="M10" t="str">
            <v>H</v>
          </cell>
          <cell r="N10" t="str">
            <v>34</v>
          </cell>
          <cell r="O10" t="str">
            <v>DURACK</v>
          </cell>
          <cell r="P10" t="str">
            <v>RD</v>
          </cell>
          <cell r="R10" t="str">
            <v>WYNDHAM</v>
          </cell>
          <cell r="S10" t="str">
            <v>6740</v>
          </cell>
        </row>
        <row r="11">
          <cell r="B11" t="str">
            <v>S0025912</v>
          </cell>
          <cell r="C11" t="str">
            <v>SPS 2 CONNOR ST WYNDHAM</v>
          </cell>
          <cell r="D11" t="str">
            <v>A- actual</v>
          </cell>
          <cell r="E11" t="str">
            <v>PS- pump station</v>
          </cell>
          <cell r="F11" t="str">
            <v>CONNOR ST</v>
          </cell>
          <cell r="G11" t="str">
            <v>2</v>
          </cell>
          <cell r="H11" t="str">
            <v>W- water corporation</v>
          </cell>
          <cell r="I11" t="str">
            <v>17506</v>
          </cell>
          <cell r="J11" t="str">
            <v>19730101</v>
          </cell>
          <cell r="K11" t="str">
            <v>128.114480521</v>
          </cell>
          <cell r="L11" t="str">
            <v>-15.481618242</v>
          </cell>
          <cell r="M11" t="str">
            <v>H</v>
          </cell>
          <cell r="N11" t="str">
            <v>8</v>
          </cell>
          <cell r="O11" t="str">
            <v>CONNOR</v>
          </cell>
          <cell r="P11" t="str">
            <v>ST</v>
          </cell>
          <cell r="R11" t="str">
            <v>WYNDHAM</v>
          </cell>
          <cell r="S11" t="str">
            <v>6740</v>
          </cell>
        </row>
        <row r="12">
          <cell r="B12" t="str">
            <v>S0025722</v>
          </cell>
          <cell r="C12" t="str">
            <v>SPS 3 LAKESIDE KUNUNURRA</v>
          </cell>
          <cell r="D12" t="str">
            <v>A- actual</v>
          </cell>
          <cell r="E12" t="str">
            <v>PS- pump station</v>
          </cell>
          <cell r="F12" t="str">
            <v>EUGENIA ST</v>
          </cell>
          <cell r="G12" t="str">
            <v>3</v>
          </cell>
          <cell r="H12" t="str">
            <v>W- water corporation</v>
          </cell>
          <cell r="I12" t="str">
            <v>17492</v>
          </cell>
          <cell r="J12" t="str">
            <v>19840101</v>
          </cell>
          <cell r="K12" t="str">
            <v>128.745659878</v>
          </cell>
          <cell r="L12" t="str">
            <v>-15.788754769</v>
          </cell>
          <cell r="M12" t="str">
            <v>H</v>
          </cell>
          <cell r="N12" t="str">
            <v>17</v>
          </cell>
          <cell r="O12" t="str">
            <v>EUGENIA</v>
          </cell>
          <cell r="P12" t="str">
            <v>ST</v>
          </cell>
          <cell r="R12" t="str">
            <v>KUNUNURRA</v>
          </cell>
          <cell r="S12" t="str">
            <v>6743</v>
          </cell>
        </row>
        <row r="13">
          <cell r="B13" t="str">
            <v>S0025728</v>
          </cell>
          <cell r="C13" t="str">
            <v>SPS 4 MIRRIMA KUNUNURRA</v>
          </cell>
          <cell r="D13" t="str">
            <v>A- actual</v>
          </cell>
          <cell r="E13" t="str">
            <v>PS- pump station</v>
          </cell>
          <cell r="F13" t="str">
            <v>SPEARGRASS RD</v>
          </cell>
          <cell r="G13" t="str">
            <v>4</v>
          </cell>
          <cell r="H13" t="str">
            <v>W- water corporation</v>
          </cell>
          <cell r="J13" t="str">
            <v>19890101</v>
          </cell>
          <cell r="K13" t="str">
            <v>128.73670236</v>
          </cell>
          <cell r="L13" t="str">
            <v>-15.76267293</v>
          </cell>
          <cell r="M13" t="str">
            <v>L</v>
          </cell>
          <cell r="N13" t="str">
            <v>501</v>
          </cell>
          <cell r="O13" t="str">
            <v>BEREWERENG</v>
          </cell>
          <cell r="P13" t="str">
            <v>BA</v>
          </cell>
          <cell r="R13" t="str">
            <v>KUNUNURRA</v>
          </cell>
          <cell r="S13" t="str">
            <v>6743</v>
          </cell>
        </row>
        <row r="14">
          <cell r="B14" t="str">
            <v>S0025918</v>
          </cell>
          <cell r="C14" t="str">
            <v>SPS 3 GT NORTHERN HWY WYNDHAM</v>
          </cell>
          <cell r="D14" t="str">
            <v>A- actual</v>
          </cell>
          <cell r="E14" t="str">
            <v>PS- pump station</v>
          </cell>
          <cell r="F14" t="str">
            <v>GT NORTHERN HWY</v>
          </cell>
          <cell r="G14" t="str">
            <v>3</v>
          </cell>
          <cell r="H14" t="str">
            <v>W- water corporation</v>
          </cell>
          <cell r="I14" t="str">
            <v>17507</v>
          </cell>
          <cell r="J14" t="str">
            <v>19730101</v>
          </cell>
          <cell r="K14" t="str">
            <v>128.125158015</v>
          </cell>
          <cell r="L14" t="str">
            <v>-15.4890649876</v>
          </cell>
          <cell r="M14" t="str">
            <v>H</v>
          </cell>
          <cell r="N14" t="str">
            <v>90</v>
          </cell>
          <cell r="O14" t="str">
            <v>GREAT NORTHERN</v>
          </cell>
          <cell r="P14" t="str">
            <v>HWY</v>
          </cell>
          <cell r="R14" t="str">
            <v>WYNDHAM</v>
          </cell>
          <cell r="S14" t="str">
            <v>6740</v>
          </cell>
        </row>
        <row r="15">
          <cell r="B15" t="str">
            <v>S0025586</v>
          </cell>
          <cell r="C15" t="str">
            <v>SPS 2 WOODLAND RD HALLS CK</v>
          </cell>
          <cell r="D15" t="str">
            <v>A- actual</v>
          </cell>
          <cell r="E15" t="str">
            <v>PS- pump station</v>
          </cell>
          <cell r="F15" t="str">
            <v>WOODLAND RD</v>
          </cell>
          <cell r="G15" t="str">
            <v>2</v>
          </cell>
          <cell r="H15" t="str">
            <v>W- water corporation</v>
          </cell>
          <cell r="I15" t="str">
            <v>17515</v>
          </cell>
          <cell r="J15" t="str">
            <v>19830101</v>
          </cell>
          <cell r="K15" t="str">
            <v>127.66634035</v>
          </cell>
          <cell r="L15" t="str">
            <v>-18.22181391</v>
          </cell>
          <cell r="M15" t="str">
            <v>H</v>
          </cell>
          <cell r="N15" t="str">
            <v>15</v>
          </cell>
          <cell r="O15" t="str">
            <v>HAZLETT</v>
          </cell>
          <cell r="P15" t="str">
            <v>PL</v>
          </cell>
          <cell r="R15" t="str">
            <v>HALLS CREEK</v>
          </cell>
          <cell r="S15" t="str">
            <v>6770</v>
          </cell>
        </row>
        <row r="16">
          <cell r="B16" t="str">
            <v>S0025716</v>
          </cell>
          <cell r="C16" t="str">
            <v>SPS 2 VICTORIA HWY KUNUNURRA</v>
          </cell>
          <cell r="D16" t="str">
            <v>A- actual</v>
          </cell>
          <cell r="E16" t="str">
            <v>PS- pump station</v>
          </cell>
          <cell r="F16" t="str">
            <v>VICTORIA HWY</v>
          </cell>
          <cell r="G16" t="str">
            <v>2</v>
          </cell>
          <cell r="H16" t="str">
            <v>W- water corporation</v>
          </cell>
          <cell r="I16" t="str">
            <v>17491</v>
          </cell>
          <cell r="J16" t="str">
            <v>19960701</v>
          </cell>
          <cell r="K16" t="str">
            <v>128.747321555</v>
          </cell>
          <cell r="L16" t="str">
            <v>-15.778223304</v>
          </cell>
          <cell r="M16" t="str">
            <v>H</v>
          </cell>
          <cell r="N16" t="str">
            <v>65</v>
          </cell>
          <cell r="O16" t="str">
            <v>VICTORIA</v>
          </cell>
          <cell r="P16" t="str">
            <v>HWY</v>
          </cell>
          <cell r="R16" t="str">
            <v>KUNUNURRA</v>
          </cell>
          <cell r="S16" t="str">
            <v>6743</v>
          </cell>
        </row>
        <row r="17">
          <cell r="B17" t="str">
            <v>S0015181</v>
          </cell>
          <cell r="C17" t="str">
            <v>SPS 2 DEMPSTER ST ESPERANCE</v>
          </cell>
          <cell r="D17" t="str">
            <v>A- actual</v>
          </cell>
          <cell r="E17" t="str">
            <v>PS- pump station</v>
          </cell>
          <cell r="F17" t="str">
            <v>DEMPSTER ST</v>
          </cell>
          <cell r="G17" t="str">
            <v>2</v>
          </cell>
          <cell r="H17" t="str">
            <v>W- water corporation</v>
          </cell>
          <cell r="I17" t="str">
            <v>16797</v>
          </cell>
          <cell r="J17" t="str">
            <v>19820603</v>
          </cell>
          <cell r="K17" t="str">
            <v>121.898005718</v>
          </cell>
          <cell r="L17" t="str">
            <v>-33.8549893691</v>
          </cell>
          <cell r="M17" t="str">
            <v>H</v>
          </cell>
          <cell r="N17" t="str">
            <v>22</v>
          </cell>
          <cell r="O17" t="str">
            <v>DEMPSTER</v>
          </cell>
          <cell r="P17" t="str">
            <v>ST</v>
          </cell>
          <cell r="R17" t="str">
            <v>ESPERANCE</v>
          </cell>
          <cell r="S17" t="str">
            <v>6450</v>
          </cell>
        </row>
        <row r="18">
          <cell r="B18" t="str">
            <v>S6000150</v>
          </cell>
          <cell r="C18" t="str">
            <v>SPS 1 WELD DRIVE LAVERTON</v>
          </cell>
          <cell r="D18" t="str">
            <v>A- actual</v>
          </cell>
          <cell r="E18" t="str">
            <v>PS- pump station</v>
          </cell>
          <cell r="F18" t="str">
            <v>WELD DRIVE</v>
          </cell>
          <cell r="G18" t="str">
            <v>1</v>
          </cell>
          <cell r="H18" t="str">
            <v>W- water corporation</v>
          </cell>
          <cell r="J18" t="str">
            <v>19760101</v>
          </cell>
          <cell r="K18" t="str">
            <v>122.405949146</v>
          </cell>
          <cell r="L18" t="str">
            <v>-28.624429853</v>
          </cell>
          <cell r="M18" t="str">
            <v>L</v>
          </cell>
          <cell r="N18" t="str">
            <v>199</v>
          </cell>
          <cell r="O18" t="str">
            <v>WELD</v>
          </cell>
          <cell r="P18" t="str">
            <v>DR</v>
          </cell>
          <cell r="R18" t="str">
            <v>LAVERTON</v>
          </cell>
          <cell r="S18" t="str">
            <v>6440</v>
          </cell>
        </row>
        <row r="19">
          <cell r="B19" t="str">
            <v>S0015191</v>
          </cell>
          <cell r="C19" t="str">
            <v>SPS 4 PINK LAKE RD ESPERANCE</v>
          </cell>
          <cell r="D19" t="str">
            <v>A- actual</v>
          </cell>
          <cell r="E19" t="str">
            <v>PS- pump station</v>
          </cell>
          <cell r="F19" t="str">
            <v>PINK LAKE RD</v>
          </cell>
          <cell r="G19" t="str">
            <v>4</v>
          </cell>
          <cell r="H19" t="str">
            <v>W- water corporation</v>
          </cell>
          <cell r="I19" t="str">
            <v>16799</v>
          </cell>
          <cell r="J19" t="str">
            <v>19840401</v>
          </cell>
          <cell r="K19" t="str">
            <v>121.876484973</v>
          </cell>
          <cell r="L19" t="str">
            <v>-33.859329008</v>
          </cell>
          <cell r="M19" t="str">
            <v>H</v>
          </cell>
          <cell r="N19" t="str">
            <v>73</v>
          </cell>
          <cell r="O19" t="str">
            <v>PINK LAKE</v>
          </cell>
          <cell r="P19" t="str">
            <v>RD</v>
          </cell>
          <cell r="R19" t="str">
            <v>NULSEN</v>
          </cell>
          <cell r="S19" t="str">
            <v>6450</v>
          </cell>
        </row>
        <row r="20">
          <cell r="B20" t="str">
            <v>S0015161</v>
          </cell>
          <cell r="C20" t="str">
            <v>SPS MH0223 DEAN ST ESPERANCE</v>
          </cell>
          <cell r="D20" t="str">
            <v>A- actual</v>
          </cell>
          <cell r="E20" t="str">
            <v>TPS- temporary pump station</v>
          </cell>
          <cell r="F20" t="str">
            <v>DEAN ST</v>
          </cell>
          <cell r="H20" t="str">
            <v>W- water corporation</v>
          </cell>
          <cell r="J20" t="str">
            <v>19840619</v>
          </cell>
          <cell r="K20" t="str">
            <v>121.873815246</v>
          </cell>
          <cell r="L20" t="str">
            <v>-33.854774384</v>
          </cell>
          <cell r="M20" t="str">
            <v>H</v>
          </cell>
          <cell r="N20" t="str">
            <v>20</v>
          </cell>
          <cell r="O20" t="str">
            <v>DEAN</v>
          </cell>
          <cell r="P20" t="str">
            <v>ST</v>
          </cell>
          <cell r="R20" t="str">
            <v>NULSEN</v>
          </cell>
          <cell r="S20" t="str">
            <v>6450</v>
          </cell>
        </row>
        <row r="21">
          <cell r="B21" t="str">
            <v>S0015201</v>
          </cell>
          <cell r="C21" t="str">
            <v>SPS 8 ROWSE ST ESPERANCE</v>
          </cell>
          <cell r="D21" t="str">
            <v>A- actual</v>
          </cell>
          <cell r="E21" t="str">
            <v>PS- pump station</v>
          </cell>
          <cell r="F21" t="str">
            <v>ROWSE ST</v>
          </cell>
          <cell r="G21" t="str">
            <v>8</v>
          </cell>
          <cell r="H21" t="str">
            <v>W- water corporation</v>
          </cell>
          <cell r="I21" t="str">
            <v>16803</v>
          </cell>
          <cell r="J21" t="str">
            <v>19790101</v>
          </cell>
          <cell r="K21" t="str">
            <v>121.871444807</v>
          </cell>
          <cell r="L21" t="str">
            <v>-33.852285567</v>
          </cell>
          <cell r="M21" t="str">
            <v>H</v>
          </cell>
          <cell r="N21" t="str">
            <v>83</v>
          </cell>
          <cell r="O21" t="str">
            <v>ROWSE</v>
          </cell>
          <cell r="P21" t="str">
            <v>ST</v>
          </cell>
          <cell r="R21" t="str">
            <v>NULSEN</v>
          </cell>
          <cell r="S21" t="str">
            <v>6450</v>
          </cell>
        </row>
        <row r="22">
          <cell r="B22" t="str">
            <v>S0015196</v>
          </cell>
          <cell r="C22" t="str">
            <v>SPS 6 FORREST ST ESPERANCE</v>
          </cell>
          <cell r="D22" t="str">
            <v>A- actual</v>
          </cell>
          <cell r="E22" t="str">
            <v>PS- pump station</v>
          </cell>
          <cell r="F22" t="str">
            <v>FORREST ST</v>
          </cell>
          <cell r="G22" t="str">
            <v>6</v>
          </cell>
          <cell r="H22" t="str">
            <v>W- water corporation</v>
          </cell>
          <cell r="I22" t="str">
            <v>48612</v>
          </cell>
          <cell r="J22" t="str">
            <v>19951101</v>
          </cell>
          <cell r="K22" t="str">
            <v>121.889420099</v>
          </cell>
          <cell r="L22" t="str">
            <v>-33.858830259</v>
          </cell>
          <cell r="M22" t="str">
            <v>L</v>
          </cell>
          <cell r="N22" t="str">
            <v>507</v>
          </cell>
          <cell r="O22" t="str">
            <v>FORREST</v>
          </cell>
          <cell r="P22" t="str">
            <v>ST</v>
          </cell>
          <cell r="R22" t="str">
            <v>ESPERANCE</v>
          </cell>
          <cell r="S22" t="str">
            <v>6450</v>
          </cell>
        </row>
        <row r="23">
          <cell r="B23" t="str">
            <v>S0015167</v>
          </cell>
          <cell r="C23" t="str">
            <v>SPS 1 THE ESPLANADE ESPERANCE</v>
          </cell>
          <cell r="D23" t="str">
            <v>A- actual</v>
          </cell>
          <cell r="E23" t="str">
            <v>PS- pump station</v>
          </cell>
          <cell r="F23" t="str">
            <v>THE ESPLANADE</v>
          </cell>
          <cell r="G23" t="str">
            <v>1</v>
          </cell>
          <cell r="H23" t="str">
            <v>W- water corporation</v>
          </cell>
          <cell r="I23" t="str">
            <v>16796</v>
          </cell>
          <cell r="J23" t="str">
            <v>19780101</v>
          </cell>
          <cell r="K23" t="str">
            <v>121.893420618</v>
          </cell>
          <cell r="L23" t="str">
            <v>-33.86234721</v>
          </cell>
          <cell r="M23" t="str">
            <v>L</v>
          </cell>
          <cell r="N23" t="str">
            <v>779</v>
          </cell>
          <cell r="O23" t="str">
            <v>THE ESPLANADE</v>
          </cell>
          <cell r="R23" t="str">
            <v>ESPERANCE</v>
          </cell>
          <cell r="S23" t="str">
            <v>6450</v>
          </cell>
        </row>
        <row r="24">
          <cell r="B24" t="str">
            <v>S0015186</v>
          </cell>
          <cell r="C24" t="str">
            <v>SPS 3 JOHNS ST ESPERANCE</v>
          </cell>
          <cell r="D24" t="str">
            <v>A- actual</v>
          </cell>
          <cell r="E24" t="str">
            <v>PS- pump station</v>
          </cell>
          <cell r="F24" t="str">
            <v>JOHNS ST</v>
          </cell>
          <cell r="G24" t="str">
            <v>3</v>
          </cell>
          <cell r="H24" t="str">
            <v>W- water corporation</v>
          </cell>
          <cell r="I24" t="str">
            <v>16798</v>
          </cell>
          <cell r="J24" t="str">
            <v>19840401</v>
          </cell>
          <cell r="K24" t="str">
            <v>121.881423596</v>
          </cell>
          <cell r="L24" t="str">
            <v>-33.863824602</v>
          </cell>
          <cell r="M24" t="str">
            <v>H</v>
          </cell>
          <cell r="N24" t="str">
            <v>52</v>
          </cell>
          <cell r="O24" t="str">
            <v>JOHNS</v>
          </cell>
          <cell r="P24" t="str">
            <v>ST</v>
          </cell>
          <cell r="R24" t="str">
            <v>SINCLAIR</v>
          </cell>
          <cell r="S24" t="str">
            <v>6450</v>
          </cell>
        </row>
        <row r="25">
          <cell r="B25" t="str">
            <v>S0015164</v>
          </cell>
          <cell r="C25" t="str">
            <v>SPS MH0242 SIMS ST ESPERANCE</v>
          </cell>
          <cell r="D25" t="str">
            <v>A- actual</v>
          </cell>
          <cell r="E25" t="str">
            <v>TPS- temporary pump station</v>
          </cell>
          <cell r="F25" t="str">
            <v>SIMS ST</v>
          </cell>
          <cell r="H25" t="str">
            <v>W- water corporation</v>
          </cell>
          <cell r="J25" t="str">
            <v>19840619</v>
          </cell>
          <cell r="K25" t="str">
            <v>121.878285442</v>
          </cell>
          <cell r="L25" t="str">
            <v>-33.853929741</v>
          </cell>
          <cell r="M25" t="str">
            <v>H</v>
          </cell>
          <cell r="N25" t="str">
            <v>2</v>
          </cell>
          <cell r="O25" t="str">
            <v>SYMONS</v>
          </cell>
          <cell r="P25" t="str">
            <v>ST</v>
          </cell>
          <cell r="R25" t="str">
            <v>NULSEN</v>
          </cell>
          <cell r="S25" t="str">
            <v>6450</v>
          </cell>
        </row>
        <row r="26">
          <cell r="B26" t="str">
            <v>S0015205</v>
          </cell>
          <cell r="C26" t="str">
            <v>SPS 9 TRAVERS ST ESPERANCE</v>
          </cell>
          <cell r="D26" t="str">
            <v>A- actual</v>
          </cell>
          <cell r="E26" t="str">
            <v>PS- pump station</v>
          </cell>
          <cell r="F26" t="str">
            <v>TRAVERS AVE</v>
          </cell>
          <cell r="G26" t="str">
            <v>9</v>
          </cell>
          <cell r="H26" t="str">
            <v>W- water corporation</v>
          </cell>
          <cell r="I26" t="str">
            <v>16804</v>
          </cell>
          <cell r="J26" t="str">
            <v>19870501</v>
          </cell>
          <cell r="K26" t="str">
            <v>121.8686202</v>
          </cell>
          <cell r="L26" t="str">
            <v>-33.856988813</v>
          </cell>
          <cell r="M26" t="str">
            <v>L</v>
          </cell>
          <cell r="N26" t="str">
            <v>879</v>
          </cell>
          <cell r="O26" t="str">
            <v>TRAVERS</v>
          </cell>
          <cell r="P26" t="str">
            <v>AV</v>
          </cell>
          <cell r="R26" t="str">
            <v>NULSEN</v>
          </cell>
          <cell r="S26" t="str">
            <v>6450</v>
          </cell>
        </row>
        <row r="27">
          <cell r="B27" t="str">
            <v>S0025558</v>
          </cell>
          <cell r="C27" t="str">
            <v>SPS 3 ELDER ST DERBY</v>
          </cell>
          <cell r="D27" t="str">
            <v>A- actual</v>
          </cell>
          <cell r="E27" t="str">
            <v>PS- pump station</v>
          </cell>
          <cell r="F27" t="str">
            <v>ELDER ST</v>
          </cell>
          <cell r="G27" t="str">
            <v>3</v>
          </cell>
          <cell r="H27" t="str">
            <v>W- water corporation</v>
          </cell>
          <cell r="I27" t="str">
            <v>17498</v>
          </cell>
          <cell r="J27" t="str">
            <v>19820101</v>
          </cell>
          <cell r="K27" t="str">
            <v>123.625425252</v>
          </cell>
          <cell r="L27" t="str">
            <v>-17.3009303345</v>
          </cell>
          <cell r="M27" t="str">
            <v>H</v>
          </cell>
          <cell r="N27" t="str">
            <v>8</v>
          </cell>
          <cell r="O27" t="str">
            <v>ELDER</v>
          </cell>
          <cell r="P27" t="str">
            <v>ST</v>
          </cell>
          <cell r="R27" t="str">
            <v>DERBY</v>
          </cell>
          <cell r="S27" t="str">
            <v>6728</v>
          </cell>
        </row>
        <row r="28">
          <cell r="B28" t="str">
            <v>S0025552</v>
          </cell>
          <cell r="C28" t="str">
            <v>SPS 1 ROWAN ST DERBY</v>
          </cell>
          <cell r="D28" t="str">
            <v>A- actual</v>
          </cell>
          <cell r="E28" t="str">
            <v>PS- pump station</v>
          </cell>
          <cell r="F28" t="str">
            <v>ROWAN ST</v>
          </cell>
          <cell r="G28" t="str">
            <v>1</v>
          </cell>
          <cell r="H28" t="str">
            <v>W- water corporation</v>
          </cell>
          <cell r="I28" t="str">
            <v>17497</v>
          </cell>
          <cell r="J28" t="str">
            <v>19770101</v>
          </cell>
          <cell r="K28" t="str">
            <v>123.633920576</v>
          </cell>
          <cell r="L28" t="str">
            <v>-17.316034786</v>
          </cell>
          <cell r="M28" t="str">
            <v>H</v>
          </cell>
          <cell r="N28" t="str">
            <v>56</v>
          </cell>
          <cell r="O28" t="str">
            <v>MARMION</v>
          </cell>
          <cell r="P28" t="str">
            <v>ST</v>
          </cell>
          <cell r="R28" t="str">
            <v>DERBY</v>
          </cell>
          <cell r="S28" t="str">
            <v>6728</v>
          </cell>
        </row>
        <row r="29">
          <cell r="D29" t="str">
            <v>A- actual</v>
          </cell>
          <cell r="E29" t="str">
            <v>PS- pump station</v>
          </cell>
          <cell r="F29" t="str">
            <v>DERBY</v>
          </cell>
          <cell r="G29" t="str">
            <v>9</v>
          </cell>
          <cell r="H29" t="str">
            <v>P- private</v>
          </cell>
          <cell r="I29" t="str">
            <v>44597</v>
          </cell>
          <cell r="J29" t="str">
            <v>19870101</v>
          </cell>
          <cell r="K29" t="str">
            <v>123.640139527</v>
          </cell>
          <cell r="L29" t="str">
            <v>-17.3049676752</v>
          </cell>
          <cell r="M29" t="str">
            <v>H</v>
          </cell>
          <cell r="N29" t="str">
            <v>34</v>
          </cell>
          <cell r="O29" t="str">
            <v>PANTON</v>
          </cell>
          <cell r="P29" t="str">
            <v>ST</v>
          </cell>
          <cell r="R29" t="str">
            <v>DERBY</v>
          </cell>
          <cell r="S29" t="str">
            <v>6728</v>
          </cell>
        </row>
        <row r="30">
          <cell r="B30" t="str">
            <v>S0025564</v>
          </cell>
          <cell r="C30" t="str">
            <v>SPS 4 PANTON ST DERBY</v>
          </cell>
          <cell r="D30" t="str">
            <v>A- actual</v>
          </cell>
          <cell r="E30" t="str">
            <v>TPS- temporary pump station</v>
          </cell>
          <cell r="F30" t="str">
            <v>PANTON ST</v>
          </cell>
          <cell r="G30" t="str">
            <v>4</v>
          </cell>
          <cell r="H30" t="str">
            <v>W- water corporation</v>
          </cell>
          <cell r="J30" t="str">
            <v>19870101</v>
          </cell>
          <cell r="K30" t="str">
            <v>123.644791535</v>
          </cell>
          <cell r="L30" t="str">
            <v>-17.3063356</v>
          </cell>
          <cell r="M30" t="str">
            <v>H</v>
          </cell>
          <cell r="N30" t="str">
            <v>1</v>
          </cell>
          <cell r="O30" t="str">
            <v>PANTON</v>
          </cell>
          <cell r="P30" t="str">
            <v>ST</v>
          </cell>
          <cell r="R30" t="str">
            <v>DERBY</v>
          </cell>
          <cell r="S30" t="str">
            <v>6728</v>
          </cell>
        </row>
        <row r="31">
          <cell r="B31" t="str">
            <v>S0025538</v>
          </cell>
          <cell r="C31" t="str">
            <v>M/H 41 SEW P/STN</v>
          </cell>
          <cell r="D31" t="str">
            <v>A- actual</v>
          </cell>
          <cell r="E31" t="str">
            <v>TPS- temporary pump station</v>
          </cell>
          <cell r="F31" t="str">
            <v>DORA ST</v>
          </cell>
          <cell r="H31" t="str">
            <v>W- water corporation</v>
          </cell>
          <cell r="I31" t="str">
            <v>17511</v>
          </cell>
          <cell r="J31" t="str">
            <v>19930101</v>
          </cell>
          <cell r="K31" t="str">
            <v>122.229691436</v>
          </cell>
          <cell r="L31" t="str">
            <v>-17.966356375</v>
          </cell>
          <cell r="M31" t="str">
            <v>H</v>
          </cell>
          <cell r="N31" t="str">
            <v>34</v>
          </cell>
          <cell r="O31" t="str">
            <v>DORA</v>
          </cell>
          <cell r="P31" t="str">
            <v>ST</v>
          </cell>
          <cell r="R31" t="str">
            <v>BROOME</v>
          </cell>
          <cell r="S31" t="str">
            <v>6725</v>
          </cell>
        </row>
        <row r="32">
          <cell r="B32" t="str">
            <v>S0025532</v>
          </cell>
          <cell r="C32" t="str">
            <v>SPS 5 CABLE BCH RD BROOME</v>
          </cell>
          <cell r="D32" t="str">
            <v>A- actual</v>
          </cell>
          <cell r="E32" t="str">
            <v>PS- pump station</v>
          </cell>
          <cell r="F32" t="str">
            <v>CABLE BEACH RD</v>
          </cell>
          <cell r="G32" t="str">
            <v>5</v>
          </cell>
          <cell r="H32" t="str">
            <v>W- water corporation</v>
          </cell>
          <cell r="I32" t="str">
            <v>19748</v>
          </cell>
          <cell r="J32" t="str">
            <v>19870101</v>
          </cell>
          <cell r="K32" t="str">
            <v>122.21238343</v>
          </cell>
          <cell r="L32" t="str">
            <v>-17.94770346</v>
          </cell>
          <cell r="M32" t="str">
            <v>H</v>
          </cell>
          <cell r="N32" t="str">
            <v>251</v>
          </cell>
          <cell r="O32" t="str">
            <v>CABLE BEACH</v>
          </cell>
          <cell r="P32" t="str">
            <v>RD</v>
          </cell>
          <cell r="Q32" t="str">
            <v>E</v>
          </cell>
          <cell r="R32" t="str">
            <v>CABLE BEACH</v>
          </cell>
          <cell r="S32" t="str">
            <v>6726</v>
          </cell>
        </row>
        <row r="33">
          <cell r="B33" t="str">
            <v>S0025526</v>
          </cell>
          <cell r="C33" t="str">
            <v>SPS 4 CABLE BCH RD BROOME</v>
          </cell>
          <cell r="D33" t="str">
            <v>A- actual</v>
          </cell>
          <cell r="E33" t="str">
            <v>PS- pump station</v>
          </cell>
          <cell r="F33" t="str">
            <v>CABLE BEACH RD</v>
          </cell>
          <cell r="G33" t="str">
            <v>4</v>
          </cell>
          <cell r="H33" t="str">
            <v>W- water corporation</v>
          </cell>
          <cell r="I33" t="str">
            <v>19746</v>
          </cell>
          <cell r="J33" t="str">
            <v>19870101</v>
          </cell>
          <cell r="K33" t="str">
            <v>122.21193632</v>
          </cell>
          <cell r="L33" t="str">
            <v>-17.932419299</v>
          </cell>
          <cell r="M33" t="str">
            <v>L</v>
          </cell>
          <cell r="N33" t="str">
            <v>2224</v>
          </cell>
          <cell r="O33" t="str">
            <v>CABLE BEACH</v>
          </cell>
          <cell r="P33" t="str">
            <v>RD</v>
          </cell>
          <cell r="Q33" t="str">
            <v>W</v>
          </cell>
          <cell r="R33" t="str">
            <v>CABLE BEACH</v>
          </cell>
          <cell r="S33" t="str">
            <v>6726</v>
          </cell>
        </row>
        <row r="34">
          <cell r="B34" t="str">
            <v>S0025520</v>
          </cell>
          <cell r="C34" t="str">
            <v>SPS 3 BROOME RD BROOME</v>
          </cell>
          <cell r="D34" t="str">
            <v>A- actual</v>
          </cell>
          <cell r="E34" t="str">
            <v>PS- pump station</v>
          </cell>
          <cell r="F34" t="str">
            <v>BROOME RD</v>
          </cell>
          <cell r="G34" t="str">
            <v>3</v>
          </cell>
          <cell r="H34" t="str">
            <v>W- water corporation</v>
          </cell>
          <cell r="I34" t="str">
            <v>22086</v>
          </cell>
          <cell r="J34" t="str">
            <v>19880101</v>
          </cell>
          <cell r="K34" t="str">
            <v>122.240638099</v>
          </cell>
          <cell r="L34" t="str">
            <v>-17.954084095</v>
          </cell>
          <cell r="M34" t="str">
            <v>L</v>
          </cell>
          <cell r="N34" t="str">
            <v>2661</v>
          </cell>
          <cell r="O34" t="str">
            <v>HAMERSLEY</v>
          </cell>
          <cell r="P34" t="str">
            <v>ST</v>
          </cell>
          <cell r="R34" t="str">
            <v>DJUGUN</v>
          </cell>
          <cell r="S34" t="str">
            <v>6725</v>
          </cell>
        </row>
        <row r="35">
          <cell r="D35" t="str">
            <v>N- not in use</v>
          </cell>
          <cell r="E35" t="str">
            <v>PS- pump station</v>
          </cell>
          <cell r="F35" t="str">
            <v>ROBINSON ST</v>
          </cell>
          <cell r="G35" t="str">
            <v>2</v>
          </cell>
          <cell r="H35" t="str">
            <v>W- water corporation</v>
          </cell>
          <cell r="I35" t="str">
            <v>13076</v>
          </cell>
          <cell r="J35" t="str">
            <v>19860501</v>
          </cell>
          <cell r="K35" t="str">
            <v>122.236291727</v>
          </cell>
          <cell r="L35" t="str">
            <v>-17.968702222</v>
          </cell>
          <cell r="M35" t="str">
            <v>H</v>
          </cell>
          <cell r="N35" t="str">
            <v>73</v>
          </cell>
          <cell r="O35" t="str">
            <v>ROBINSON</v>
          </cell>
          <cell r="P35" t="str">
            <v>ST</v>
          </cell>
          <cell r="R35" t="str">
            <v>BROOME</v>
          </cell>
          <cell r="S35" t="str">
            <v>6725</v>
          </cell>
        </row>
        <row r="36">
          <cell r="B36" t="str">
            <v>S0025512</v>
          </cell>
          <cell r="C36" t="str">
            <v>#1 S-PS BROOME  Flagged for deletion</v>
          </cell>
          <cell r="D36" t="str">
            <v>R- removed</v>
          </cell>
          <cell r="E36" t="str">
            <v>PS- pump station</v>
          </cell>
          <cell r="F36" t="str">
            <v>BROOME</v>
          </cell>
          <cell r="G36" t="str">
            <v>1</v>
          </cell>
          <cell r="H36" t="str">
            <v>W- water corporation</v>
          </cell>
          <cell r="I36" t="str">
            <v>17510</v>
          </cell>
          <cell r="J36" t="str">
            <v>18000101</v>
          </cell>
          <cell r="K36" t="str">
            <v>122.231479366</v>
          </cell>
          <cell r="L36" t="str">
            <v>-17.954980643</v>
          </cell>
          <cell r="M36" t="str">
            <v>H</v>
          </cell>
          <cell r="N36" t="str">
            <v>91</v>
          </cell>
          <cell r="O36" t="str">
            <v>FREDERICK</v>
          </cell>
          <cell r="P36" t="str">
            <v>ST</v>
          </cell>
          <cell r="R36" t="str">
            <v>BROOME</v>
          </cell>
          <cell r="S36" t="str">
            <v>6725</v>
          </cell>
        </row>
        <row r="37">
          <cell r="B37" t="str">
            <v>S0025574</v>
          </cell>
          <cell r="C37" t="str">
            <v>SPS 1 FORREST RD FITZROY CROSSING</v>
          </cell>
          <cell r="D37" t="str">
            <v>A- actual</v>
          </cell>
          <cell r="E37" t="str">
            <v>PS- pump station</v>
          </cell>
          <cell r="F37" t="str">
            <v>FORREST RD</v>
          </cell>
          <cell r="G37" t="str">
            <v>1</v>
          </cell>
          <cell r="H37" t="str">
            <v>W- water corporation</v>
          </cell>
          <cell r="I37" t="str">
            <v>17501</v>
          </cell>
          <cell r="J37" t="str">
            <v>19860120</v>
          </cell>
          <cell r="K37" t="str">
            <v>125.568987656</v>
          </cell>
          <cell r="L37" t="str">
            <v>-18.192808406</v>
          </cell>
          <cell r="M37" t="str">
            <v>H</v>
          </cell>
          <cell r="N37" t="str">
            <v>52</v>
          </cell>
          <cell r="O37" t="str">
            <v>FORREST</v>
          </cell>
          <cell r="P37" t="str">
            <v>RD</v>
          </cell>
          <cell r="R37" t="str">
            <v>FITZROY CROSSING</v>
          </cell>
          <cell r="S37" t="str">
            <v>6765</v>
          </cell>
        </row>
        <row r="38">
          <cell r="D38" t="str">
            <v>A- actual</v>
          </cell>
          <cell r="E38" t="str">
            <v>PS- pump station</v>
          </cell>
          <cell r="F38" t="str">
            <v>LOTTERIES HOUSE</v>
          </cell>
          <cell r="H38" t="str">
            <v>P- private</v>
          </cell>
          <cell r="J38" t="str">
            <v>19930906</v>
          </cell>
          <cell r="K38" t="str">
            <v>122.220229336</v>
          </cell>
          <cell r="L38" t="str">
            <v>-17.953424814</v>
          </cell>
          <cell r="M38" t="str">
            <v>L</v>
          </cell>
          <cell r="N38" t="str">
            <v>2211</v>
          </cell>
          <cell r="O38" t="str">
            <v>TAIJI</v>
          </cell>
          <cell r="P38" t="str">
            <v>RD</v>
          </cell>
          <cell r="R38" t="str">
            <v>CABLE BEACH</v>
          </cell>
          <cell r="S38" t="str">
            <v>6726</v>
          </cell>
        </row>
        <row r="39">
          <cell r="D39" t="str">
            <v>A- actual</v>
          </cell>
          <cell r="E39" t="str">
            <v>PS- pump station</v>
          </cell>
          <cell r="F39" t="str">
            <v>CARAVAN PARK</v>
          </cell>
          <cell r="H39" t="str">
            <v>P- private</v>
          </cell>
          <cell r="J39" t="str">
            <v>19871030</v>
          </cell>
          <cell r="K39" t="str">
            <v>122.212989005</v>
          </cell>
          <cell r="L39" t="str">
            <v>-17.9749977941</v>
          </cell>
          <cell r="M39" t="str">
            <v>H</v>
          </cell>
          <cell r="N39" t="str">
            <v>122</v>
          </cell>
          <cell r="O39" t="str">
            <v>PORT</v>
          </cell>
          <cell r="P39" t="str">
            <v>DR</v>
          </cell>
          <cell r="R39" t="str">
            <v>CABLE BEACH</v>
          </cell>
          <cell r="S39" t="str">
            <v>6726</v>
          </cell>
        </row>
        <row r="40">
          <cell r="D40" t="str">
            <v>A- actual</v>
          </cell>
          <cell r="E40" t="str">
            <v>PS- pump station</v>
          </cell>
          <cell r="F40" t="str">
            <v>NILLIR IRBANJIN COMMUNITY</v>
          </cell>
          <cell r="H40" t="str">
            <v>P- private</v>
          </cell>
          <cell r="J40" t="str">
            <v>19000101</v>
          </cell>
          <cell r="K40" t="str">
            <v>122.236170391</v>
          </cell>
          <cell r="L40" t="str">
            <v>-17.943095703</v>
          </cell>
          <cell r="M40" t="str">
            <v>H</v>
          </cell>
          <cell r="N40" t="str">
            <v>135</v>
          </cell>
          <cell r="O40" t="str">
            <v>OLD BROOME</v>
          </cell>
          <cell r="P40" t="str">
            <v>RD</v>
          </cell>
          <cell r="R40" t="str">
            <v>DJUGUN</v>
          </cell>
          <cell r="S40" t="str">
            <v>6725</v>
          </cell>
        </row>
        <row r="41">
          <cell r="D41" t="str">
            <v>N- not in use</v>
          </cell>
          <cell r="E41" t="str">
            <v>PS- pump station</v>
          </cell>
          <cell r="F41" t="str">
            <v>EXMOUTH</v>
          </cell>
          <cell r="H41" t="str">
            <v>W- water corporation</v>
          </cell>
          <cell r="J41" t="str">
            <v>18000101</v>
          </cell>
          <cell r="K41" t="str">
            <v>114.118204222</v>
          </cell>
          <cell r="L41" t="str">
            <v>-21.9237270379</v>
          </cell>
          <cell r="M41" t="str">
            <v>H</v>
          </cell>
          <cell r="N41" t="str">
            <v>1</v>
          </cell>
          <cell r="O41" t="str">
            <v>WALTERS</v>
          </cell>
          <cell r="P41" t="str">
            <v>WAY</v>
          </cell>
          <cell r="R41" t="str">
            <v>EXMOUTH</v>
          </cell>
          <cell r="S41" t="str">
            <v>6707</v>
          </cell>
        </row>
        <row r="42">
          <cell r="B42" t="str">
            <v>S0025637</v>
          </cell>
          <cell r="C42" t="str">
            <v>SPS 5 PELUSEY RD KARRATHA</v>
          </cell>
          <cell r="D42" t="str">
            <v>A- actual</v>
          </cell>
          <cell r="E42" t="str">
            <v>PS- pump station</v>
          </cell>
          <cell r="F42" t="str">
            <v>PELUSEY WAY</v>
          </cell>
          <cell r="G42" t="str">
            <v>5</v>
          </cell>
          <cell r="H42" t="str">
            <v>W- water corporation</v>
          </cell>
          <cell r="I42" t="str">
            <v>17455</v>
          </cell>
          <cell r="J42" t="str">
            <v>19800101</v>
          </cell>
          <cell r="K42" t="str">
            <v>116.802523205</v>
          </cell>
          <cell r="L42" t="str">
            <v>-20.731067216</v>
          </cell>
          <cell r="M42" t="str">
            <v>L</v>
          </cell>
          <cell r="N42" t="str">
            <v>3838</v>
          </cell>
          <cell r="O42" t="str">
            <v>PELUSEY</v>
          </cell>
          <cell r="P42" t="str">
            <v>WAY</v>
          </cell>
          <cell r="R42" t="str">
            <v>NICKOL</v>
          </cell>
          <cell r="S42" t="str">
            <v>6714</v>
          </cell>
        </row>
        <row r="43">
          <cell r="B43" t="str">
            <v>S0025630</v>
          </cell>
          <cell r="C43" t="str">
            <v>SPS 4 BATHGATE RD KARRATHA</v>
          </cell>
          <cell r="D43" t="str">
            <v>A- actual</v>
          </cell>
          <cell r="E43" t="str">
            <v>PS- pump station</v>
          </cell>
          <cell r="F43" t="str">
            <v>BATHGATE RD</v>
          </cell>
          <cell r="G43" t="str">
            <v>4</v>
          </cell>
          <cell r="H43" t="str">
            <v>W- water corporation</v>
          </cell>
          <cell r="I43" t="str">
            <v>17454</v>
          </cell>
          <cell r="J43" t="str">
            <v>19810101</v>
          </cell>
          <cell r="K43" t="str">
            <v>116.811925607</v>
          </cell>
          <cell r="L43" t="str">
            <v>-20.737179659</v>
          </cell>
          <cell r="M43" t="str">
            <v>L</v>
          </cell>
          <cell r="N43" t="str">
            <v>3828</v>
          </cell>
          <cell r="O43" t="str">
            <v>BATHGATE</v>
          </cell>
          <cell r="P43" t="str">
            <v>RD</v>
          </cell>
          <cell r="R43" t="str">
            <v>NICKOL</v>
          </cell>
          <cell r="S43" t="str">
            <v>6714</v>
          </cell>
        </row>
        <row r="44">
          <cell r="B44" t="str">
            <v>S0025623</v>
          </cell>
          <cell r="C44" t="str">
            <v>SPS 3 BALMORAL RD KARRATHA</v>
          </cell>
          <cell r="D44" t="str">
            <v>A- actual</v>
          </cell>
          <cell r="E44" t="str">
            <v>PS- pump station</v>
          </cell>
          <cell r="F44" t="str">
            <v>BALMORAL RD</v>
          </cell>
          <cell r="G44" t="str">
            <v>3</v>
          </cell>
          <cell r="H44" t="str">
            <v>W- water corporation</v>
          </cell>
          <cell r="I44" t="str">
            <v>17453</v>
          </cell>
          <cell r="J44" t="str">
            <v>19790101</v>
          </cell>
          <cell r="K44" t="str">
            <v>116.823357059</v>
          </cell>
          <cell r="L44" t="str">
            <v>-20.736998963</v>
          </cell>
          <cell r="M44" t="str">
            <v>L</v>
          </cell>
          <cell r="N44" t="str">
            <v>2599</v>
          </cell>
          <cell r="O44" t="str">
            <v>BALMORAL</v>
          </cell>
          <cell r="P44" t="str">
            <v>RD</v>
          </cell>
          <cell r="R44" t="str">
            <v>MILLARS WELL</v>
          </cell>
          <cell r="S44" t="str">
            <v>6714</v>
          </cell>
        </row>
        <row r="45">
          <cell r="B45" t="str">
            <v>S0025616</v>
          </cell>
          <cell r="C45" t="str">
            <v>SPS 2 BALMORAL RD KARRATHA</v>
          </cell>
          <cell r="D45" t="str">
            <v>A- actual</v>
          </cell>
          <cell r="E45" t="str">
            <v>PS- pump station</v>
          </cell>
          <cell r="F45" t="str">
            <v>BALMORAL RD</v>
          </cell>
          <cell r="G45" t="str">
            <v>2</v>
          </cell>
          <cell r="H45" t="str">
            <v>W- water corporation</v>
          </cell>
          <cell r="I45" t="str">
            <v>17452</v>
          </cell>
          <cell r="J45" t="str">
            <v>19760101</v>
          </cell>
          <cell r="K45" t="str">
            <v>116.831988129</v>
          </cell>
          <cell r="L45" t="str">
            <v>-20.73530556</v>
          </cell>
          <cell r="M45" t="str">
            <v>L</v>
          </cell>
          <cell r="N45" t="str">
            <v>1543</v>
          </cell>
          <cell r="O45" t="str">
            <v>BALMORAL</v>
          </cell>
          <cell r="P45" t="str">
            <v>RD</v>
          </cell>
          <cell r="R45" t="str">
            <v>PEGS CREEK</v>
          </cell>
          <cell r="S45" t="str">
            <v>6714</v>
          </cell>
        </row>
        <row r="46">
          <cell r="B46" t="str">
            <v>S0025651</v>
          </cell>
          <cell r="C46" t="str">
            <v>SPS 1 LIA CHERRATTA RD KARRATHA</v>
          </cell>
          <cell r="D46" t="str">
            <v>A- actual</v>
          </cell>
          <cell r="E46" t="str">
            <v>TPS- temporary pump station</v>
          </cell>
          <cell r="F46" t="str">
            <v>CHERRATTA RD</v>
          </cell>
          <cell r="H46" t="str">
            <v>W- water corporation</v>
          </cell>
          <cell r="I46" t="str">
            <v>17456</v>
          </cell>
          <cell r="J46" t="str">
            <v>19700101</v>
          </cell>
          <cell r="K46" t="str">
            <v>116.861578947</v>
          </cell>
          <cell r="L46" t="str">
            <v>-20.76579564</v>
          </cell>
          <cell r="M46" t="str">
            <v>H</v>
          </cell>
          <cell r="N46" t="str">
            <v>1063</v>
          </cell>
          <cell r="O46" t="str">
            <v>MOOLIGUNN</v>
          </cell>
          <cell r="P46" t="str">
            <v>RD</v>
          </cell>
          <cell r="R46" t="str">
            <v>KARRATHA INDUSTRIAL ESTATE</v>
          </cell>
          <cell r="S46" t="str">
            <v>6714</v>
          </cell>
        </row>
        <row r="47">
          <cell r="B47" t="str">
            <v>S0025609</v>
          </cell>
          <cell r="C47" t="str">
            <v>SPS 1 SEARIPPLE RD KARRATHA</v>
          </cell>
          <cell r="D47" t="str">
            <v>A- actual</v>
          </cell>
          <cell r="E47" t="str">
            <v>PS- pump station</v>
          </cell>
          <cell r="F47" t="str">
            <v>SEARIPPLE RD</v>
          </cell>
          <cell r="G47" t="str">
            <v>1</v>
          </cell>
          <cell r="H47" t="str">
            <v>W- water corporation</v>
          </cell>
          <cell r="I47" t="str">
            <v>17451</v>
          </cell>
          <cell r="J47" t="str">
            <v>19700526</v>
          </cell>
          <cell r="K47" t="str">
            <v>116.859771403</v>
          </cell>
          <cell r="L47" t="str">
            <v>-20.727373362</v>
          </cell>
          <cell r="M47" t="str">
            <v>H</v>
          </cell>
          <cell r="N47" t="str">
            <v>1077</v>
          </cell>
          <cell r="O47" t="str">
            <v>SEARIPPLE</v>
          </cell>
          <cell r="P47" t="str">
            <v>RD</v>
          </cell>
          <cell r="R47" t="str">
            <v>BULGARRA</v>
          </cell>
          <cell r="S47" t="str">
            <v>6714</v>
          </cell>
        </row>
        <row r="48">
          <cell r="B48" t="str">
            <v>S0025670</v>
          </cell>
          <cell r="C48" t="str">
            <v>SPS 1 ROE ST ROEBOURNE</v>
          </cell>
          <cell r="D48" t="str">
            <v>A- actual</v>
          </cell>
          <cell r="E48" t="str">
            <v>PS- pump station</v>
          </cell>
          <cell r="F48" t="str">
            <v>ROE ST</v>
          </cell>
          <cell r="G48" t="str">
            <v>1</v>
          </cell>
          <cell r="H48" t="str">
            <v>W- water corporation</v>
          </cell>
          <cell r="I48" t="str">
            <v>17460</v>
          </cell>
          <cell r="J48" t="str">
            <v>19740101</v>
          </cell>
          <cell r="K48" t="str">
            <v>117.147172323</v>
          </cell>
          <cell r="L48" t="str">
            <v>-20.769871855</v>
          </cell>
          <cell r="M48" t="str">
            <v>H</v>
          </cell>
          <cell r="N48" t="str">
            <v>13</v>
          </cell>
          <cell r="O48" t="str">
            <v>ROE</v>
          </cell>
          <cell r="P48" t="str">
            <v>ST</v>
          </cell>
          <cell r="R48" t="str">
            <v>ROEBOURNE</v>
          </cell>
          <cell r="S48" t="str">
            <v>6718</v>
          </cell>
        </row>
        <row r="49">
          <cell r="B49" t="str">
            <v>S0025697</v>
          </cell>
          <cell r="C49" t="str">
            <v>SPS 2 FRIZEL WY WICKHAM</v>
          </cell>
          <cell r="D49" t="str">
            <v>A- actual</v>
          </cell>
          <cell r="E49" t="str">
            <v>PS- pump station</v>
          </cell>
          <cell r="F49" t="str">
            <v>FRIZELL WY</v>
          </cell>
          <cell r="G49" t="str">
            <v>2</v>
          </cell>
          <cell r="H49" t="str">
            <v>W- water corporation</v>
          </cell>
          <cell r="I49" t="str">
            <v>17464</v>
          </cell>
          <cell r="J49" t="str">
            <v>19760101</v>
          </cell>
          <cell r="K49" t="str">
            <v>117.141702274</v>
          </cell>
          <cell r="L49" t="str">
            <v>-20.670893527</v>
          </cell>
          <cell r="M49" t="str">
            <v>L</v>
          </cell>
          <cell r="N49" t="str">
            <v>95</v>
          </cell>
          <cell r="O49" t="str">
            <v>FRIZELL</v>
          </cell>
          <cell r="P49" t="str">
            <v>RD</v>
          </cell>
          <cell r="R49" t="str">
            <v>WICKHAM</v>
          </cell>
          <cell r="S49" t="str">
            <v>6720</v>
          </cell>
        </row>
        <row r="50">
          <cell r="B50" t="str">
            <v>S0025690</v>
          </cell>
          <cell r="C50" t="str">
            <v>SPS 1 PT SAMSON RD WICKHAM</v>
          </cell>
          <cell r="D50" t="str">
            <v>A- actual</v>
          </cell>
          <cell r="E50" t="str">
            <v>PS- pump station</v>
          </cell>
          <cell r="F50" t="str">
            <v>STURT PEA RD</v>
          </cell>
          <cell r="G50" t="str">
            <v>1</v>
          </cell>
          <cell r="H50" t="str">
            <v>W- water corporation</v>
          </cell>
          <cell r="I50" t="str">
            <v>17463</v>
          </cell>
          <cell r="J50" t="str">
            <v>19740101</v>
          </cell>
          <cell r="K50" t="str">
            <v>117.146427177</v>
          </cell>
          <cell r="L50" t="str">
            <v>-20.66930335</v>
          </cell>
          <cell r="M50" t="str">
            <v>L</v>
          </cell>
          <cell r="N50" t="str">
            <v>112</v>
          </cell>
          <cell r="O50" t="str">
            <v>POINT SAMSON-ROEBOURNE</v>
          </cell>
          <cell r="P50" t="str">
            <v>RD</v>
          </cell>
          <cell r="R50" t="str">
            <v>WICKHAM</v>
          </cell>
          <cell r="S50" t="str">
            <v>6720</v>
          </cell>
        </row>
        <row r="51">
          <cell r="D51" t="str">
            <v>A- actual</v>
          </cell>
          <cell r="E51" t="str">
            <v>PS- pump station</v>
          </cell>
          <cell r="F51" t="str">
            <v>BAKERY</v>
          </cell>
          <cell r="H51" t="str">
            <v>P- private</v>
          </cell>
          <cell r="J51" t="str">
            <v>19930101</v>
          </cell>
          <cell r="K51" t="str">
            <v>116.858564196</v>
          </cell>
          <cell r="L51" t="str">
            <v>-20.770363037</v>
          </cell>
          <cell r="M51" t="str">
            <v>H</v>
          </cell>
          <cell r="N51" t="str">
            <v>975</v>
          </cell>
          <cell r="O51" t="str">
            <v>ORKNEY</v>
          </cell>
          <cell r="P51" t="str">
            <v>RD</v>
          </cell>
          <cell r="R51" t="str">
            <v>KARRATHA INDUSTRIAL ESTATE</v>
          </cell>
          <cell r="S51" t="str">
            <v>6714</v>
          </cell>
        </row>
        <row r="52">
          <cell r="B52" t="str">
            <v>S0025644</v>
          </cell>
          <cell r="C52" t="str">
            <v>SPS 7 CRANE CL KARRATHA</v>
          </cell>
          <cell r="D52" t="str">
            <v>A- actual</v>
          </cell>
          <cell r="E52" t="str">
            <v>PS- pump station</v>
          </cell>
          <cell r="F52" t="str">
            <v>CRANE CIR</v>
          </cell>
          <cell r="G52" t="str">
            <v>7</v>
          </cell>
          <cell r="H52" t="str">
            <v>W- water corporation</v>
          </cell>
          <cell r="I52" t="str">
            <v>20830</v>
          </cell>
          <cell r="J52" t="str">
            <v>19880603</v>
          </cell>
          <cell r="K52" t="str">
            <v>116.842119933</v>
          </cell>
          <cell r="L52" t="str">
            <v>-20.73074373</v>
          </cell>
          <cell r="M52" t="str">
            <v>L</v>
          </cell>
          <cell r="N52" t="str">
            <v>4536</v>
          </cell>
          <cell r="O52" t="str">
            <v>CRANE</v>
          </cell>
          <cell r="P52" t="str">
            <v>CIR</v>
          </cell>
          <cell r="R52" t="str">
            <v>PEGS CREEK</v>
          </cell>
          <cell r="S52" t="str">
            <v>6714</v>
          </cell>
        </row>
        <row r="53">
          <cell r="B53" t="str">
            <v>S0037838</v>
          </cell>
          <cell r="C53" t="str">
            <v>SPS BRAND HWY WANDINA</v>
          </cell>
          <cell r="D53" t="str">
            <v>A- actual</v>
          </cell>
          <cell r="E53" t="str">
            <v>PS- pump station</v>
          </cell>
          <cell r="F53" t="str">
            <v>BRAND HWY WANDINA</v>
          </cell>
          <cell r="G53" t="str">
            <v>5</v>
          </cell>
          <cell r="H53" t="str">
            <v>W- water corporation</v>
          </cell>
          <cell r="J53" t="str">
            <v>19900101</v>
          </cell>
          <cell r="K53" t="str">
            <v>114.625693774</v>
          </cell>
          <cell r="L53" t="str">
            <v>-28.813593103</v>
          </cell>
          <cell r="M53" t="str">
            <v>H</v>
          </cell>
          <cell r="N53" t="str">
            <v>14</v>
          </cell>
          <cell r="O53" t="str">
            <v>WATTERSON</v>
          </cell>
          <cell r="P53" t="str">
            <v>RD</v>
          </cell>
          <cell r="R53" t="str">
            <v>TARCOOLA BEACH</v>
          </cell>
          <cell r="S53" t="str">
            <v>6530</v>
          </cell>
        </row>
        <row r="54">
          <cell r="B54" t="str">
            <v>S0037803</v>
          </cell>
          <cell r="C54" t="str">
            <v>SPS 3 CLEMATIS ST UTAKARRA</v>
          </cell>
          <cell r="D54" t="str">
            <v>A- actual</v>
          </cell>
          <cell r="E54" t="str">
            <v>PS- pump station</v>
          </cell>
          <cell r="F54" t="str">
            <v>CLEMATIS ST</v>
          </cell>
          <cell r="G54" t="str">
            <v>3</v>
          </cell>
          <cell r="H54" t="str">
            <v>W- water corporation</v>
          </cell>
          <cell r="J54" t="str">
            <v>19880101</v>
          </cell>
          <cell r="K54" t="str">
            <v>114.638004942</v>
          </cell>
          <cell r="L54" t="str">
            <v>-28.786979592</v>
          </cell>
          <cell r="M54" t="str">
            <v>H</v>
          </cell>
          <cell r="N54" t="str">
            <v>7</v>
          </cell>
          <cell r="O54" t="str">
            <v>CLEMATIS</v>
          </cell>
          <cell r="P54" t="str">
            <v>CR</v>
          </cell>
          <cell r="R54" t="str">
            <v>UTAKARRA</v>
          </cell>
          <cell r="S54" t="str">
            <v>6530</v>
          </cell>
        </row>
        <row r="55">
          <cell r="B55" t="str">
            <v>S0037762</v>
          </cell>
          <cell r="C55" t="str">
            <v>SPS GLENGARRY CRT MT TARCOOLA</v>
          </cell>
          <cell r="D55" t="str">
            <v>A- actual</v>
          </cell>
          <cell r="E55" t="str">
            <v>PS- pump station</v>
          </cell>
          <cell r="F55" t="str">
            <v>GLENGARRY CT</v>
          </cell>
          <cell r="G55" t="str">
            <v>2</v>
          </cell>
          <cell r="H55" t="str">
            <v>W- water corporation</v>
          </cell>
          <cell r="J55" t="str">
            <v>19890101</v>
          </cell>
          <cell r="K55" t="str">
            <v>114.629373096</v>
          </cell>
          <cell r="L55" t="str">
            <v>-28.799404215</v>
          </cell>
          <cell r="M55" t="str">
            <v>H</v>
          </cell>
          <cell r="N55" t="str">
            <v>23</v>
          </cell>
          <cell r="O55" t="str">
            <v>ACACIA</v>
          </cell>
          <cell r="P55" t="str">
            <v>ST</v>
          </cell>
          <cell r="R55" t="str">
            <v>MOUNT TARCOOLA</v>
          </cell>
          <cell r="S55" t="str">
            <v>6530</v>
          </cell>
        </row>
        <row r="56">
          <cell r="B56" t="str">
            <v>S0037796</v>
          </cell>
          <cell r="C56" t="str">
            <v>SPS 2 BROOME ST SPALDING</v>
          </cell>
          <cell r="D56" t="str">
            <v>A- actual</v>
          </cell>
          <cell r="E56" t="str">
            <v>PS- pump station</v>
          </cell>
          <cell r="F56" t="str">
            <v>BROOME ST</v>
          </cell>
          <cell r="G56" t="str">
            <v>2</v>
          </cell>
          <cell r="H56" t="str">
            <v>W- water corporation</v>
          </cell>
          <cell r="I56" t="str">
            <v>17212</v>
          </cell>
          <cell r="J56" t="str">
            <v>19910101</v>
          </cell>
          <cell r="K56" t="str">
            <v>114.63195979</v>
          </cell>
          <cell r="L56" t="str">
            <v>-28.738115871</v>
          </cell>
          <cell r="M56" t="str">
            <v>H</v>
          </cell>
          <cell r="N56" t="str">
            <v>9</v>
          </cell>
          <cell r="O56" t="str">
            <v>BOURDMAN</v>
          </cell>
          <cell r="P56" t="str">
            <v>PL</v>
          </cell>
          <cell r="R56" t="str">
            <v>SPALDING</v>
          </cell>
          <cell r="S56" t="str">
            <v>6530</v>
          </cell>
        </row>
        <row r="57">
          <cell r="B57" t="str">
            <v>S0037702</v>
          </cell>
          <cell r="C57" t="str">
            <v>SPS 5 HULL ST CAPE BURNEY</v>
          </cell>
          <cell r="D57" t="str">
            <v>A- actual</v>
          </cell>
          <cell r="E57" t="str">
            <v>PS- pump station</v>
          </cell>
          <cell r="F57" t="str">
            <v>HULL ST</v>
          </cell>
          <cell r="G57" t="str">
            <v>5</v>
          </cell>
          <cell r="H57" t="str">
            <v>W- water corporation</v>
          </cell>
          <cell r="J57" t="str">
            <v>19790101</v>
          </cell>
          <cell r="K57" t="str">
            <v>114.6412889</v>
          </cell>
          <cell r="L57" t="str">
            <v>-28.860691961</v>
          </cell>
          <cell r="M57" t="str">
            <v>L</v>
          </cell>
          <cell r="N57" t="str">
            <v>1</v>
          </cell>
          <cell r="O57" t="str">
            <v>HULL</v>
          </cell>
          <cell r="P57" t="str">
            <v>ST</v>
          </cell>
          <cell r="R57" t="str">
            <v>CAPE BURNEY</v>
          </cell>
          <cell r="S57" t="str">
            <v>6532</v>
          </cell>
        </row>
        <row r="58">
          <cell r="B58" t="str">
            <v>S0037946</v>
          </cell>
          <cell r="C58" t="str">
            <v>SPS 3 TEMP GLASS ST KALBARRI</v>
          </cell>
          <cell r="D58" t="str">
            <v>A- actual</v>
          </cell>
          <cell r="E58" t="str">
            <v>PS- pump station</v>
          </cell>
          <cell r="F58" t="str">
            <v>GLASS ST</v>
          </cell>
          <cell r="H58" t="str">
            <v>W- water corporation</v>
          </cell>
          <cell r="J58" t="str">
            <v>19800101</v>
          </cell>
          <cell r="K58" t="str">
            <v>114.161756403</v>
          </cell>
          <cell r="L58" t="str">
            <v>-27.716635947</v>
          </cell>
          <cell r="M58" t="str">
            <v>H</v>
          </cell>
          <cell r="N58" t="str">
            <v>55</v>
          </cell>
          <cell r="O58" t="str">
            <v>GLASS</v>
          </cell>
          <cell r="P58" t="str">
            <v>ST</v>
          </cell>
          <cell r="R58" t="str">
            <v>KALBARRI</v>
          </cell>
          <cell r="S58" t="str">
            <v>6536</v>
          </cell>
        </row>
        <row r="59">
          <cell r="B59" t="str">
            <v>S0037939</v>
          </cell>
          <cell r="C59" t="str">
            <v>SPS 2 GREY ST RIVER KALBARRI</v>
          </cell>
          <cell r="D59" t="str">
            <v>A- actual</v>
          </cell>
          <cell r="E59" t="str">
            <v>PS- pump station</v>
          </cell>
          <cell r="F59" t="str">
            <v>GREY ST</v>
          </cell>
          <cell r="G59" t="str">
            <v>2</v>
          </cell>
          <cell r="H59" t="str">
            <v>W- water corporation</v>
          </cell>
          <cell r="I59" t="str">
            <v>17221</v>
          </cell>
          <cell r="J59" t="str">
            <v>19830101</v>
          </cell>
          <cell r="K59" t="str">
            <v>114.16900269</v>
          </cell>
          <cell r="L59" t="str">
            <v>-27.700437496</v>
          </cell>
          <cell r="M59" t="str">
            <v>L</v>
          </cell>
          <cell r="N59" t="str">
            <v>531</v>
          </cell>
          <cell r="O59" t="str">
            <v>GREY</v>
          </cell>
          <cell r="P59" t="str">
            <v>ST</v>
          </cell>
          <cell r="R59" t="str">
            <v>KALBARRI</v>
          </cell>
          <cell r="S59" t="str">
            <v>6536</v>
          </cell>
        </row>
        <row r="60">
          <cell r="B60" t="str">
            <v>S0037932</v>
          </cell>
          <cell r="C60" t="str">
            <v>SPS 1 GREY ST KALBARRI</v>
          </cell>
          <cell r="D60" t="str">
            <v>A- actual</v>
          </cell>
          <cell r="E60" t="str">
            <v>PS- pump station</v>
          </cell>
          <cell r="F60" t="str">
            <v>GREY ST</v>
          </cell>
          <cell r="G60" t="str">
            <v>1</v>
          </cell>
          <cell r="H60" t="str">
            <v>W- water corporation</v>
          </cell>
          <cell r="I60" t="str">
            <v>17220</v>
          </cell>
          <cell r="J60" t="str">
            <v>19830101</v>
          </cell>
          <cell r="K60" t="str">
            <v>114.166350982</v>
          </cell>
          <cell r="L60" t="str">
            <v>-27.709805301</v>
          </cell>
          <cell r="M60" t="str">
            <v>H</v>
          </cell>
          <cell r="N60" t="str">
            <v>64</v>
          </cell>
          <cell r="O60" t="str">
            <v>GREY</v>
          </cell>
          <cell r="P60" t="str">
            <v>ST</v>
          </cell>
          <cell r="R60" t="str">
            <v>KALBARRI</v>
          </cell>
          <cell r="S60" t="str">
            <v>6536</v>
          </cell>
        </row>
        <row r="61">
          <cell r="B61" t="str">
            <v>S0037781</v>
          </cell>
          <cell r="C61" t="str">
            <v>SPS MAHOMETS MAHOMET FLATS</v>
          </cell>
          <cell r="D61" t="str">
            <v>A- actual</v>
          </cell>
          <cell r="E61" t="str">
            <v>PS- pump station</v>
          </cell>
          <cell r="F61" t="str">
            <v>WILLCOCK DR</v>
          </cell>
          <cell r="G61" t="str">
            <v>1</v>
          </cell>
          <cell r="H61" t="str">
            <v>W- water corporation</v>
          </cell>
          <cell r="J61" t="str">
            <v>19890101</v>
          </cell>
          <cell r="K61" t="str">
            <v>114.613378115</v>
          </cell>
          <cell r="L61" t="str">
            <v>-28.791233581</v>
          </cell>
          <cell r="M61" t="str">
            <v>L</v>
          </cell>
          <cell r="N61" t="str">
            <v>2741</v>
          </cell>
          <cell r="O61" t="str">
            <v>ZEEWYCK</v>
          </cell>
          <cell r="P61" t="str">
            <v>CT</v>
          </cell>
          <cell r="R61" t="str">
            <v>MAHOMETS FLATS</v>
          </cell>
          <cell r="S61" t="str">
            <v>6530</v>
          </cell>
        </row>
        <row r="62">
          <cell r="B62" t="str">
            <v>S0037788</v>
          </cell>
          <cell r="C62" t="str">
            <v>SPS 1 DURLACHER ST GERALDTON</v>
          </cell>
          <cell r="D62" t="str">
            <v>A- actual</v>
          </cell>
          <cell r="E62" t="str">
            <v>PS- pump station</v>
          </cell>
          <cell r="F62" t="str">
            <v>DURLACHER &amp; FORESHORE DR</v>
          </cell>
          <cell r="G62" t="str">
            <v>1</v>
          </cell>
          <cell r="H62" t="str">
            <v>W- water corporation</v>
          </cell>
          <cell r="J62" t="str">
            <v>19950101</v>
          </cell>
          <cell r="K62" t="str">
            <v>114.610016621</v>
          </cell>
          <cell r="L62" t="str">
            <v>-28.7720197466</v>
          </cell>
          <cell r="M62" t="str">
            <v>L</v>
          </cell>
          <cell r="N62" t="str">
            <v>2843</v>
          </cell>
          <cell r="O62" t="str">
            <v>FORESHORE</v>
          </cell>
          <cell r="P62" t="str">
            <v>DR</v>
          </cell>
          <cell r="R62" t="str">
            <v>GERALDTON</v>
          </cell>
          <cell r="S62" t="str">
            <v>6530</v>
          </cell>
        </row>
        <row r="63">
          <cell r="D63" t="str">
            <v>A- actual</v>
          </cell>
          <cell r="E63" t="str">
            <v>PS- pump station</v>
          </cell>
          <cell r="F63" t="str">
            <v>GERALDTON TECHNICAL SCHOOL</v>
          </cell>
          <cell r="H63" t="str">
            <v>P- private</v>
          </cell>
          <cell r="J63" t="str">
            <v>20040123</v>
          </cell>
          <cell r="K63" t="str">
            <v>114.609857056</v>
          </cell>
          <cell r="L63" t="str">
            <v>-28.7867527511</v>
          </cell>
          <cell r="M63" t="str">
            <v>H</v>
          </cell>
          <cell r="N63" t="str">
            <v>173</v>
          </cell>
          <cell r="O63" t="str">
            <v>FITZGERALD</v>
          </cell>
          <cell r="P63" t="str">
            <v>ST</v>
          </cell>
          <cell r="R63" t="str">
            <v>GERALDTON</v>
          </cell>
          <cell r="S63" t="str">
            <v>6530</v>
          </cell>
        </row>
        <row r="64">
          <cell r="B64" t="str">
            <v>S0037820</v>
          </cell>
          <cell r="C64" t="str">
            <v>SPS SOVEREIGN WATERS WANDINA</v>
          </cell>
          <cell r="D64" t="str">
            <v>A- actual</v>
          </cell>
          <cell r="E64" t="str">
            <v>PS- pump station</v>
          </cell>
          <cell r="F64" t="str">
            <v>BRAND HWY SOVEREIGN WATERS</v>
          </cell>
          <cell r="G64" t="str">
            <v>T3</v>
          </cell>
          <cell r="H64" t="str">
            <v>W- water corporation</v>
          </cell>
          <cell r="J64" t="str">
            <v>19910101</v>
          </cell>
          <cell r="K64" t="str">
            <v>114.628986532</v>
          </cell>
          <cell r="L64" t="str">
            <v>-28.8219166067</v>
          </cell>
          <cell r="M64" t="str">
            <v>H</v>
          </cell>
          <cell r="N64" t="str">
            <v>28</v>
          </cell>
          <cell r="O64" t="str">
            <v>SEAVIEW</v>
          </cell>
          <cell r="P64" t="str">
            <v>BVD</v>
          </cell>
          <cell r="R64" t="str">
            <v>WANDINA</v>
          </cell>
          <cell r="S64" t="str">
            <v>6530</v>
          </cell>
        </row>
        <row r="65">
          <cell r="D65" t="str">
            <v>A- actual</v>
          </cell>
          <cell r="E65" t="str">
            <v>PS- pump station</v>
          </cell>
          <cell r="F65" t="str">
            <v>FRANCIS ST</v>
          </cell>
          <cell r="H65" t="str">
            <v>P- private</v>
          </cell>
          <cell r="J65" t="str">
            <v>19930101</v>
          </cell>
          <cell r="K65" t="str">
            <v>114.603217509</v>
          </cell>
          <cell r="L65" t="str">
            <v>-28.778718513</v>
          </cell>
          <cell r="M65" t="str">
            <v>H</v>
          </cell>
          <cell r="N65" t="str">
            <v>20</v>
          </cell>
          <cell r="O65" t="str">
            <v>FRANCIS</v>
          </cell>
          <cell r="P65" t="str">
            <v>ST</v>
          </cell>
          <cell r="R65" t="str">
            <v>GERALDTON</v>
          </cell>
          <cell r="S65" t="str">
            <v>6530</v>
          </cell>
        </row>
        <row r="66">
          <cell r="B66" t="str">
            <v>S0037741</v>
          </cell>
          <cell r="C66" t="str">
            <v>SPS ASKEW RD GERALDTON</v>
          </cell>
          <cell r="D66" t="str">
            <v>A- actual</v>
          </cell>
          <cell r="E66" t="str">
            <v>TPS- temporary pump station</v>
          </cell>
          <cell r="F66" t="str">
            <v>ASKEW RD</v>
          </cell>
          <cell r="H66" t="str">
            <v>W- water corporation</v>
          </cell>
          <cell r="I66" t="str">
            <v>26019</v>
          </cell>
          <cell r="J66" t="str">
            <v>19931104</v>
          </cell>
          <cell r="K66" t="str">
            <v>114.616094708</v>
          </cell>
          <cell r="L66" t="str">
            <v>-28.781007039</v>
          </cell>
          <cell r="M66" t="str">
            <v>L</v>
          </cell>
          <cell r="N66" t="str">
            <v>48</v>
          </cell>
          <cell r="O66" t="str">
            <v>ASKEW</v>
          </cell>
          <cell r="P66" t="str">
            <v>RD</v>
          </cell>
          <cell r="R66" t="str">
            <v>GERALDTON</v>
          </cell>
          <cell r="S66" t="str">
            <v>6530</v>
          </cell>
        </row>
        <row r="67">
          <cell r="D67" t="str">
            <v>A- actual</v>
          </cell>
          <cell r="E67" t="str">
            <v>PS- pump station</v>
          </cell>
          <cell r="F67" t="str">
            <v>WINTERSUN HOTEL</v>
          </cell>
          <cell r="H67" t="str">
            <v>P- private</v>
          </cell>
          <cell r="J67" t="str">
            <v>19940401</v>
          </cell>
          <cell r="K67" t="str">
            <v>114.624486859</v>
          </cell>
          <cell r="L67" t="str">
            <v>-28.7359110772</v>
          </cell>
          <cell r="M67" t="str">
            <v>H</v>
          </cell>
          <cell r="N67" t="str">
            <v>441</v>
          </cell>
          <cell r="O67" t="str">
            <v>CHAPMAN</v>
          </cell>
          <cell r="P67" t="str">
            <v>RD</v>
          </cell>
          <cell r="R67" t="str">
            <v>BLUFF POINT</v>
          </cell>
          <cell r="S67" t="str">
            <v>6530</v>
          </cell>
        </row>
        <row r="68">
          <cell r="D68" t="str">
            <v>A- actual</v>
          </cell>
          <cell r="E68" t="str">
            <v>PS- pump station</v>
          </cell>
          <cell r="F68" t="str">
            <v>WILLCOCK DR</v>
          </cell>
          <cell r="H68" t="str">
            <v>P- private</v>
          </cell>
          <cell r="J68" t="str">
            <v>19940719</v>
          </cell>
          <cell r="K68" t="str">
            <v>114.617876682</v>
          </cell>
          <cell r="L68" t="str">
            <v>-28.8009091151</v>
          </cell>
          <cell r="M68" t="str">
            <v>H</v>
          </cell>
          <cell r="N68" t="str">
            <v>323</v>
          </cell>
          <cell r="O68" t="str">
            <v>WILLCOCK</v>
          </cell>
          <cell r="P68" t="str">
            <v>DR</v>
          </cell>
          <cell r="R68" t="str">
            <v>TARCOOLA BEACH</v>
          </cell>
          <cell r="S68" t="str">
            <v>6530</v>
          </cell>
        </row>
        <row r="69">
          <cell r="B69" t="str">
            <v>S0037774</v>
          </cell>
          <cell r="C69" t="str">
            <v>SPS KEMPTON ST BLUFF POINT</v>
          </cell>
          <cell r="D69" t="str">
            <v>A- actual</v>
          </cell>
          <cell r="E69" t="str">
            <v>PS- pump station</v>
          </cell>
          <cell r="F69" t="str">
            <v>KEMPTON ST</v>
          </cell>
          <cell r="H69" t="str">
            <v>W- water corporation</v>
          </cell>
          <cell r="J69" t="str">
            <v>19950207</v>
          </cell>
          <cell r="K69" t="str">
            <v>114.619936379</v>
          </cell>
          <cell r="L69" t="str">
            <v>-28.732184138</v>
          </cell>
          <cell r="M69" t="str">
            <v>H</v>
          </cell>
          <cell r="N69" t="str">
            <v>157</v>
          </cell>
          <cell r="O69" t="str">
            <v>KEMPTON</v>
          </cell>
          <cell r="P69" t="str">
            <v>ST</v>
          </cell>
          <cell r="R69" t="str">
            <v>BLUFF POINT</v>
          </cell>
          <cell r="S69" t="str">
            <v>6530</v>
          </cell>
        </row>
        <row r="70">
          <cell r="D70" t="str">
            <v>N- not in use</v>
          </cell>
          <cell r="E70" t="str">
            <v>TPS- temporary pump station</v>
          </cell>
          <cell r="F70" t="str">
            <v>OLIVE ST</v>
          </cell>
          <cell r="H70" t="str">
            <v>W- water corporation</v>
          </cell>
          <cell r="I70" t="str">
            <v>56539</v>
          </cell>
          <cell r="J70" t="str">
            <v>19941026</v>
          </cell>
          <cell r="K70" t="str">
            <v>114.617201453</v>
          </cell>
          <cell r="L70" t="str">
            <v>-28.796836045</v>
          </cell>
          <cell r="M70" t="str">
            <v>H</v>
          </cell>
          <cell r="N70" t="str">
            <v>2</v>
          </cell>
          <cell r="O70" t="str">
            <v>KENT</v>
          </cell>
          <cell r="P70" t="str">
            <v>ST</v>
          </cell>
          <cell r="R70" t="str">
            <v>TARCOOLA BEACH</v>
          </cell>
          <cell r="S70" t="str">
            <v>6530</v>
          </cell>
        </row>
        <row r="71">
          <cell r="B71" t="str">
            <v>S0037870</v>
          </cell>
          <cell r="C71" t="str">
            <v>SPS BAYSIDE DRUMMOND COVE</v>
          </cell>
          <cell r="D71" t="str">
            <v>A- actual</v>
          </cell>
          <cell r="E71" t="str">
            <v>PS- pump station</v>
          </cell>
          <cell r="F71" t="str">
            <v>BAYSIDE</v>
          </cell>
          <cell r="G71" t="str">
            <v>14</v>
          </cell>
          <cell r="H71" t="str">
            <v>W- water corporation</v>
          </cell>
          <cell r="I71" t="str">
            <v>66528</v>
          </cell>
          <cell r="J71" t="str">
            <v>19960701</v>
          </cell>
          <cell r="K71" t="str">
            <v>114.613169739</v>
          </cell>
          <cell r="L71" t="str">
            <v>-28.669095935</v>
          </cell>
          <cell r="M71" t="str">
            <v>L</v>
          </cell>
          <cell r="N71" t="str">
            <v>12076</v>
          </cell>
          <cell r="O71" t="str">
            <v>WHITEHILL</v>
          </cell>
          <cell r="P71" t="str">
            <v>RD</v>
          </cell>
          <cell r="R71" t="str">
            <v>DRUMMOND COVE</v>
          </cell>
          <cell r="S71" t="str">
            <v>6532</v>
          </cell>
        </row>
        <row r="72">
          <cell r="B72" t="str">
            <v>S0025754</v>
          </cell>
          <cell r="C72" t="str">
            <v>SPS 1 POND ST NEWMAN</v>
          </cell>
          <cell r="D72" t="str">
            <v>A- actual</v>
          </cell>
          <cell r="E72" t="str">
            <v>PS- pump station</v>
          </cell>
          <cell r="F72" t="str">
            <v>POND ST</v>
          </cell>
          <cell r="G72" t="str">
            <v>1</v>
          </cell>
          <cell r="H72" t="str">
            <v>W- water corporation</v>
          </cell>
          <cell r="I72" t="str">
            <v>20775</v>
          </cell>
          <cell r="J72" t="str">
            <v>19700101</v>
          </cell>
          <cell r="K72" t="str">
            <v>119.736293916</v>
          </cell>
          <cell r="L72" t="str">
            <v>-23.352949018</v>
          </cell>
          <cell r="M72" t="str">
            <v>H</v>
          </cell>
          <cell r="N72" t="str">
            <v>32</v>
          </cell>
          <cell r="O72" t="str">
            <v>NYABALEE</v>
          </cell>
          <cell r="P72" t="str">
            <v>RD</v>
          </cell>
          <cell r="R72" t="str">
            <v>NEWMAN</v>
          </cell>
          <cell r="S72" t="str">
            <v>6753</v>
          </cell>
        </row>
        <row r="73">
          <cell r="B73" t="str">
            <v>S0025786</v>
          </cell>
          <cell r="C73" t="str">
            <v>SPS 3 MCGREGOR ST PT HEDLAND</v>
          </cell>
          <cell r="D73" t="str">
            <v>A- actual</v>
          </cell>
          <cell r="E73" t="str">
            <v>PS- pump station</v>
          </cell>
          <cell r="F73" t="str">
            <v>MCGREGOR ST</v>
          </cell>
          <cell r="G73" t="str">
            <v>3</v>
          </cell>
          <cell r="H73" t="str">
            <v>W- water corporation</v>
          </cell>
          <cell r="I73" t="str">
            <v>17469</v>
          </cell>
          <cell r="J73" t="str">
            <v>19700101</v>
          </cell>
          <cell r="K73" t="str">
            <v>118.620051974</v>
          </cell>
          <cell r="L73" t="str">
            <v>-20.306857139</v>
          </cell>
          <cell r="M73" t="str">
            <v>L</v>
          </cell>
          <cell r="N73" t="str">
            <v>1796</v>
          </cell>
          <cell r="O73" t="str">
            <v>CLARK</v>
          </cell>
          <cell r="P73" t="str">
            <v>ST</v>
          </cell>
          <cell r="R73" t="str">
            <v>PORT HEDLAND</v>
          </cell>
          <cell r="S73" t="str">
            <v>6721</v>
          </cell>
        </row>
        <row r="74">
          <cell r="B74" t="str">
            <v>S0025774</v>
          </cell>
          <cell r="C74" t="str">
            <v>SPS 1 ATHOL ST PT HEDLAND</v>
          </cell>
          <cell r="D74" t="str">
            <v>A- actual</v>
          </cell>
          <cell r="E74" t="str">
            <v>PS- pump station</v>
          </cell>
          <cell r="F74" t="str">
            <v>ATHOL ST</v>
          </cell>
          <cell r="G74" t="str">
            <v>1</v>
          </cell>
          <cell r="H74" t="str">
            <v>W- water corporation</v>
          </cell>
          <cell r="I74" t="str">
            <v>17467</v>
          </cell>
          <cell r="J74" t="str">
            <v>19700101</v>
          </cell>
          <cell r="K74" t="str">
            <v>118.628216737</v>
          </cell>
          <cell r="L74" t="str">
            <v>-20.303903266</v>
          </cell>
          <cell r="M74" t="str">
            <v>L</v>
          </cell>
          <cell r="N74" t="str">
            <v>1732</v>
          </cell>
          <cell r="O74" t="str">
            <v>ATHOL</v>
          </cell>
          <cell r="P74" t="str">
            <v>ST</v>
          </cell>
          <cell r="R74" t="str">
            <v>PORT HEDLAND</v>
          </cell>
          <cell r="S74" t="str">
            <v>6721</v>
          </cell>
        </row>
        <row r="75">
          <cell r="B75" t="str">
            <v>S0025780</v>
          </cell>
          <cell r="C75" t="str">
            <v>SPS 2 DEMPSTER ST PT HEDLAND</v>
          </cell>
          <cell r="D75" t="str">
            <v>A- actual</v>
          </cell>
          <cell r="E75" t="str">
            <v>PS- pump station</v>
          </cell>
          <cell r="F75" t="str">
            <v>DEMPSTER ST</v>
          </cell>
          <cell r="G75" t="str">
            <v>2</v>
          </cell>
          <cell r="H75" t="str">
            <v>W- water corporation</v>
          </cell>
          <cell r="I75" t="str">
            <v>17468</v>
          </cell>
          <cell r="J75" t="str">
            <v>19700101</v>
          </cell>
          <cell r="K75" t="str">
            <v>118.63342864</v>
          </cell>
          <cell r="L75" t="str">
            <v>-20.301982222</v>
          </cell>
          <cell r="M75" t="str">
            <v>L</v>
          </cell>
          <cell r="N75" t="str">
            <v>1731</v>
          </cell>
          <cell r="O75" t="str">
            <v>DEMPSTER</v>
          </cell>
          <cell r="P75" t="str">
            <v>ST</v>
          </cell>
          <cell r="R75" t="str">
            <v>PORT HEDLAND</v>
          </cell>
          <cell r="S75" t="str">
            <v>6721</v>
          </cell>
        </row>
        <row r="76">
          <cell r="B76" t="str">
            <v>S0025792</v>
          </cell>
          <cell r="C76" t="str">
            <v>SPS 4 TAYLOR ST PT HEDLAND</v>
          </cell>
          <cell r="D76" t="str">
            <v>A- actual</v>
          </cell>
          <cell r="E76" t="str">
            <v>PS- pump station</v>
          </cell>
          <cell r="F76" t="str">
            <v>TAYLOR ST</v>
          </cell>
          <cell r="G76" t="str">
            <v>4</v>
          </cell>
          <cell r="H76" t="str">
            <v>W- water corporation</v>
          </cell>
          <cell r="I76" t="str">
            <v>17470</v>
          </cell>
          <cell r="J76" t="str">
            <v>19680101</v>
          </cell>
          <cell r="K76" t="str">
            <v>118.638746255</v>
          </cell>
          <cell r="L76" t="str">
            <v>-20.309989276</v>
          </cell>
          <cell r="M76" t="str">
            <v>L</v>
          </cell>
          <cell r="N76" t="str">
            <v>1730</v>
          </cell>
          <cell r="O76" t="str">
            <v>TAYLOR</v>
          </cell>
          <cell r="P76" t="str">
            <v>ST</v>
          </cell>
          <cell r="R76" t="str">
            <v>PORT HEDLAND</v>
          </cell>
          <cell r="S76" t="str">
            <v>6721</v>
          </cell>
        </row>
        <row r="77">
          <cell r="B77" t="str">
            <v>S0025798</v>
          </cell>
          <cell r="C77" t="str">
            <v>SPS 5 STYLES RD PT HEDLAND</v>
          </cell>
          <cell r="D77" t="str">
            <v>A- actual</v>
          </cell>
          <cell r="E77" t="str">
            <v>PS- pump station</v>
          </cell>
          <cell r="F77" t="str">
            <v>STYLES RD</v>
          </cell>
          <cell r="G77" t="str">
            <v>5</v>
          </cell>
          <cell r="H77" t="str">
            <v>W- water corporation</v>
          </cell>
          <cell r="I77" t="str">
            <v>17471</v>
          </cell>
          <cell r="J77" t="str">
            <v>19860101</v>
          </cell>
          <cell r="K77" t="str">
            <v>118.642468606</v>
          </cell>
          <cell r="L77" t="str">
            <v>-20.318157802</v>
          </cell>
          <cell r="M77" t="str">
            <v>L</v>
          </cell>
          <cell r="N77" t="str">
            <v>5955</v>
          </cell>
          <cell r="O77" t="str">
            <v>STYLES</v>
          </cell>
          <cell r="P77" t="str">
            <v>RD</v>
          </cell>
          <cell r="R77" t="str">
            <v>PORT HEDLAND</v>
          </cell>
          <cell r="S77" t="str">
            <v>6721</v>
          </cell>
        </row>
        <row r="78">
          <cell r="D78" t="str">
            <v>A- actual</v>
          </cell>
          <cell r="E78" t="str">
            <v>PS- pump station</v>
          </cell>
          <cell r="F78" t="str">
            <v>TAFE COLLEGE</v>
          </cell>
          <cell r="H78" t="str">
            <v>P- private</v>
          </cell>
          <cell r="J78" t="str">
            <v>19000101</v>
          </cell>
          <cell r="K78" t="str">
            <v>118.596808588</v>
          </cell>
          <cell r="L78" t="str">
            <v>-20.404434643</v>
          </cell>
          <cell r="M78" t="str">
            <v>H</v>
          </cell>
          <cell r="N78" t="str">
            <v>18</v>
          </cell>
          <cell r="O78" t="str">
            <v>HEDDITCH</v>
          </cell>
          <cell r="P78" t="str">
            <v>ST</v>
          </cell>
          <cell r="R78" t="str">
            <v>SOUTH HEDLAND</v>
          </cell>
          <cell r="S78" t="str">
            <v>6722</v>
          </cell>
        </row>
        <row r="79">
          <cell r="B79" t="str">
            <v>S0025819</v>
          </cell>
          <cell r="C79" t="str">
            <v>SPS 1 HEDDITCH ST STH HEDLAND</v>
          </cell>
          <cell r="D79" t="str">
            <v>N- not in use</v>
          </cell>
          <cell r="E79" t="str">
            <v>PS- pump station</v>
          </cell>
          <cell r="F79" t="str">
            <v>HEDDITCH ST</v>
          </cell>
          <cell r="G79" t="str">
            <v>1</v>
          </cell>
          <cell r="H79" t="str">
            <v>W- water corporation</v>
          </cell>
          <cell r="I79" t="str">
            <v>17474</v>
          </cell>
          <cell r="J79" t="str">
            <v>19700616</v>
          </cell>
          <cell r="K79" t="str">
            <v>118.597187086</v>
          </cell>
          <cell r="L79" t="str">
            <v>-20.404001431</v>
          </cell>
          <cell r="M79" t="str">
            <v>L</v>
          </cell>
          <cell r="N79" t="str">
            <v>2040</v>
          </cell>
          <cell r="O79" t="str">
            <v>HEDDITCH</v>
          </cell>
          <cell r="P79" t="str">
            <v>ST</v>
          </cell>
          <cell r="R79" t="str">
            <v>SOUTH HEDLAND</v>
          </cell>
          <cell r="S79" t="str">
            <v>6722</v>
          </cell>
        </row>
        <row r="80">
          <cell r="B80" t="str">
            <v>S0025876</v>
          </cell>
          <cell r="C80" t="str">
            <v>SPS 8 BRAND ST STH HEDLAND</v>
          </cell>
          <cell r="D80" t="str">
            <v>A- actual</v>
          </cell>
          <cell r="E80" t="str">
            <v>PS- pump station</v>
          </cell>
          <cell r="F80" t="str">
            <v>BRAND ST</v>
          </cell>
          <cell r="G80" t="str">
            <v>8</v>
          </cell>
          <cell r="H80" t="str">
            <v>W- water corporation</v>
          </cell>
          <cell r="I80" t="str">
            <v>17481</v>
          </cell>
          <cell r="J80" t="str">
            <v>19760101</v>
          </cell>
          <cell r="K80" t="str">
            <v>118.598559669</v>
          </cell>
          <cell r="L80" t="str">
            <v>-20.408312415</v>
          </cell>
          <cell r="M80" t="str">
            <v>L</v>
          </cell>
          <cell r="N80" t="str">
            <v>5535</v>
          </cell>
          <cell r="O80" t="str">
            <v>BRAND</v>
          </cell>
          <cell r="P80" t="str">
            <v>ST</v>
          </cell>
          <cell r="R80" t="str">
            <v>SOUTH HEDLAND</v>
          </cell>
          <cell r="S80" t="str">
            <v>6722</v>
          </cell>
        </row>
        <row r="81">
          <cell r="B81" t="str">
            <v>S0025838</v>
          </cell>
          <cell r="C81" t="str">
            <v>SPS 2 PARKER ST STH HEDLAND</v>
          </cell>
          <cell r="D81" t="str">
            <v>A- actual</v>
          </cell>
          <cell r="E81" t="str">
            <v>PS- pump station</v>
          </cell>
          <cell r="F81" t="str">
            <v>PARKER ST</v>
          </cell>
          <cell r="G81" t="str">
            <v>2</v>
          </cell>
          <cell r="H81" t="str">
            <v>W- water corporation</v>
          </cell>
          <cell r="I81" t="str">
            <v>17475</v>
          </cell>
          <cell r="J81" t="str">
            <v>19700101</v>
          </cell>
          <cell r="K81" t="str">
            <v>118.600868592</v>
          </cell>
          <cell r="L81" t="str">
            <v>-20.39805475</v>
          </cell>
          <cell r="M81" t="str">
            <v>L</v>
          </cell>
          <cell r="N81" t="str">
            <v>5278</v>
          </cell>
          <cell r="O81" t="str">
            <v>KENNEDY</v>
          </cell>
          <cell r="P81" t="str">
            <v>ST</v>
          </cell>
          <cell r="R81" t="str">
            <v>SOUTH HEDLAND</v>
          </cell>
          <cell r="S81" t="str">
            <v>6722</v>
          </cell>
        </row>
        <row r="82">
          <cell r="B82" t="str">
            <v>S0025882</v>
          </cell>
          <cell r="C82" t="str">
            <v>SPS 9 KOOMBANA AV STH HEDLAND</v>
          </cell>
          <cell r="D82" t="str">
            <v>A- actual</v>
          </cell>
          <cell r="E82" t="str">
            <v>PS- pump station</v>
          </cell>
          <cell r="F82" t="str">
            <v>KOOMBANA AV</v>
          </cell>
          <cell r="G82" t="str">
            <v>9</v>
          </cell>
          <cell r="H82" t="str">
            <v>W- water corporation</v>
          </cell>
          <cell r="I82" t="str">
            <v>17482</v>
          </cell>
          <cell r="J82" t="str">
            <v>19770101</v>
          </cell>
          <cell r="K82" t="str">
            <v>118.605032456</v>
          </cell>
          <cell r="L82" t="str">
            <v>-20.415517324</v>
          </cell>
          <cell r="M82" t="str">
            <v>L</v>
          </cell>
          <cell r="N82" t="str">
            <v>3536</v>
          </cell>
          <cell r="O82" t="str">
            <v>KOOMBANA</v>
          </cell>
          <cell r="P82" t="str">
            <v>AV</v>
          </cell>
          <cell r="R82" t="str">
            <v>SOUTH HEDLAND</v>
          </cell>
          <cell r="S82" t="str">
            <v>6722</v>
          </cell>
        </row>
        <row r="83">
          <cell r="B83" t="str">
            <v>S0025869</v>
          </cell>
          <cell r="C83" t="str">
            <v>SPS 7 ACACIA WY STH HEDLAND</v>
          </cell>
          <cell r="D83" t="str">
            <v>A- actual</v>
          </cell>
          <cell r="E83" t="str">
            <v>PS- pump station</v>
          </cell>
          <cell r="F83" t="str">
            <v>ACACIA WY</v>
          </cell>
          <cell r="G83" t="str">
            <v>7</v>
          </cell>
          <cell r="H83" t="str">
            <v>W- water corporation</v>
          </cell>
          <cell r="I83" t="str">
            <v>17480</v>
          </cell>
          <cell r="J83" t="str">
            <v>19770101</v>
          </cell>
          <cell r="K83" t="str">
            <v>118.607703161</v>
          </cell>
          <cell r="L83" t="str">
            <v>-20.40747317</v>
          </cell>
          <cell r="M83" t="str">
            <v>L</v>
          </cell>
          <cell r="N83" t="str">
            <v>2912</v>
          </cell>
          <cell r="O83" t="str">
            <v>ACACIA</v>
          </cell>
          <cell r="P83" t="str">
            <v>WAY</v>
          </cell>
          <cell r="R83" t="str">
            <v>SOUTH HEDLAND</v>
          </cell>
          <cell r="S83" t="str">
            <v>6722</v>
          </cell>
        </row>
        <row r="84">
          <cell r="B84" t="str">
            <v>S0025863</v>
          </cell>
          <cell r="C84" t="str">
            <v>SPS 6 BORONIA CL STH HEDLAND</v>
          </cell>
          <cell r="D84" t="str">
            <v>A- actual</v>
          </cell>
          <cell r="E84" t="str">
            <v>PS- pump station</v>
          </cell>
          <cell r="F84" t="str">
            <v>BORONIA CL</v>
          </cell>
          <cell r="G84" t="str">
            <v>6</v>
          </cell>
          <cell r="H84" t="str">
            <v>W- water corporation</v>
          </cell>
          <cell r="I84" t="str">
            <v>17479</v>
          </cell>
          <cell r="J84" t="str">
            <v>19740101</v>
          </cell>
          <cell r="K84" t="str">
            <v>118.608915811</v>
          </cell>
          <cell r="L84" t="str">
            <v>-20.410576398</v>
          </cell>
          <cell r="M84" t="str">
            <v>L</v>
          </cell>
          <cell r="N84" t="str">
            <v>2910</v>
          </cell>
          <cell r="O84" t="str">
            <v>BORONIA</v>
          </cell>
          <cell r="P84" t="str">
            <v>CL</v>
          </cell>
          <cell r="R84" t="str">
            <v>SOUTH HEDLAND</v>
          </cell>
          <cell r="S84" t="str">
            <v>6722</v>
          </cell>
        </row>
        <row r="85">
          <cell r="B85" t="str">
            <v>S0025826</v>
          </cell>
          <cell r="C85" t="str">
            <v>SPS 12 YARANGA CR STH HEDLAND</v>
          </cell>
          <cell r="D85" t="str">
            <v>A- actual</v>
          </cell>
          <cell r="E85" t="str">
            <v>PS- pump station</v>
          </cell>
          <cell r="F85" t="str">
            <v>YARRUNGA CR</v>
          </cell>
          <cell r="G85" t="str">
            <v>12</v>
          </cell>
          <cell r="H85" t="str">
            <v>W- water corporation</v>
          </cell>
          <cell r="I85" t="str">
            <v>17483</v>
          </cell>
          <cell r="J85" t="str">
            <v>19770101</v>
          </cell>
          <cell r="K85" t="str">
            <v>118.610818629</v>
          </cell>
          <cell r="L85" t="str">
            <v>-20.41720543</v>
          </cell>
          <cell r="M85" t="str">
            <v>L</v>
          </cell>
          <cell r="N85" t="str">
            <v>3624</v>
          </cell>
          <cell r="O85" t="str">
            <v>YARRUNGA</v>
          </cell>
          <cell r="P85" t="str">
            <v>CR</v>
          </cell>
          <cell r="R85" t="str">
            <v>SOUTH HEDLAND</v>
          </cell>
          <cell r="S85" t="str">
            <v>6722</v>
          </cell>
        </row>
        <row r="86">
          <cell r="B86" t="str">
            <v>S0025857</v>
          </cell>
          <cell r="C86" t="str">
            <v>SPS 5 LIMPET CR STH HEDLAND</v>
          </cell>
          <cell r="D86" t="str">
            <v>A- actual</v>
          </cell>
          <cell r="E86" t="str">
            <v>PS- pump station</v>
          </cell>
          <cell r="F86" t="str">
            <v>LIMPET CR</v>
          </cell>
          <cell r="G86" t="str">
            <v>5</v>
          </cell>
          <cell r="H86" t="str">
            <v>W- water corporation</v>
          </cell>
          <cell r="I86" t="str">
            <v>17478</v>
          </cell>
          <cell r="J86" t="str">
            <v>19740101</v>
          </cell>
          <cell r="K86" t="str">
            <v>118.610789105</v>
          </cell>
          <cell r="L86" t="str">
            <v>-20.404372319</v>
          </cell>
          <cell r="M86" t="str">
            <v>L</v>
          </cell>
          <cell r="N86" t="str">
            <v>5995</v>
          </cell>
          <cell r="O86" t="str">
            <v>LIMPET</v>
          </cell>
          <cell r="P86" t="str">
            <v>CR</v>
          </cell>
          <cell r="R86" t="str">
            <v>SOUTH HEDLAND</v>
          </cell>
          <cell r="S86" t="str">
            <v>6722</v>
          </cell>
        </row>
        <row r="87">
          <cell r="B87" t="str">
            <v>S0025844</v>
          </cell>
          <cell r="C87" t="str">
            <v>SPS 3 PATON RD NTH STH HEDLAND</v>
          </cell>
          <cell r="D87" t="str">
            <v>A- actual</v>
          </cell>
          <cell r="E87" t="str">
            <v>PS- pump station</v>
          </cell>
          <cell r="F87" t="str">
            <v>PATON RD NORTH</v>
          </cell>
          <cell r="G87" t="str">
            <v>3</v>
          </cell>
          <cell r="H87" t="str">
            <v>W- water corporation</v>
          </cell>
          <cell r="I87" t="str">
            <v>17476</v>
          </cell>
          <cell r="J87" t="str">
            <v>19720101</v>
          </cell>
          <cell r="K87" t="str">
            <v>118.613126771</v>
          </cell>
          <cell r="L87" t="str">
            <v>-20.397114272</v>
          </cell>
          <cell r="M87" t="str">
            <v>H</v>
          </cell>
          <cell r="N87" t="str">
            <v>20</v>
          </cell>
          <cell r="O87" t="str">
            <v>PATON</v>
          </cell>
          <cell r="P87" t="str">
            <v>RD</v>
          </cell>
          <cell r="R87" t="str">
            <v>SOUTH HEDLAND</v>
          </cell>
          <cell r="S87" t="str">
            <v>6722</v>
          </cell>
        </row>
        <row r="88">
          <cell r="B88" t="str">
            <v>S0025832</v>
          </cell>
          <cell r="C88" t="str">
            <v>SPS 13 SPOONBILL CR STH HEDLAND</v>
          </cell>
          <cell r="D88" t="str">
            <v>A- actual</v>
          </cell>
          <cell r="E88" t="str">
            <v>PS- pump station</v>
          </cell>
          <cell r="F88" t="str">
            <v>SPOONBILL CR</v>
          </cell>
          <cell r="G88" t="str">
            <v>13</v>
          </cell>
          <cell r="H88" t="str">
            <v>W- water corporation</v>
          </cell>
          <cell r="I88" t="str">
            <v>17484</v>
          </cell>
          <cell r="J88" t="str">
            <v>19810101</v>
          </cell>
          <cell r="K88" t="str">
            <v>118.61479907</v>
          </cell>
          <cell r="L88" t="str">
            <v>-20.41508525</v>
          </cell>
          <cell r="M88" t="str">
            <v>L</v>
          </cell>
          <cell r="N88" t="str">
            <v>5186</v>
          </cell>
          <cell r="O88" t="str">
            <v>OSPREY</v>
          </cell>
          <cell r="P88" t="str">
            <v>DR</v>
          </cell>
          <cell r="R88" t="str">
            <v>SOUTH HEDLAND</v>
          </cell>
          <cell r="S88" t="str">
            <v>6722</v>
          </cell>
        </row>
        <row r="89">
          <cell r="B89" t="str">
            <v>S0025851</v>
          </cell>
          <cell r="C89" t="str">
            <v>SPS 4 PATON RD STH HEDLAND</v>
          </cell>
          <cell r="D89" t="str">
            <v>A- actual</v>
          </cell>
          <cell r="E89" t="str">
            <v>PS- pump station</v>
          </cell>
          <cell r="F89" t="str">
            <v>PATON RD</v>
          </cell>
          <cell r="G89" t="str">
            <v>4</v>
          </cell>
          <cell r="H89" t="str">
            <v>W- water corporation</v>
          </cell>
          <cell r="I89" t="str">
            <v>17477</v>
          </cell>
          <cell r="J89" t="str">
            <v>19740101</v>
          </cell>
          <cell r="K89" t="str">
            <v>118.617319701</v>
          </cell>
          <cell r="L89" t="str">
            <v>-20.40357832</v>
          </cell>
          <cell r="M89" t="str">
            <v>L</v>
          </cell>
          <cell r="N89" t="str">
            <v>2905</v>
          </cell>
          <cell r="O89" t="str">
            <v>PATON</v>
          </cell>
          <cell r="P89" t="str">
            <v>RD</v>
          </cell>
          <cell r="R89" t="str">
            <v>SOUTH HEDLAND</v>
          </cell>
          <cell r="S89" t="str">
            <v>6722</v>
          </cell>
        </row>
        <row r="90">
          <cell r="D90" t="str">
            <v>N- not in use</v>
          </cell>
          <cell r="E90" t="str">
            <v>PS- pump station</v>
          </cell>
          <cell r="F90" t="str">
            <v>NEWMAN</v>
          </cell>
          <cell r="G90" t="str">
            <v>2</v>
          </cell>
          <cell r="H90" t="str">
            <v>W- water corporation</v>
          </cell>
          <cell r="J90" t="str">
            <v>18000101</v>
          </cell>
          <cell r="K90" t="str">
            <v>119.737732824</v>
          </cell>
          <cell r="L90" t="str">
            <v>-23.356908392</v>
          </cell>
          <cell r="M90" t="str">
            <v>H</v>
          </cell>
          <cell r="N90" t="str">
            <v>1</v>
          </cell>
          <cell r="O90" t="str">
            <v>KALGAN</v>
          </cell>
          <cell r="P90" t="str">
            <v>DR</v>
          </cell>
          <cell r="R90" t="str">
            <v>NEWMAN</v>
          </cell>
          <cell r="S90" t="str">
            <v>6753</v>
          </cell>
        </row>
        <row r="91">
          <cell r="D91" t="str">
            <v>A- actual</v>
          </cell>
          <cell r="E91" t="str">
            <v>PS- pump station</v>
          </cell>
          <cell r="F91" t="str">
            <v>NEWMAN</v>
          </cell>
          <cell r="H91" t="str">
            <v>P- private</v>
          </cell>
          <cell r="J91" t="str">
            <v>19810101</v>
          </cell>
          <cell r="K91" t="str">
            <v>119.741305404</v>
          </cell>
          <cell r="L91" t="str">
            <v>-23.350671945</v>
          </cell>
          <cell r="M91" t="str">
            <v>L</v>
          </cell>
          <cell r="N91" t="str">
            <v>1</v>
          </cell>
          <cell r="O91" t="str">
            <v>NEWMAN</v>
          </cell>
          <cell r="P91" t="str">
            <v>DR</v>
          </cell>
          <cell r="R91" t="str">
            <v>NEWMAN</v>
          </cell>
          <cell r="S91" t="str">
            <v>6753</v>
          </cell>
        </row>
        <row r="92">
          <cell r="B92" t="str">
            <v>S0025759</v>
          </cell>
          <cell r="C92" t="str">
            <v>SPS 4 GEORGE ST NEWMAN</v>
          </cell>
          <cell r="D92" t="str">
            <v>A- actual</v>
          </cell>
          <cell r="E92" t="str">
            <v>PS- pump station</v>
          </cell>
          <cell r="F92" t="str">
            <v>GEORGE ST</v>
          </cell>
          <cell r="G92" t="str">
            <v>4</v>
          </cell>
          <cell r="H92" t="str">
            <v>W- water corporation</v>
          </cell>
          <cell r="I92" t="str">
            <v>20777</v>
          </cell>
          <cell r="J92" t="str">
            <v>19810101</v>
          </cell>
          <cell r="K92" t="str">
            <v>119.743006695</v>
          </cell>
          <cell r="L92" t="str">
            <v>-23.3557045368</v>
          </cell>
          <cell r="M92" t="str">
            <v>H</v>
          </cell>
          <cell r="N92" t="str">
            <v>31</v>
          </cell>
          <cell r="O92" t="str">
            <v>MCLENNAN</v>
          </cell>
          <cell r="P92" t="str">
            <v>DR</v>
          </cell>
          <cell r="R92" t="str">
            <v>NEWMAN</v>
          </cell>
          <cell r="S92" t="str">
            <v>6753</v>
          </cell>
        </row>
        <row r="93">
          <cell r="D93" t="str">
            <v>N- not in use</v>
          </cell>
          <cell r="E93" t="str">
            <v>PS- pump station</v>
          </cell>
          <cell r="F93" t="str">
            <v>MT NEWMAN CARAVAN PARK</v>
          </cell>
          <cell r="H93" t="str">
            <v>P- private</v>
          </cell>
          <cell r="J93" t="str">
            <v>19850101</v>
          </cell>
          <cell r="K93" t="str">
            <v>119.745039673</v>
          </cell>
          <cell r="L93" t="str">
            <v>-23.362473165</v>
          </cell>
          <cell r="M93" t="str">
            <v>H</v>
          </cell>
          <cell r="N93" t="str">
            <v>18</v>
          </cell>
          <cell r="O93" t="str">
            <v>NIMINGARRA</v>
          </cell>
          <cell r="P93" t="str">
            <v>DR</v>
          </cell>
          <cell r="R93" t="str">
            <v>NEWMAN</v>
          </cell>
          <cell r="S93" t="str">
            <v>6753</v>
          </cell>
        </row>
        <row r="94">
          <cell r="B94" t="str">
            <v>S0025764</v>
          </cell>
          <cell r="C94" t="str">
            <v>SPS 5 BONDINI DR NEWMAN</v>
          </cell>
          <cell r="D94" t="str">
            <v>A- actual</v>
          </cell>
          <cell r="E94" t="str">
            <v>PS- pump station</v>
          </cell>
          <cell r="F94" t="str">
            <v>BONDINI DR</v>
          </cell>
          <cell r="G94" t="str">
            <v>5</v>
          </cell>
          <cell r="H94" t="str">
            <v>W- water corporation</v>
          </cell>
          <cell r="I94" t="str">
            <v>20778</v>
          </cell>
          <cell r="J94" t="str">
            <v>19870101</v>
          </cell>
          <cell r="K94" t="str">
            <v>119.74822866</v>
          </cell>
          <cell r="L94" t="str">
            <v>-23.35757346</v>
          </cell>
          <cell r="M94" t="str">
            <v>H</v>
          </cell>
          <cell r="N94" t="str">
            <v>13</v>
          </cell>
          <cell r="O94" t="str">
            <v>ANGELO</v>
          </cell>
          <cell r="P94" t="str">
            <v>ST</v>
          </cell>
          <cell r="R94" t="str">
            <v>NEWMAN</v>
          </cell>
          <cell r="S94" t="str">
            <v>6753</v>
          </cell>
        </row>
        <row r="95">
          <cell r="B95" t="str">
            <v>S0025096</v>
          </cell>
          <cell r="C95" t="str">
            <v>SEWERAGE PUMP   Flagged for deletion</v>
          </cell>
          <cell r="D95" t="str">
            <v>A- actual</v>
          </cell>
          <cell r="E95" t="str">
            <v>PS- pump station</v>
          </cell>
          <cell r="F95" t="str">
            <v>MARBLE BAR</v>
          </cell>
          <cell r="H95" t="str">
            <v>P- private</v>
          </cell>
          <cell r="I95" t="str">
            <v>44257</v>
          </cell>
          <cell r="J95" t="str">
            <v>19800101</v>
          </cell>
          <cell r="K95" t="str">
            <v>119.742033435</v>
          </cell>
          <cell r="L95" t="str">
            <v>-21.169076725</v>
          </cell>
          <cell r="M95" t="str">
            <v>H</v>
          </cell>
          <cell r="N95" t="str">
            <v>29</v>
          </cell>
          <cell r="O95" t="str">
            <v>IRONCLAD</v>
          </cell>
          <cell r="P95" t="str">
            <v>ST</v>
          </cell>
          <cell r="R95" t="str">
            <v>MARBLE BAR</v>
          </cell>
          <cell r="S95" t="str">
            <v>6760</v>
          </cell>
        </row>
        <row r="96">
          <cell r="B96" t="str">
            <v>S0025804</v>
          </cell>
          <cell r="C96" t="str">
            <v>SPS 6 CHARLES BALL DRV PT HEDLAND</v>
          </cell>
          <cell r="D96" t="str">
            <v>A- actual</v>
          </cell>
          <cell r="E96" t="str">
            <v>PS- pump station</v>
          </cell>
          <cell r="F96" t="str">
            <v>CHARLES BALL DR</v>
          </cell>
          <cell r="G96" t="str">
            <v>6</v>
          </cell>
          <cell r="H96" t="str">
            <v>W- water corporation</v>
          </cell>
          <cell r="J96" t="str">
            <v>19900101</v>
          </cell>
          <cell r="K96" t="str">
            <v>118.624855547</v>
          </cell>
          <cell r="L96" t="str">
            <v>-20.312510296</v>
          </cell>
          <cell r="M96" t="str">
            <v>H</v>
          </cell>
          <cell r="N96" t="str">
            <v>5</v>
          </cell>
          <cell r="O96" t="str">
            <v>CHARLES BALL</v>
          </cell>
          <cell r="P96" t="str">
            <v>DR</v>
          </cell>
          <cell r="R96" t="str">
            <v>PORT HEDLAND</v>
          </cell>
          <cell r="S96" t="str">
            <v>6721</v>
          </cell>
        </row>
        <row r="97">
          <cell r="B97" t="str">
            <v>S0013940</v>
          </cell>
          <cell r="C97" t="str">
            <v>SPS 1 DARTEE ST CORRIGIN</v>
          </cell>
          <cell r="D97" t="str">
            <v>A- actual</v>
          </cell>
          <cell r="E97" t="str">
            <v>PS- pump station</v>
          </cell>
          <cell r="F97" t="str">
            <v>DARTEE ST</v>
          </cell>
          <cell r="G97" t="str">
            <v>1</v>
          </cell>
          <cell r="H97" t="str">
            <v>W- water corporation</v>
          </cell>
          <cell r="I97" t="str">
            <v>16553</v>
          </cell>
          <cell r="J97" t="str">
            <v>19790101</v>
          </cell>
          <cell r="K97" t="str">
            <v>117.874563413</v>
          </cell>
          <cell r="L97" t="str">
            <v>-32.3330254446</v>
          </cell>
          <cell r="M97" t="str">
            <v>H</v>
          </cell>
          <cell r="N97" t="str">
            <v>2</v>
          </cell>
          <cell r="O97" t="str">
            <v>GOYDER</v>
          </cell>
          <cell r="P97" t="str">
            <v>ST</v>
          </cell>
          <cell r="R97" t="str">
            <v>CORRIGIN</v>
          </cell>
          <cell r="S97" t="str">
            <v>6375</v>
          </cell>
        </row>
        <row r="98">
          <cell r="B98" t="str">
            <v>S0015419</v>
          </cell>
          <cell r="C98" t="str">
            <v>SPS 1 FORREST ST KELLERBERRIN</v>
          </cell>
          <cell r="D98" t="str">
            <v>A- actual</v>
          </cell>
          <cell r="E98" t="str">
            <v>PS- pump station</v>
          </cell>
          <cell r="F98" t="str">
            <v>FORREST ST</v>
          </cell>
          <cell r="G98" t="str">
            <v>1</v>
          </cell>
          <cell r="H98" t="str">
            <v>W- water corporation</v>
          </cell>
          <cell r="I98" t="str">
            <v>16556</v>
          </cell>
          <cell r="J98" t="str">
            <v>19700101</v>
          </cell>
          <cell r="K98" t="str">
            <v>117.724355954</v>
          </cell>
          <cell r="L98" t="str">
            <v>-31.636478281</v>
          </cell>
          <cell r="M98" t="str">
            <v>L</v>
          </cell>
          <cell r="N98" t="str">
            <v>2</v>
          </cell>
          <cell r="O98" t="str">
            <v>FORREST</v>
          </cell>
          <cell r="P98" t="str">
            <v>ST</v>
          </cell>
          <cell r="R98" t="str">
            <v>KELLERBERRIN</v>
          </cell>
          <cell r="S98" t="str">
            <v>6410</v>
          </cell>
        </row>
        <row r="99">
          <cell r="B99" t="str">
            <v>S008-002-001</v>
          </cell>
          <cell r="C99" t="str">
            <v>SPS 1 GREGORY ST MECKERING</v>
          </cell>
          <cell r="D99" t="str">
            <v>A- actual</v>
          </cell>
          <cell r="E99" t="str">
            <v>PS- pump station</v>
          </cell>
          <cell r="F99" t="str">
            <v>GREGORY ST</v>
          </cell>
          <cell r="G99" t="str">
            <v>1</v>
          </cell>
          <cell r="H99" t="str">
            <v>W- water corporation</v>
          </cell>
          <cell r="I99" t="str">
            <v>16534</v>
          </cell>
          <cell r="J99" t="str">
            <v>19830701</v>
          </cell>
          <cell r="K99" t="str">
            <v>117.006817767</v>
          </cell>
          <cell r="L99" t="str">
            <v>-31.628486149</v>
          </cell>
          <cell r="M99" t="str">
            <v>L</v>
          </cell>
          <cell r="N99" t="str">
            <v>407</v>
          </cell>
          <cell r="O99" t="str">
            <v>GREGORY</v>
          </cell>
          <cell r="P99" t="str">
            <v>ST</v>
          </cell>
          <cell r="R99" t="str">
            <v>MECKERING</v>
          </cell>
          <cell r="S99" t="str">
            <v>6405</v>
          </cell>
        </row>
        <row r="100">
          <cell r="B100" t="str">
            <v>S0016376</v>
          </cell>
          <cell r="C100" t="str">
            <v>SPS 3 BARR ST MERREDIN</v>
          </cell>
          <cell r="D100" t="str">
            <v>A- actual</v>
          </cell>
          <cell r="E100" t="str">
            <v>PS- pump station</v>
          </cell>
          <cell r="F100" t="str">
            <v>BARR ST</v>
          </cell>
          <cell r="G100" t="str">
            <v>3</v>
          </cell>
          <cell r="H100" t="str">
            <v>W- water corporation</v>
          </cell>
          <cell r="I100" t="str">
            <v>16559</v>
          </cell>
          <cell r="J100" t="str">
            <v>19760101</v>
          </cell>
          <cell r="K100" t="str">
            <v>118.276284087</v>
          </cell>
          <cell r="L100" t="str">
            <v>-31.474283726</v>
          </cell>
          <cell r="M100" t="str">
            <v>L</v>
          </cell>
          <cell r="N100" t="str">
            <v>1292</v>
          </cell>
          <cell r="O100" t="str">
            <v>BARR</v>
          </cell>
          <cell r="P100" t="str">
            <v>ST</v>
          </cell>
          <cell r="R100" t="str">
            <v>MERREDIN</v>
          </cell>
          <cell r="S100" t="str">
            <v>6415</v>
          </cell>
        </row>
        <row r="101">
          <cell r="B101" t="str">
            <v>S0016385</v>
          </cell>
          <cell r="C101" t="str">
            <v>SPS 4 ALFRED ST MERREDIN</v>
          </cell>
          <cell r="D101" t="str">
            <v>A- actual</v>
          </cell>
          <cell r="E101" t="str">
            <v>PS- pump station</v>
          </cell>
          <cell r="F101" t="str">
            <v>ALFRED ST</v>
          </cell>
          <cell r="G101" t="str">
            <v>4</v>
          </cell>
          <cell r="H101" t="str">
            <v>W- water corporation</v>
          </cell>
          <cell r="I101" t="str">
            <v>16560</v>
          </cell>
          <cell r="J101" t="str">
            <v>19810617</v>
          </cell>
          <cell r="K101" t="str">
            <v>118.266829695</v>
          </cell>
          <cell r="L101" t="str">
            <v>-31.479910665</v>
          </cell>
          <cell r="M101" t="str">
            <v>H</v>
          </cell>
          <cell r="N101" t="str">
            <v>10</v>
          </cell>
          <cell r="O101" t="str">
            <v>ALFRED</v>
          </cell>
          <cell r="P101" t="str">
            <v>ST</v>
          </cell>
          <cell r="R101" t="str">
            <v>MERREDIN</v>
          </cell>
          <cell r="S101" t="str">
            <v>6415</v>
          </cell>
        </row>
        <row r="102">
          <cell r="B102" t="str">
            <v>S0016367</v>
          </cell>
          <cell r="C102" t="str">
            <v>SPS 2 OATS ST MERREDIN</v>
          </cell>
          <cell r="D102" t="str">
            <v>A- actual</v>
          </cell>
          <cell r="E102" t="str">
            <v>PS- pump station</v>
          </cell>
          <cell r="F102" t="str">
            <v>OATS ST</v>
          </cell>
          <cell r="G102" t="str">
            <v>2</v>
          </cell>
          <cell r="H102" t="str">
            <v>W- water corporation</v>
          </cell>
          <cell r="I102" t="str">
            <v>16558</v>
          </cell>
          <cell r="J102" t="str">
            <v>19770101</v>
          </cell>
          <cell r="K102" t="str">
            <v>118.291193546</v>
          </cell>
          <cell r="L102" t="str">
            <v>-31.484935718</v>
          </cell>
          <cell r="M102" t="str">
            <v>L</v>
          </cell>
          <cell r="N102" t="str">
            <v>1311</v>
          </cell>
          <cell r="O102" t="str">
            <v>OAT</v>
          </cell>
          <cell r="P102" t="str">
            <v>ST</v>
          </cell>
          <cell r="R102" t="str">
            <v>MERREDIN</v>
          </cell>
          <cell r="S102" t="str">
            <v>6415</v>
          </cell>
        </row>
        <row r="103">
          <cell r="B103" t="str">
            <v>S0016618</v>
          </cell>
          <cell r="C103" t="str">
            <v>SPS 1 DOREEN ST NAREMBEEN</v>
          </cell>
          <cell r="D103" t="str">
            <v>A- actual</v>
          </cell>
          <cell r="E103" t="str">
            <v>PS- pump station</v>
          </cell>
          <cell r="F103" t="str">
            <v>DOREEN ST</v>
          </cell>
          <cell r="G103" t="str">
            <v>1</v>
          </cell>
          <cell r="H103" t="str">
            <v>W- water corporation</v>
          </cell>
          <cell r="I103" t="str">
            <v>16566</v>
          </cell>
          <cell r="J103" t="str">
            <v>19970101</v>
          </cell>
          <cell r="K103" t="str">
            <v>118.394873408</v>
          </cell>
          <cell r="L103" t="str">
            <v>-32.0606125929</v>
          </cell>
          <cell r="M103" t="str">
            <v>H</v>
          </cell>
          <cell r="N103" t="str">
            <v>28</v>
          </cell>
          <cell r="O103" t="str">
            <v>DOREEN</v>
          </cell>
          <cell r="P103" t="str">
            <v>ST</v>
          </cell>
          <cell r="R103" t="str">
            <v>NAREMBEEN</v>
          </cell>
          <cell r="S103" t="str">
            <v>6369</v>
          </cell>
        </row>
        <row r="104">
          <cell r="B104" t="str">
            <v>S0016625</v>
          </cell>
          <cell r="C104" t="str">
            <v>SPS 2 HILTON WAY NAREMBEEN</v>
          </cell>
          <cell r="D104" t="str">
            <v>A- actual</v>
          </cell>
          <cell r="E104" t="str">
            <v>PS- pump station</v>
          </cell>
          <cell r="F104" t="str">
            <v>HILTON WY</v>
          </cell>
          <cell r="G104" t="str">
            <v>2</v>
          </cell>
          <cell r="H104" t="str">
            <v>W- water corporation</v>
          </cell>
          <cell r="I104" t="str">
            <v>16567</v>
          </cell>
          <cell r="J104" t="str">
            <v>19780101</v>
          </cell>
          <cell r="K104" t="str">
            <v>118.390332905</v>
          </cell>
          <cell r="L104" t="str">
            <v>-32.0610727175</v>
          </cell>
          <cell r="M104" t="str">
            <v>H</v>
          </cell>
          <cell r="N104" t="str">
            <v>40</v>
          </cell>
          <cell r="O104" t="str">
            <v>BROWN</v>
          </cell>
          <cell r="P104" t="str">
            <v>ST</v>
          </cell>
          <cell r="R104" t="str">
            <v>NAREMBEEN</v>
          </cell>
          <cell r="S104" t="str">
            <v>6369</v>
          </cell>
        </row>
        <row r="105">
          <cell r="B105" t="str">
            <v>S0016631</v>
          </cell>
          <cell r="C105" t="str">
            <v>SPS 3 LONGHURST ST NAREMBEEN</v>
          </cell>
          <cell r="D105" t="str">
            <v>A- actual</v>
          </cell>
          <cell r="E105" t="str">
            <v>PS- pump station</v>
          </cell>
          <cell r="F105" t="str">
            <v>LONGHURST ST</v>
          </cell>
          <cell r="G105" t="str">
            <v>3</v>
          </cell>
          <cell r="H105" t="str">
            <v>W- water corporation</v>
          </cell>
          <cell r="I105" t="str">
            <v>16568</v>
          </cell>
          <cell r="J105" t="str">
            <v>19780101</v>
          </cell>
          <cell r="K105" t="str">
            <v>118.391215163</v>
          </cell>
          <cell r="L105" t="str">
            <v>-32.0661281591</v>
          </cell>
          <cell r="M105" t="str">
            <v>H</v>
          </cell>
          <cell r="N105" t="str">
            <v>32</v>
          </cell>
          <cell r="O105" t="str">
            <v>LONGHURST</v>
          </cell>
          <cell r="P105" t="str">
            <v>ST</v>
          </cell>
          <cell r="R105" t="str">
            <v>NAREMBEEN</v>
          </cell>
          <cell r="S105" t="str">
            <v>6369</v>
          </cell>
        </row>
        <row r="106">
          <cell r="B106" t="str">
            <v>S0016361</v>
          </cell>
          <cell r="C106" t="str">
            <v>SPS 5 RAILWAY YARDS MERREDIN</v>
          </cell>
          <cell r="D106" t="str">
            <v>A- actual</v>
          </cell>
          <cell r="E106" t="str">
            <v>PS- pump station</v>
          </cell>
          <cell r="F106" t="str">
            <v>RAILWAY YARDS</v>
          </cell>
          <cell r="G106" t="str">
            <v>5</v>
          </cell>
          <cell r="H106" t="str">
            <v>W- water corporation</v>
          </cell>
          <cell r="I106" t="str">
            <v>16561</v>
          </cell>
          <cell r="J106" t="str">
            <v>20001001</v>
          </cell>
          <cell r="K106" t="str">
            <v>118.252046157</v>
          </cell>
          <cell r="L106" t="str">
            <v>-31.486884295</v>
          </cell>
          <cell r="M106" t="str">
            <v>L</v>
          </cell>
          <cell r="N106" t="str">
            <v>1224</v>
          </cell>
          <cell r="O106" t="str">
            <v>GREAT EASTERN</v>
          </cell>
          <cell r="P106" t="str">
            <v>HWY</v>
          </cell>
          <cell r="R106" t="str">
            <v>MERREDIN</v>
          </cell>
          <cell r="S106" t="str">
            <v>6415</v>
          </cell>
        </row>
        <row r="107">
          <cell r="B107" t="str">
            <v>S0043971</v>
          </cell>
          <cell r="C107" t="str">
            <v>SPS BINNINGUP RD BINNINGUP</v>
          </cell>
          <cell r="D107" t="str">
            <v>A- actual</v>
          </cell>
          <cell r="E107" t="str">
            <v>PS- pump station</v>
          </cell>
          <cell r="F107" t="str">
            <v>BINNINGUP RD</v>
          </cell>
          <cell r="G107" t="str">
            <v>1</v>
          </cell>
          <cell r="H107" t="str">
            <v>W- water corporation</v>
          </cell>
          <cell r="I107" t="str">
            <v>18434</v>
          </cell>
          <cell r="J107" t="str">
            <v>19850101</v>
          </cell>
          <cell r="K107" t="str">
            <v>115.693634749</v>
          </cell>
          <cell r="L107" t="str">
            <v>-33.148819939</v>
          </cell>
          <cell r="M107" t="str">
            <v>L</v>
          </cell>
          <cell r="N107" t="str">
            <v>244</v>
          </cell>
          <cell r="O107" t="str">
            <v>BINNINGUP</v>
          </cell>
          <cell r="P107" t="str">
            <v>RD</v>
          </cell>
          <cell r="R107" t="str">
            <v>BINNINGUP</v>
          </cell>
          <cell r="S107" t="str">
            <v>6233</v>
          </cell>
        </row>
        <row r="108">
          <cell r="B108" t="str">
            <v>S0043989</v>
          </cell>
          <cell r="C108" t="str">
            <v>SPS SHINES CR BRUNSWICK</v>
          </cell>
          <cell r="D108" t="str">
            <v>A- actual</v>
          </cell>
          <cell r="E108" t="str">
            <v>PS- pump station</v>
          </cell>
          <cell r="F108" t="str">
            <v>SHINES CR</v>
          </cell>
          <cell r="G108" t="str">
            <v>1</v>
          </cell>
          <cell r="H108" t="str">
            <v>W- water corporation</v>
          </cell>
          <cell r="I108" t="str">
            <v>18438</v>
          </cell>
          <cell r="J108" t="str">
            <v>19810101</v>
          </cell>
          <cell r="K108" t="str">
            <v>115.837201671</v>
          </cell>
          <cell r="L108" t="str">
            <v>-33.24976375</v>
          </cell>
          <cell r="M108" t="str">
            <v>H</v>
          </cell>
          <cell r="N108" t="str">
            <v>28</v>
          </cell>
          <cell r="O108" t="str">
            <v>SHINES</v>
          </cell>
          <cell r="P108" t="str">
            <v>CR</v>
          </cell>
          <cell r="R108" t="str">
            <v>BRUNSWICK</v>
          </cell>
          <cell r="S108" t="str">
            <v>6224</v>
          </cell>
        </row>
        <row r="109">
          <cell r="B109" t="str">
            <v>S0044659</v>
          </cell>
          <cell r="C109" t="str">
            <v>SPS FOURTH ST HARVEY</v>
          </cell>
          <cell r="D109" t="str">
            <v>A- actual</v>
          </cell>
          <cell r="E109" t="str">
            <v>PS- pump station</v>
          </cell>
          <cell r="F109" t="str">
            <v>FOURTH ST</v>
          </cell>
          <cell r="G109" t="str">
            <v>1</v>
          </cell>
          <cell r="H109" t="str">
            <v>W- water corporation</v>
          </cell>
          <cell r="I109" t="str">
            <v>18461</v>
          </cell>
          <cell r="J109" t="str">
            <v>19750101</v>
          </cell>
          <cell r="K109" t="str">
            <v>115.883778632</v>
          </cell>
          <cell r="L109" t="str">
            <v>-33.077846439</v>
          </cell>
          <cell r="M109" t="str">
            <v>L</v>
          </cell>
          <cell r="N109" t="str">
            <v>5291</v>
          </cell>
          <cell r="O109" t="str">
            <v>FOURTH</v>
          </cell>
          <cell r="P109" t="str">
            <v>ST</v>
          </cell>
          <cell r="R109" t="str">
            <v>HARVEY</v>
          </cell>
          <cell r="S109" t="str">
            <v>6220</v>
          </cell>
        </row>
        <row r="110">
          <cell r="B110" t="str">
            <v>S0044664</v>
          </cell>
          <cell r="C110" t="str">
            <v>SPS GERSCHOW AVE HARVEY</v>
          </cell>
          <cell r="D110" t="str">
            <v>A- actual</v>
          </cell>
          <cell r="E110" t="str">
            <v>PS- pump station</v>
          </cell>
          <cell r="F110" t="str">
            <v>GERSCHOW AVE</v>
          </cell>
          <cell r="G110" t="str">
            <v>4</v>
          </cell>
          <cell r="H110" t="str">
            <v>W- water corporation</v>
          </cell>
          <cell r="I110" t="str">
            <v>18464</v>
          </cell>
          <cell r="J110" t="str">
            <v>19770101</v>
          </cell>
          <cell r="K110" t="str">
            <v>115.885652792</v>
          </cell>
          <cell r="L110" t="str">
            <v>-33.086413934</v>
          </cell>
          <cell r="M110" t="str">
            <v>L</v>
          </cell>
          <cell r="N110" t="str">
            <v>5344</v>
          </cell>
          <cell r="O110" t="str">
            <v>GERSCHOW</v>
          </cell>
          <cell r="P110" t="str">
            <v>AV</v>
          </cell>
          <cell r="R110" t="str">
            <v>HARVEY</v>
          </cell>
          <cell r="S110" t="str">
            <v>6220</v>
          </cell>
        </row>
        <row r="111">
          <cell r="B111" t="str">
            <v>S0044679</v>
          </cell>
          <cell r="C111" t="str">
            <v>SPS YOUNG ST HARVEY</v>
          </cell>
          <cell r="D111" t="str">
            <v>A- actual</v>
          </cell>
          <cell r="E111" t="str">
            <v>PS- pump station</v>
          </cell>
          <cell r="F111" t="str">
            <v>YOUNG ST</v>
          </cell>
          <cell r="G111" t="str">
            <v>2</v>
          </cell>
          <cell r="H111" t="str">
            <v>W- water corporation</v>
          </cell>
          <cell r="I111" t="str">
            <v>18462</v>
          </cell>
          <cell r="J111" t="str">
            <v>19760101</v>
          </cell>
          <cell r="K111" t="str">
            <v>115.893426874</v>
          </cell>
          <cell r="L111" t="str">
            <v>-33.076844104</v>
          </cell>
          <cell r="M111" t="str">
            <v>L</v>
          </cell>
          <cell r="N111" t="str">
            <v>1</v>
          </cell>
          <cell r="O111" t="str">
            <v>YOUNG</v>
          </cell>
          <cell r="P111" t="str">
            <v>ST</v>
          </cell>
          <cell r="R111" t="str">
            <v>HARVEY</v>
          </cell>
          <cell r="S111" t="str">
            <v>6220</v>
          </cell>
        </row>
        <row r="112">
          <cell r="B112" t="str">
            <v>S0044674</v>
          </cell>
          <cell r="C112" t="str">
            <v>SPS KIDSON ST HARVEY</v>
          </cell>
          <cell r="D112" t="str">
            <v>A- actual</v>
          </cell>
          <cell r="E112" t="str">
            <v>PS- pump station</v>
          </cell>
          <cell r="F112" t="str">
            <v>KIDSON ST</v>
          </cell>
          <cell r="G112" t="str">
            <v>3</v>
          </cell>
          <cell r="H112" t="str">
            <v>W- water corporation</v>
          </cell>
          <cell r="I112" t="str">
            <v>18463</v>
          </cell>
          <cell r="J112" t="str">
            <v>19780101</v>
          </cell>
          <cell r="K112" t="str">
            <v>115.899690657</v>
          </cell>
          <cell r="L112" t="str">
            <v>-33.0838995378</v>
          </cell>
          <cell r="M112" t="str">
            <v>H</v>
          </cell>
          <cell r="N112" t="str">
            <v>25</v>
          </cell>
          <cell r="O112" t="str">
            <v>KIDSON</v>
          </cell>
          <cell r="P112" t="str">
            <v>ST</v>
          </cell>
          <cell r="R112" t="str">
            <v>HARVEY</v>
          </cell>
          <cell r="S112" t="str">
            <v>6220</v>
          </cell>
        </row>
        <row r="113">
          <cell r="D113" t="str">
            <v>A- actual</v>
          </cell>
          <cell r="E113" t="str">
            <v>unknown</v>
          </cell>
          <cell r="H113" t="str">
            <v>P- private</v>
          </cell>
          <cell r="J113" t="str">
            <v>19800101</v>
          </cell>
          <cell r="K113" t="str">
            <v>115.910693576</v>
          </cell>
          <cell r="L113" t="str">
            <v>-33.0755165</v>
          </cell>
          <cell r="M113" t="str">
            <v>H</v>
          </cell>
          <cell r="N113" t="str">
            <v>7</v>
          </cell>
          <cell r="O113" t="str">
            <v>JAMES STIRLING</v>
          </cell>
          <cell r="P113" t="str">
            <v>PL</v>
          </cell>
          <cell r="R113" t="str">
            <v>HARVEY</v>
          </cell>
          <cell r="S113" t="str">
            <v>6220</v>
          </cell>
        </row>
        <row r="114">
          <cell r="B114" t="str">
            <v>S0044908</v>
          </cell>
          <cell r="C114" t="str">
            <v>SPS BUSSELL HWY NTH MARGARET RIVER</v>
          </cell>
          <cell r="D114" t="str">
            <v>A- actual</v>
          </cell>
          <cell r="E114" t="str">
            <v>PS- pump station</v>
          </cell>
          <cell r="F114" t="str">
            <v>BUSSELL HWY NORTH</v>
          </cell>
          <cell r="G114" t="str">
            <v>1</v>
          </cell>
          <cell r="H114" t="str">
            <v>W- water corporation</v>
          </cell>
          <cell r="I114" t="str">
            <v>18460</v>
          </cell>
          <cell r="J114" t="str">
            <v>19850101</v>
          </cell>
          <cell r="K114" t="str">
            <v>115.074448891</v>
          </cell>
          <cell r="L114" t="str">
            <v>-33.946038633</v>
          </cell>
          <cell r="M114" t="str">
            <v>H</v>
          </cell>
          <cell r="N114" t="str">
            <v>71</v>
          </cell>
          <cell r="O114" t="str">
            <v>BUSSELL</v>
          </cell>
          <cell r="P114" t="str">
            <v>HWY</v>
          </cell>
          <cell r="R114" t="str">
            <v>MARGARET RIVER</v>
          </cell>
          <cell r="S114" t="str">
            <v>6285</v>
          </cell>
        </row>
        <row r="115">
          <cell r="B115" t="str">
            <v>S0044913</v>
          </cell>
          <cell r="C115" t="str">
            <v>SPS KARRI LOOP MARGARET RIVER</v>
          </cell>
          <cell r="D115" t="str">
            <v>A- actual</v>
          </cell>
          <cell r="E115" t="str">
            <v>PS- pump station</v>
          </cell>
          <cell r="F115" t="str">
            <v>KARRI LOOP</v>
          </cell>
          <cell r="G115" t="str">
            <v>2</v>
          </cell>
          <cell r="H115" t="str">
            <v>W- water corporation</v>
          </cell>
          <cell r="I115" t="str">
            <v>43415</v>
          </cell>
          <cell r="J115" t="str">
            <v>19890101</v>
          </cell>
          <cell r="K115" t="str">
            <v>115.054818748</v>
          </cell>
          <cell r="L115" t="str">
            <v>-33.959043834</v>
          </cell>
          <cell r="M115" t="str">
            <v>H</v>
          </cell>
          <cell r="N115" t="str">
            <v>28</v>
          </cell>
          <cell r="O115" t="str">
            <v>KARRI</v>
          </cell>
          <cell r="P115" t="str">
            <v>LOOP</v>
          </cell>
          <cell r="R115" t="str">
            <v>MARGARET RIVER</v>
          </cell>
          <cell r="S115" t="str">
            <v>6285</v>
          </cell>
        </row>
        <row r="116">
          <cell r="B116" t="str">
            <v>S0043904</v>
          </cell>
          <cell r="C116" t="str">
            <v>SPS BLACKWOOD AVE AUGUSTA</v>
          </cell>
          <cell r="D116" t="str">
            <v>A- actual</v>
          </cell>
          <cell r="E116" t="str">
            <v>PS- pump station</v>
          </cell>
          <cell r="F116" t="str">
            <v>BLACKWOOD AVE</v>
          </cell>
          <cell r="G116" t="str">
            <v>1</v>
          </cell>
          <cell r="H116" t="str">
            <v>W- water corporation</v>
          </cell>
          <cell r="J116" t="str">
            <v>19910109</v>
          </cell>
          <cell r="K116" t="str">
            <v>115.163174211</v>
          </cell>
          <cell r="L116" t="str">
            <v>-34.3224013676</v>
          </cell>
          <cell r="M116" t="str">
            <v>H</v>
          </cell>
          <cell r="N116" t="str">
            <v>3</v>
          </cell>
          <cell r="O116" t="str">
            <v>BLACKWOOD</v>
          </cell>
          <cell r="P116" t="str">
            <v>AV</v>
          </cell>
          <cell r="R116" t="str">
            <v>AUGUSTA</v>
          </cell>
          <cell r="S116" t="str">
            <v>6290</v>
          </cell>
        </row>
        <row r="117">
          <cell r="B117" t="str">
            <v>S0044540</v>
          </cell>
          <cell r="C117" t="str">
            <v>SPS CHUDITCH PL GNARABUP</v>
          </cell>
          <cell r="D117" t="str">
            <v>A- actual</v>
          </cell>
          <cell r="E117" t="str">
            <v>PS- pump station</v>
          </cell>
          <cell r="F117" t="str">
            <v>CHUDITCH PL</v>
          </cell>
          <cell r="H117" t="str">
            <v>W- water corporation</v>
          </cell>
          <cell r="I117" t="str">
            <v>52112</v>
          </cell>
          <cell r="J117" t="str">
            <v>19940512</v>
          </cell>
          <cell r="K117" t="str">
            <v>114.993723267</v>
          </cell>
          <cell r="L117" t="str">
            <v>-33.987870926</v>
          </cell>
          <cell r="M117" t="str">
            <v>L</v>
          </cell>
          <cell r="N117" t="str">
            <v>255</v>
          </cell>
          <cell r="O117" t="str">
            <v>CHUDITCH</v>
          </cell>
          <cell r="P117" t="str">
            <v>PL</v>
          </cell>
          <cell r="R117" t="str">
            <v>GNARABUP</v>
          </cell>
          <cell r="S117" t="str">
            <v>6285</v>
          </cell>
        </row>
        <row r="118">
          <cell r="B118" t="str">
            <v>S0016663</v>
          </cell>
          <cell r="C118" t="str">
            <v>SPS 2 SUBURBAN RD NORTHAM</v>
          </cell>
          <cell r="D118" t="str">
            <v>A- actual</v>
          </cell>
          <cell r="E118" t="str">
            <v>PS- pump station</v>
          </cell>
          <cell r="F118" t="str">
            <v>SUBURBAN RD</v>
          </cell>
          <cell r="G118" t="str">
            <v>2</v>
          </cell>
          <cell r="H118" t="str">
            <v>W- water corporation</v>
          </cell>
          <cell r="I118" t="str">
            <v>16547</v>
          </cell>
          <cell r="J118" t="str">
            <v>19800101</v>
          </cell>
          <cell r="K118" t="str">
            <v>116.659203774</v>
          </cell>
          <cell r="L118" t="str">
            <v>-31.6434523168</v>
          </cell>
          <cell r="M118" t="str">
            <v>H</v>
          </cell>
          <cell r="N118" t="str">
            <v>72</v>
          </cell>
          <cell r="O118" t="str">
            <v>SUBURBAN</v>
          </cell>
          <cell r="P118" t="str">
            <v>RD</v>
          </cell>
          <cell r="R118" t="str">
            <v>NORTHAM</v>
          </cell>
          <cell r="S118" t="str">
            <v>6401</v>
          </cell>
        </row>
        <row r="119">
          <cell r="B119" t="str">
            <v>S0016656</v>
          </cell>
          <cell r="C119" t="str">
            <v>SPS 1 CLARKE ST NORTHAM</v>
          </cell>
          <cell r="D119" t="str">
            <v>A- actual</v>
          </cell>
          <cell r="E119" t="str">
            <v>PS- pump station</v>
          </cell>
          <cell r="F119" t="str">
            <v>CLARKE ST</v>
          </cell>
          <cell r="G119" t="str">
            <v>1</v>
          </cell>
          <cell r="H119" t="str">
            <v>W- water corporation</v>
          </cell>
          <cell r="I119" t="str">
            <v>16546</v>
          </cell>
          <cell r="J119" t="str">
            <v>19720228</v>
          </cell>
          <cell r="K119" t="str">
            <v>116.670445248</v>
          </cell>
          <cell r="L119" t="str">
            <v>-31.6475632725</v>
          </cell>
          <cell r="M119" t="str">
            <v>H</v>
          </cell>
          <cell r="N119" t="str">
            <v>9</v>
          </cell>
          <cell r="O119" t="str">
            <v>CLARKE</v>
          </cell>
          <cell r="P119" t="str">
            <v>ST</v>
          </cell>
          <cell r="R119" t="str">
            <v>NORTHAM</v>
          </cell>
          <cell r="S119" t="str">
            <v>6401</v>
          </cell>
        </row>
        <row r="120">
          <cell r="B120" t="str">
            <v>S0016644</v>
          </cell>
          <cell r="C120" t="str">
            <v>SPS MH881 FITZGERALD ST NORTHAM</v>
          </cell>
          <cell r="D120" t="str">
            <v>N- not in use</v>
          </cell>
          <cell r="E120" t="str">
            <v>PS- pump station</v>
          </cell>
          <cell r="F120" t="str">
            <v>FITZGERALD ST</v>
          </cell>
          <cell r="H120" t="str">
            <v>W- water corporation</v>
          </cell>
          <cell r="J120" t="str">
            <v>20030304</v>
          </cell>
          <cell r="K120" t="str">
            <v>116.659562004</v>
          </cell>
          <cell r="L120" t="str">
            <v>-31.6613376206</v>
          </cell>
          <cell r="M120" t="str">
            <v>H</v>
          </cell>
          <cell r="N120" t="str">
            <v>10</v>
          </cell>
          <cell r="O120" t="str">
            <v>POOLE</v>
          </cell>
          <cell r="P120" t="str">
            <v>ST</v>
          </cell>
          <cell r="R120" t="str">
            <v>NORTHAM</v>
          </cell>
          <cell r="S120" t="str">
            <v>6401</v>
          </cell>
        </row>
        <row r="121">
          <cell r="B121" t="str">
            <v>S0044584</v>
          </cell>
          <cell r="C121" t="str">
            <v>VPS MARY ST HALLS HEAD</v>
          </cell>
          <cell r="D121" t="str">
            <v>A- actual</v>
          </cell>
          <cell r="E121" t="str">
            <v>VPS- vacuum pump station</v>
          </cell>
          <cell r="F121" t="str">
            <v>MARY ST</v>
          </cell>
          <cell r="G121" t="str">
            <v>1</v>
          </cell>
          <cell r="H121" t="str">
            <v>W- water corporation</v>
          </cell>
          <cell r="J121" t="str">
            <v>19890101</v>
          </cell>
          <cell r="K121" t="str">
            <v>115.707261954</v>
          </cell>
          <cell r="L121" t="str">
            <v>-32.533698132</v>
          </cell>
          <cell r="M121" t="str">
            <v>H</v>
          </cell>
          <cell r="N121" t="str">
            <v>122</v>
          </cell>
          <cell r="O121" t="str">
            <v>MARY</v>
          </cell>
          <cell r="P121" t="str">
            <v>ST</v>
          </cell>
          <cell r="R121" t="str">
            <v>HALLS HEAD</v>
          </cell>
          <cell r="S121" t="str">
            <v>6210</v>
          </cell>
        </row>
        <row r="122">
          <cell r="B122" t="str">
            <v>S0044598</v>
          </cell>
          <cell r="C122" t="str">
            <v>SPS SILVERTON CRES ERSKINE</v>
          </cell>
          <cell r="D122" t="str">
            <v>A- actual</v>
          </cell>
          <cell r="E122" t="str">
            <v>PS- pump station</v>
          </cell>
          <cell r="F122" t="str">
            <v>SILVERTON CRES</v>
          </cell>
          <cell r="G122" t="str">
            <v>9</v>
          </cell>
          <cell r="H122" t="str">
            <v>W- water corporation</v>
          </cell>
          <cell r="I122" t="str">
            <v>26031</v>
          </cell>
          <cell r="J122" t="str">
            <v>19880101</v>
          </cell>
          <cell r="K122" t="str">
            <v>115.689189193</v>
          </cell>
          <cell r="L122" t="str">
            <v>-32.568038773</v>
          </cell>
          <cell r="M122" t="str">
            <v>H</v>
          </cell>
          <cell r="N122" t="str">
            <v>62</v>
          </cell>
          <cell r="O122" t="str">
            <v>SILVERTON</v>
          </cell>
          <cell r="P122" t="str">
            <v>CR</v>
          </cell>
          <cell r="R122" t="str">
            <v>ERSKINE</v>
          </cell>
          <cell r="S122" t="str">
            <v>6210</v>
          </cell>
        </row>
        <row r="123">
          <cell r="B123" t="str">
            <v>S0044579</v>
          </cell>
          <cell r="C123" t="str">
            <v>SPS JANIS ST HALLS HEAD</v>
          </cell>
          <cell r="D123" t="str">
            <v>A- actual</v>
          </cell>
          <cell r="E123" t="str">
            <v>PS- pump station</v>
          </cell>
          <cell r="F123" t="str">
            <v>JANIS ST</v>
          </cell>
          <cell r="G123" t="str">
            <v>3</v>
          </cell>
          <cell r="H123" t="str">
            <v>W- water corporation</v>
          </cell>
          <cell r="I123" t="str">
            <v>18499</v>
          </cell>
          <cell r="J123" t="str">
            <v>19820101</v>
          </cell>
          <cell r="K123" t="str">
            <v>115.695658168</v>
          </cell>
          <cell r="L123" t="str">
            <v>-32.53044685</v>
          </cell>
          <cell r="M123" t="str">
            <v>H</v>
          </cell>
          <cell r="N123" t="str">
            <v>103</v>
          </cell>
          <cell r="O123" t="str">
            <v>JANIS</v>
          </cell>
          <cell r="P123" t="str">
            <v>ST</v>
          </cell>
          <cell r="R123" t="str">
            <v>HALLS HEAD</v>
          </cell>
          <cell r="S123" t="str">
            <v>6210</v>
          </cell>
        </row>
        <row r="124">
          <cell r="B124" t="str">
            <v>S0044560</v>
          </cell>
          <cell r="C124" t="str">
            <v>SPS ELDERBERRY CIR HALLS HEAD</v>
          </cell>
          <cell r="D124" t="str">
            <v>A- actual</v>
          </cell>
          <cell r="E124" t="str">
            <v>PS- pump station</v>
          </cell>
          <cell r="F124" t="str">
            <v>ELDERBERRY CIR</v>
          </cell>
          <cell r="G124" t="str">
            <v>4</v>
          </cell>
          <cell r="H124" t="str">
            <v>W- water corporation</v>
          </cell>
          <cell r="I124" t="str">
            <v>18501</v>
          </cell>
          <cell r="J124" t="str">
            <v>19840113</v>
          </cell>
          <cell r="K124" t="str">
            <v>115.697742413</v>
          </cell>
          <cell r="L124" t="str">
            <v>-32.548331156</v>
          </cell>
          <cell r="M124" t="str">
            <v>H</v>
          </cell>
          <cell r="N124" t="str">
            <v>22</v>
          </cell>
          <cell r="O124" t="str">
            <v>ELDERBERRY</v>
          </cell>
          <cell r="P124" t="str">
            <v>CIR</v>
          </cell>
          <cell r="R124" t="str">
            <v>HALLS HEAD</v>
          </cell>
          <cell r="S124" t="str">
            <v>6210</v>
          </cell>
        </row>
        <row r="125">
          <cell r="B125" t="str">
            <v>S0044555</v>
          </cell>
          <cell r="C125" t="str">
            <v>SPS DARLEY GR HALLS HEAD</v>
          </cell>
          <cell r="D125" t="str">
            <v>A- actual</v>
          </cell>
          <cell r="E125" t="str">
            <v>PS- pump station</v>
          </cell>
          <cell r="F125" t="str">
            <v>DARLEY GRVE</v>
          </cell>
          <cell r="G125" t="str">
            <v>2</v>
          </cell>
          <cell r="H125" t="str">
            <v>W- water corporation</v>
          </cell>
          <cell r="J125" t="str">
            <v>19810101</v>
          </cell>
          <cell r="K125" t="str">
            <v>115.697749219</v>
          </cell>
          <cell r="L125" t="str">
            <v>-32.544365908</v>
          </cell>
          <cell r="M125" t="str">
            <v>H</v>
          </cell>
          <cell r="N125" t="str">
            <v>39</v>
          </cell>
          <cell r="O125" t="str">
            <v>TENNYSON</v>
          </cell>
          <cell r="P125" t="str">
            <v>AV</v>
          </cell>
          <cell r="R125" t="str">
            <v>HALLS HEAD</v>
          </cell>
          <cell r="S125" t="str">
            <v>6210</v>
          </cell>
        </row>
        <row r="126">
          <cell r="B126" t="str">
            <v>S0044809</v>
          </cell>
          <cell r="C126" t="str">
            <v>SPS WATERSIDE DR DUDLEY PARK</v>
          </cell>
          <cell r="D126" t="str">
            <v>A- actual</v>
          </cell>
          <cell r="E126" t="str">
            <v>PS- pump station</v>
          </cell>
          <cell r="F126" t="str">
            <v>WATERSIDE DR</v>
          </cell>
          <cell r="G126" t="str">
            <v>15</v>
          </cell>
          <cell r="H126" t="str">
            <v>W- water corporation</v>
          </cell>
          <cell r="I126" t="str">
            <v>18514</v>
          </cell>
          <cell r="J126" t="str">
            <v>19870923</v>
          </cell>
          <cell r="K126" t="str">
            <v>115.723300071</v>
          </cell>
          <cell r="L126" t="str">
            <v>-32.548623493</v>
          </cell>
          <cell r="M126" t="str">
            <v>H</v>
          </cell>
          <cell r="N126" t="str">
            <v>36</v>
          </cell>
          <cell r="O126" t="str">
            <v>WATERSIDE</v>
          </cell>
          <cell r="P126" t="str">
            <v>DR</v>
          </cell>
          <cell r="R126" t="str">
            <v>DUDLEY PARK</v>
          </cell>
          <cell r="S126" t="str">
            <v>6210</v>
          </cell>
        </row>
        <row r="127">
          <cell r="B127" t="str">
            <v>S0044778</v>
          </cell>
          <cell r="C127" t="str">
            <v>SPS SOLDIERS COVE TCE DUDLEY PARK</v>
          </cell>
          <cell r="D127" t="str">
            <v>A- actual</v>
          </cell>
          <cell r="E127" t="str">
            <v>PS- pump station</v>
          </cell>
          <cell r="F127" t="str">
            <v>SOLDIERS COVE TCE</v>
          </cell>
          <cell r="G127" t="str">
            <v>2</v>
          </cell>
          <cell r="H127" t="str">
            <v>W- water corporation</v>
          </cell>
          <cell r="I127" t="str">
            <v>18487</v>
          </cell>
          <cell r="J127" t="str">
            <v>19740101</v>
          </cell>
          <cell r="K127" t="str">
            <v>115.722644285</v>
          </cell>
          <cell r="L127" t="str">
            <v>-32.541637509</v>
          </cell>
          <cell r="M127" t="str">
            <v>H</v>
          </cell>
          <cell r="N127" t="str">
            <v>38</v>
          </cell>
          <cell r="O127" t="str">
            <v>SOLDIERS COVE</v>
          </cell>
          <cell r="P127" t="str">
            <v>TCE</v>
          </cell>
          <cell r="R127" t="str">
            <v>DUDLEY PARK</v>
          </cell>
          <cell r="S127" t="str">
            <v>6210</v>
          </cell>
        </row>
        <row r="128">
          <cell r="B128" t="str">
            <v>S0044548</v>
          </cell>
          <cell r="C128" t="str">
            <v>SPS SKYLARK LOOP ERSKINE</v>
          </cell>
          <cell r="D128" t="str">
            <v>A- actual</v>
          </cell>
          <cell r="E128" t="str">
            <v>PS- pump station</v>
          </cell>
          <cell r="F128" t="str">
            <v>BRIDGEWATER</v>
          </cell>
          <cell r="G128" t="str">
            <v>10</v>
          </cell>
          <cell r="H128" t="str">
            <v>W- water corporation</v>
          </cell>
          <cell r="J128" t="str">
            <v>19890911</v>
          </cell>
          <cell r="K128" t="str">
            <v>115.708164996</v>
          </cell>
          <cell r="L128" t="str">
            <v>-32.5552090858</v>
          </cell>
          <cell r="M128" t="str">
            <v>H</v>
          </cell>
          <cell r="N128" t="str">
            <v>44</v>
          </cell>
          <cell r="O128" t="str">
            <v>SKYLARK</v>
          </cell>
          <cell r="P128" t="str">
            <v>LOOP</v>
          </cell>
          <cell r="R128" t="str">
            <v>ERSKINE</v>
          </cell>
          <cell r="S128" t="str">
            <v>6210</v>
          </cell>
        </row>
        <row r="129">
          <cell r="B129" t="str">
            <v>S0044603</v>
          </cell>
          <cell r="C129" t="str">
            <v>TEMPLETONIA PROM WWPS HALLS HEAD</v>
          </cell>
          <cell r="D129" t="str">
            <v>N- not in use</v>
          </cell>
          <cell r="E129" t="str">
            <v>TPS- temporary pump station</v>
          </cell>
          <cell r="F129" t="str">
            <v>TEMPLETONIA PROM</v>
          </cell>
          <cell r="H129" t="str">
            <v>W- water corporation</v>
          </cell>
          <cell r="I129" t="str">
            <v>52213</v>
          </cell>
          <cell r="J129" t="str">
            <v>19940703</v>
          </cell>
          <cell r="K129" t="str">
            <v>115.688746754</v>
          </cell>
          <cell r="L129" t="str">
            <v>-32.55870212</v>
          </cell>
          <cell r="M129" t="str">
            <v>H</v>
          </cell>
          <cell r="N129" t="str">
            <v>22</v>
          </cell>
          <cell r="O129" t="str">
            <v>WINTERSWEET</v>
          </cell>
          <cell r="P129" t="str">
            <v>PL</v>
          </cell>
          <cell r="R129" t="str">
            <v>HALLS HEAD</v>
          </cell>
          <cell r="S129" t="str">
            <v>6210</v>
          </cell>
        </row>
        <row r="130">
          <cell r="B130" t="str">
            <v>S0044591</v>
          </cell>
          <cell r="C130" t="str">
            <v>WWPS MCLARTY RD</v>
          </cell>
          <cell r="D130" t="str">
            <v>N- not in use</v>
          </cell>
          <cell r="E130" t="str">
            <v>PS- pump station</v>
          </cell>
          <cell r="F130" t="str">
            <v>MANDURAH</v>
          </cell>
          <cell r="G130" t="str">
            <v>19</v>
          </cell>
          <cell r="H130" t="str">
            <v>W- water corporation</v>
          </cell>
          <cell r="I130" t="str">
            <v>18492</v>
          </cell>
          <cell r="J130" t="str">
            <v>18000101</v>
          </cell>
          <cell r="K130" t="str">
            <v>115.692553216</v>
          </cell>
          <cell r="L130" t="str">
            <v>-32.541809572</v>
          </cell>
          <cell r="M130" t="str">
            <v>H</v>
          </cell>
          <cell r="N130" t="str">
            <v>20</v>
          </cell>
          <cell r="O130" t="str">
            <v>DARTER</v>
          </cell>
          <cell r="P130" t="str">
            <v>PL</v>
          </cell>
          <cell r="R130" t="str">
            <v>HALLS HEAD</v>
          </cell>
          <cell r="S130" t="str">
            <v>6210</v>
          </cell>
        </row>
        <row r="131">
          <cell r="B131" t="str">
            <v>S0044574</v>
          </cell>
          <cell r="C131" t="str">
            <v>SPS INFLUENT OLD HALLS HEAD</v>
          </cell>
          <cell r="D131" t="str">
            <v>A- actual</v>
          </cell>
          <cell r="E131" t="str">
            <v>PS- pump station</v>
          </cell>
          <cell r="F131" t="str">
            <v>INFLUENT</v>
          </cell>
          <cell r="H131" t="str">
            <v>W- water corporation</v>
          </cell>
          <cell r="J131" t="str">
            <v>19941005</v>
          </cell>
          <cell r="K131" t="str">
            <v>115.691472047</v>
          </cell>
          <cell r="L131" t="str">
            <v>-32.542943289</v>
          </cell>
          <cell r="M131" t="str">
            <v>H</v>
          </cell>
          <cell r="N131" t="str">
            <v>110</v>
          </cell>
          <cell r="O131" t="str">
            <v>PEELWOOD</v>
          </cell>
          <cell r="P131" t="str">
            <v>PDE</v>
          </cell>
          <cell r="R131" t="str">
            <v>HALLS HEAD</v>
          </cell>
          <cell r="S131" t="str">
            <v>6210</v>
          </cell>
        </row>
        <row r="132">
          <cell r="B132" t="str">
            <v>S0044966</v>
          </cell>
          <cell r="C132" t="str">
            <v>SPS FORREST ST PINJARRA</v>
          </cell>
          <cell r="D132" t="str">
            <v>A- actual</v>
          </cell>
          <cell r="E132" t="str">
            <v>PS- pump station</v>
          </cell>
          <cell r="F132" t="str">
            <v>FORREST ST</v>
          </cell>
          <cell r="G132" t="str">
            <v>1</v>
          </cell>
          <cell r="H132" t="str">
            <v>W- water corporation</v>
          </cell>
          <cell r="I132" t="str">
            <v>18469</v>
          </cell>
          <cell r="J132" t="str">
            <v>19720101</v>
          </cell>
          <cell r="K132" t="str">
            <v>115.87354989</v>
          </cell>
          <cell r="L132" t="str">
            <v>-32.62604597</v>
          </cell>
          <cell r="M132" t="str">
            <v>L</v>
          </cell>
          <cell r="N132" t="str">
            <v>74</v>
          </cell>
          <cell r="O132" t="str">
            <v>FORREST</v>
          </cell>
          <cell r="P132" t="str">
            <v>ST</v>
          </cell>
          <cell r="R132" t="str">
            <v>PINJARRA</v>
          </cell>
          <cell r="S132" t="str">
            <v>6208</v>
          </cell>
        </row>
        <row r="133">
          <cell r="B133" t="str">
            <v>S0044976</v>
          </cell>
          <cell r="C133" t="str">
            <v>SPS SALTER ST PINJARRA</v>
          </cell>
          <cell r="D133" t="str">
            <v>A- actual</v>
          </cell>
          <cell r="E133" t="str">
            <v>PS- pump station</v>
          </cell>
          <cell r="F133" t="str">
            <v>SALTER ST</v>
          </cell>
          <cell r="G133" t="str">
            <v>5</v>
          </cell>
          <cell r="H133" t="str">
            <v>W- water corporation</v>
          </cell>
          <cell r="I133" t="str">
            <v>18473</v>
          </cell>
          <cell r="J133" t="str">
            <v>19800818</v>
          </cell>
          <cell r="K133" t="str">
            <v>115.877270517</v>
          </cell>
          <cell r="L133" t="str">
            <v>-32.6290478601</v>
          </cell>
          <cell r="M133" t="str">
            <v>H</v>
          </cell>
          <cell r="N133" t="str">
            <v>1</v>
          </cell>
          <cell r="O133" t="str">
            <v>SALTER</v>
          </cell>
          <cell r="P133" t="str">
            <v>ST</v>
          </cell>
          <cell r="R133" t="str">
            <v>PINJARRA</v>
          </cell>
          <cell r="S133" t="str">
            <v>6208</v>
          </cell>
        </row>
        <row r="134">
          <cell r="B134" t="str">
            <v>S0044957</v>
          </cell>
          <cell r="C134" t="str">
            <v>SPS APRICOT ST PINJARRA</v>
          </cell>
          <cell r="D134" t="str">
            <v>A- actual</v>
          </cell>
          <cell r="E134" t="str">
            <v>PS- pump station</v>
          </cell>
          <cell r="F134" t="str">
            <v>APRICOT ST</v>
          </cell>
          <cell r="G134" t="str">
            <v>6</v>
          </cell>
          <cell r="H134" t="str">
            <v>W- water corporation</v>
          </cell>
          <cell r="I134" t="str">
            <v>18474</v>
          </cell>
          <cell r="J134" t="str">
            <v>19800804</v>
          </cell>
          <cell r="K134" t="str">
            <v>115.876587421</v>
          </cell>
          <cell r="L134" t="str">
            <v>-32.6354702531</v>
          </cell>
          <cell r="M134" t="str">
            <v>H</v>
          </cell>
          <cell r="N134" t="str">
            <v>1</v>
          </cell>
          <cell r="O134" t="str">
            <v>APRICOT</v>
          </cell>
          <cell r="P134" t="str">
            <v>ST</v>
          </cell>
          <cell r="R134" t="str">
            <v>PINJARRA</v>
          </cell>
          <cell r="S134" t="str">
            <v>6208</v>
          </cell>
        </row>
        <row r="135">
          <cell r="B135" t="str">
            <v>S0045016</v>
          </cell>
          <cell r="C135" t="str">
            <v>SPS WILDERNESS DR NTH DAWESVILLE</v>
          </cell>
          <cell r="D135" t="str">
            <v>A- actual</v>
          </cell>
          <cell r="E135" t="str">
            <v>PS- pump station</v>
          </cell>
          <cell r="F135" t="str">
            <v>WILDERNESS DR NORTH</v>
          </cell>
          <cell r="G135" t="str">
            <v>1</v>
          </cell>
          <cell r="H135" t="str">
            <v>W- water corporation</v>
          </cell>
          <cell r="I135" t="str">
            <v>18505</v>
          </cell>
          <cell r="J135" t="str">
            <v>19820101</v>
          </cell>
          <cell r="K135" t="str">
            <v>115.640441187</v>
          </cell>
          <cell r="L135" t="str">
            <v>-32.638796144</v>
          </cell>
          <cell r="M135" t="str">
            <v>H</v>
          </cell>
          <cell r="N135" t="str">
            <v>2</v>
          </cell>
          <cell r="O135" t="str">
            <v>WILDERNESS</v>
          </cell>
          <cell r="P135" t="str">
            <v>DR</v>
          </cell>
          <cell r="R135" t="str">
            <v>DAWESVILLE</v>
          </cell>
          <cell r="S135" t="str">
            <v>6211</v>
          </cell>
        </row>
        <row r="136">
          <cell r="B136" t="str">
            <v>S0045012</v>
          </cell>
          <cell r="C136" t="str">
            <v>SPS RECREATION RD DAWESVILLE</v>
          </cell>
          <cell r="D136" t="str">
            <v>A- actual</v>
          </cell>
          <cell r="E136" t="str">
            <v>PS- pump station</v>
          </cell>
          <cell r="F136" t="str">
            <v>RECREATION RD TEMP WWPS</v>
          </cell>
          <cell r="H136" t="str">
            <v>W- water corporation</v>
          </cell>
          <cell r="I136" t="str">
            <v>48475</v>
          </cell>
          <cell r="J136" t="str">
            <v>19990305</v>
          </cell>
          <cell r="K136" t="str">
            <v>115.639950616</v>
          </cell>
          <cell r="L136" t="str">
            <v>-32.633418232</v>
          </cell>
          <cell r="M136" t="str">
            <v>H</v>
          </cell>
          <cell r="N136" t="str">
            <v>12</v>
          </cell>
          <cell r="O136" t="str">
            <v>DAWESVILLE</v>
          </cell>
          <cell r="P136" t="str">
            <v>RD</v>
          </cell>
          <cell r="R136" t="str">
            <v>DAWESVILLE</v>
          </cell>
          <cell r="S136" t="str">
            <v>6211</v>
          </cell>
        </row>
        <row r="137">
          <cell r="B137" t="str">
            <v>S0044735</v>
          </cell>
          <cell r="C137" t="str">
            <v>SPS MISSISSIPPI DR GREENFIELDS</v>
          </cell>
          <cell r="D137" t="str">
            <v>A- actual</v>
          </cell>
          <cell r="E137" t="str">
            <v>PS- pump station</v>
          </cell>
          <cell r="F137" t="str">
            <v>MISSISSIPPI DR</v>
          </cell>
          <cell r="G137" t="str">
            <v>14</v>
          </cell>
          <cell r="H137" t="str">
            <v>W- water corporation</v>
          </cell>
          <cell r="I137" t="str">
            <v>18495</v>
          </cell>
          <cell r="J137" t="str">
            <v>19820813</v>
          </cell>
          <cell r="K137" t="str">
            <v>115.748114311</v>
          </cell>
          <cell r="L137" t="str">
            <v>-32.533758644</v>
          </cell>
          <cell r="M137" t="str">
            <v>H</v>
          </cell>
          <cell r="N137" t="str">
            <v>36</v>
          </cell>
          <cell r="O137" t="str">
            <v>MISSISSIPPI</v>
          </cell>
          <cell r="P137" t="str">
            <v>DR</v>
          </cell>
          <cell r="R137" t="str">
            <v>GREENFIELDS</v>
          </cell>
          <cell r="S137" t="str">
            <v>6210</v>
          </cell>
        </row>
        <row r="138">
          <cell r="D138" t="str">
            <v>N- not in use</v>
          </cell>
          <cell r="E138" t="str">
            <v>PS- pump station</v>
          </cell>
          <cell r="F138" t="str">
            <v>FORUM SHOPPING CENTRE</v>
          </cell>
          <cell r="G138" t="str">
            <v>23</v>
          </cell>
          <cell r="H138" t="str">
            <v>W- water corporation</v>
          </cell>
          <cell r="J138" t="str">
            <v>19841101</v>
          </cell>
          <cell r="K138" t="str">
            <v>115.744724767</v>
          </cell>
          <cell r="L138" t="str">
            <v>-32.536150148</v>
          </cell>
          <cell r="M138" t="str">
            <v>L</v>
          </cell>
          <cell r="N138" t="str">
            <v>2729</v>
          </cell>
          <cell r="O138" t="str">
            <v>MANDURAH</v>
          </cell>
          <cell r="P138" t="str">
            <v>RD</v>
          </cell>
          <cell r="R138" t="str">
            <v>MANDURAH</v>
          </cell>
          <cell r="S138" t="str">
            <v>6210</v>
          </cell>
        </row>
        <row r="139">
          <cell r="B139" t="str">
            <v>S0044692</v>
          </cell>
          <cell r="C139" t="str">
            <v>SPS BEACHAM ST COODANUP</v>
          </cell>
          <cell r="D139" t="str">
            <v>A- actual</v>
          </cell>
          <cell r="E139" t="str">
            <v>PS- pump station</v>
          </cell>
          <cell r="F139" t="str">
            <v>BEACHAM ST</v>
          </cell>
          <cell r="G139" t="str">
            <v>25</v>
          </cell>
          <cell r="H139" t="str">
            <v>W- water corporation</v>
          </cell>
          <cell r="J139" t="str">
            <v>19870914</v>
          </cell>
          <cell r="K139" t="str">
            <v>115.751419049</v>
          </cell>
          <cell r="L139" t="str">
            <v>-32.563038821</v>
          </cell>
          <cell r="M139" t="str">
            <v>H</v>
          </cell>
          <cell r="N139" t="str">
            <v>82</v>
          </cell>
          <cell r="O139" t="str">
            <v>BEACHAM</v>
          </cell>
          <cell r="P139" t="str">
            <v>ST</v>
          </cell>
          <cell r="R139" t="str">
            <v>COODANUP</v>
          </cell>
          <cell r="S139" t="str">
            <v>6210</v>
          </cell>
        </row>
        <row r="140">
          <cell r="B140" t="str">
            <v>S0044800</v>
          </cell>
          <cell r="C140" t="str">
            <v>SPS WANJEEP ST NTH COODANUP</v>
          </cell>
          <cell r="D140" t="str">
            <v>A- actual</v>
          </cell>
          <cell r="E140" t="str">
            <v>PS- pump station</v>
          </cell>
          <cell r="F140" t="str">
            <v>WANJEEP RD NTH</v>
          </cell>
          <cell r="G140" t="str">
            <v>35</v>
          </cell>
          <cell r="H140" t="str">
            <v>W- water corporation</v>
          </cell>
          <cell r="I140" t="str">
            <v>18506</v>
          </cell>
          <cell r="J140" t="str">
            <v>19880101</v>
          </cell>
          <cell r="K140" t="str">
            <v>115.755019187</v>
          </cell>
          <cell r="L140" t="str">
            <v>-32.544626136</v>
          </cell>
          <cell r="M140" t="str">
            <v>H</v>
          </cell>
          <cell r="N140" t="str">
            <v>155</v>
          </cell>
          <cell r="O140" t="str">
            <v>WANJEEP</v>
          </cell>
          <cell r="P140" t="str">
            <v>ST</v>
          </cell>
          <cell r="R140" t="str">
            <v>COODANUP</v>
          </cell>
          <cell r="S140" t="str">
            <v>6210</v>
          </cell>
        </row>
        <row r="141">
          <cell r="B141" t="str">
            <v>S0044805</v>
          </cell>
          <cell r="C141" t="str">
            <v>SPS WANJEEP ST STH DUDLEY PARK</v>
          </cell>
          <cell r="D141" t="str">
            <v>D- dead</v>
          </cell>
          <cell r="E141" t="str">
            <v>TPS- temporary pump station</v>
          </cell>
          <cell r="F141" t="str">
            <v>WANJEEP RD STH</v>
          </cell>
          <cell r="H141" t="str">
            <v>W- water corporation</v>
          </cell>
          <cell r="I141" t="str">
            <v>22562</v>
          </cell>
          <cell r="J141" t="str">
            <v>19900828</v>
          </cell>
          <cell r="K141" t="str">
            <v>115.749006995</v>
          </cell>
          <cell r="L141" t="str">
            <v>-32.549331367</v>
          </cell>
          <cell r="M141" t="str">
            <v>H</v>
          </cell>
          <cell r="N141" t="str">
            <v>6</v>
          </cell>
          <cell r="O141" t="str">
            <v>CUE</v>
          </cell>
          <cell r="P141" t="str">
            <v>PL</v>
          </cell>
          <cell r="R141" t="str">
            <v>DUDLEY PARK</v>
          </cell>
          <cell r="S141" t="str">
            <v>6210</v>
          </cell>
        </row>
        <row r="142">
          <cell r="B142" t="str">
            <v>S0044787</v>
          </cell>
          <cell r="C142" t="str">
            <v>SPS OLD PINJARRA RD GREENFIELDS</v>
          </cell>
          <cell r="D142" t="str">
            <v>A- actual</v>
          </cell>
          <cell r="E142" t="str">
            <v>PS- pump station</v>
          </cell>
          <cell r="F142" t="str">
            <v>OLD PINJARRA RD</v>
          </cell>
          <cell r="G142" t="str">
            <v>49</v>
          </cell>
          <cell r="H142" t="str">
            <v>W- water corporation</v>
          </cell>
          <cell r="I142" t="str">
            <v>22564</v>
          </cell>
          <cell r="J142" t="str">
            <v>19900313</v>
          </cell>
          <cell r="K142" t="str">
            <v>115.763633607</v>
          </cell>
          <cell r="L142" t="str">
            <v>-32.538821196</v>
          </cell>
          <cell r="M142" t="str">
            <v>H</v>
          </cell>
          <cell r="N142" t="str">
            <v>18</v>
          </cell>
          <cell r="O142" t="str">
            <v>OLD PINJARRA</v>
          </cell>
          <cell r="P142" t="str">
            <v>RD</v>
          </cell>
          <cell r="R142" t="str">
            <v>GREENFIELDS</v>
          </cell>
          <cell r="S142" t="str">
            <v>6210</v>
          </cell>
        </row>
        <row r="143">
          <cell r="B143" t="str">
            <v>S0044746</v>
          </cell>
          <cell r="C143" t="str">
            <v>SPS NAIRN RD COODANUP</v>
          </cell>
          <cell r="D143" t="str">
            <v>A- actual</v>
          </cell>
          <cell r="E143" t="str">
            <v>PS- pump station</v>
          </cell>
          <cell r="F143" t="str">
            <v>NAIRN RD</v>
          </cell>
          <cell r="G143" t="str">
            <v>40</v>
          </cell>
          <cell r="H143" t="str">
            <v>W- water corporation</v>
          </cell>
          <cell r="I143" t="str">
            <v>18513</v>
          </cell>
          <cell r="J143" t="str">
            <v>19870101</v>
          </cell>
          <cell r="K143" t="str">
            <v>115.762923419</v>
          </cell>
          <cell r="L143" t="str">
            <v>-32.567863617</v>
          </cell>
          <cell r="M143" t="str">
            <v>H</v>
          </cell>
          <cell r="N143" t="str">
            <v>28</v>
          </cell>
          <cell r="O143" t="str">
            <v>NAIRN</v>
          </cell>
          <cell r="P143" t="str">
            <v>RD</v>
          </cell>
          <cell r="R143" t="str">
            <v>COODANUP</v>
          </cell>
          <cell r="S143" t="str">
            <v>6210</v>
          </cell>
        </row>
        <row r="144">
          <cell r="B144" t="str">
            <v>S0045055</v>
          </cell>
          <cell r="C144" t="str">
            <v>SPS MOYUP WY SOUTH YUNDERUP</v>
          </cell>
          <cell r="D144" t="str">
            <v>A- actual</v>
          </cell>
          <cell r="E144" t="str">
            <v>PS- pump station</v>
          </cell>
          <cell r="F144" t="str">
            <v>MOYUP WY</v>
          </cell>
          <cell r="G144" t="str">
            <v>2</v>
          </cell>
          <cell r="H144" t="str">
            <v>W- water corporation</v>
          </cell>
          <cell r="I144" t="str">
            <v>18519</v>
          </cell>
          <cell r="J144" t="str">
            <v>19850101</v>
          </cell>
          <cell r="K144" t="str">
            <v>115.76961691</v>
          </cell>
          <cell r="L144" t="str">
            <v>-32.58844966</v>
          </cell>
          <cell r="M144" t="str">
            <v>H</v>
          </cell>
          <cell r="N144" t="str">
            <v>20</v>
          </cell>
          <cell r="O144" t="str">
            <v>WARMA</v>
          </cell>
          <cell r="P144" t="str">
            <v>WAY</v>
          </cell>
          <cell r="R144" t="str">
            <v>SOUTH YUNDERUP</v>
          </cell>
          <cell r="S144" t="str">
            <v>6208</v>
          </cell>
        </row>
        <row r="145">
          <cell r="B145" t="str">
            <v>S0044796</v>
          </cell>
          <cell r="C145" t="str">
            <v>SPS TUART RD GREENFIELDS</v>
          </cell>
          <cell r="D145" t="str">
            <v>A- actual</v>
          </cell>
          <cell r="E145" t="str">
            <v>PS- pump station</v>
          </cell>
          <cell r="F145" t="str">
            <v>TUART RD</v>
          </cell>
          <cell r="G145" t="str">
            <v>16</v>
          </cell>
          <cell r="H145" t="str">
            <v>W- water corporation</v>
          </cell>
          <cell r="J145" t="str">
            <v>19841011</v>
          </cell>
          <cell r="K145" t="str">
            <v>115.771837319</v>
          </cell>
          <cell r="L145" t="str">
            <v>-32.537434051</v>
          </cell>
          <cell r="M145" t="str">
            <v>H</v>
          </cell>
          <cell r="N145" t="str">
            <v>2</v>
          </cell>
          <cell r="O145" t="str">
            <v>TUART</v>
          </cell>
          <cell r="P145" t="str">
            <v>RD</v>
          </cell>
          <cell r="R145" t="str">
            <v>GREENFIELDS</v>
          </cell>
          <cell r="S145" t="str">
            <v>6210</v>
          </cell>
        </row>
        <row r="146">
          <cell r="D146" t="str">
            <v>A- actual</v>
          </cell>
          <cell r="E146" t="str">
            <v>PS- pump station</v>
          </cell>
          <cell r="F146" t="str">
            <v>RIVERGLADES CARAVAN PARK</v>
          </cell>
          <cell r="H146" t="str">
            <v>P- private</v>
          </cell>
          <cell r="J146" t="str">
            <v>19000101</v>
          </cell>
          <cell r="K146" t="str">
            <v>115.767849355</v>
          </cell>
          <cell r="L146" t="str">
            <v>-32.544973072</v>
          </cell>
          <cell r="M146" t="str">
            <v>H</v>
          </cell>
          <cell r="N146" t="str">
            <v>490</v>
          </cell>
          <cell r="O146" t="str">
            <v>PINJARRA</v>
          </cell>
          <cell r="P146" t="str">
            <v>RD</v>
          </cell>
          <cell r="R146" t="str">
            <v>FURNISSDALE</v>
          </cell>
          <cell r="S146" t="str">
            <v>6209</v>
          </cell>
        </row>
        <row r="147">
          <cell r="D147" t="str">
            <v>A- actual</v>
          </cell>
          <cell r="E147" t="str">
            <v>PS- pump station</v>
          </cell>
          <cell r="F147" t="str">
            <v>MANDURAH HOSPITAL</v>
          </cell>
          <cell r="H147" t="str">
            <v>P- private</v>
          </cell>
          <cell r="I147" t="str">
            <v>88458</v>
          </cell>
          <cell r="J147" t="str">
            <v>19000101</v>
          </cell>
          <cell r="K147" t="str">
            <v>115.764341667</v>
          </cell>
          <cell r="L147" t="str">
            <v>-32.5330166443</v>
          </cell>
          <cell r="M147" t="str">
            <v>H</v>
          </cell>
          <cell r="N147" t="str">
            <v>110</v>
          </cell>
          <cell r="O147" t="str">
            <v>LAKES</v>
          </cell>
          <cell r="P147" t="str">
            <v>RD</v>
          </cell>
          <cell r="R147" t="str">
            <v>GREENFIELDS</v>
          </cell>
          <cell r="S147" t="str">
            <v>6210</v>
          </cell>
        </row>
        <row r="148">
          <cell r="B148" t="str">
            <v>S0045078</v>
          </cell>
          <cell r="C148" t="str">
            <v>SPS WELLYA CR SOUTH YUNDERUP</v>
          </cell>
          <cell r="D148" t="str">
            <v>A- actual</v>
          </cell>
          <cell r="E148" t="str">
            <v>PS- pump station</v>
          </cell>
          <cell r="F148" t="str">
            <v>WELLYA CR</v>
          </cell>
          <cell r="G148" t="str">
            <v>4</v>
          </cell>
          <cell r="H148" t="str">
            <v>W- water corporation</v>
          </cell>
          <cell r="I148" t="str">
            <v>18521</v>
          </cell>
          <cell r="J148" t="str">
            <v>19960212</v>
          </cell>
          <cell r="K148" t="str">
            <v>115.774666298</v>
          </cell>
          <cell r="L148" t="str">
            <v>-32.589584594</v>
          </cell>
          <cell r="M148" t="str">
            <v>H</v>
          </cell>
          <cell r="N148" t="str">
            <v>48</v>
          </cell>
          <cell r="O148" t="str">
            <v>WELLYA</v>
          </cell>
          <cell r="P148" t="str">
            <v>CR</v>
          </cell>
          <cell r="R148" t="str">
            <v>SOUTH YUNDERUP</v>
          </cell>
          <cell r="S148" t="str">
            <v>6208</v>
          </cell>
        </row>
        <row r="149">
          <cell r="B149" t="str">
            <v>S0045034</v>
          </cell>
          <cell r="C149" t="str">
            <v>SPS CULEENUP RD NORTH YUNDERUP</v>
          </cell>
          <cell r="D149" t="str">
            <v>A- actual</v>
          </cell>
          <cell r="E149" t="str">
            <v>PS- pump station</v>
          </cell>
          <cell r="F149" t="str">
            <v>CULEENUP RD</v>
          </cell>
          <cell r="G149" t="str">
            <v>8</v>
          </cell>
          <cell r="H149" t="str">
            <v>W- water corporation</v>
          </cell>
          <cell r="I149" t="str">
            <v>19742</v>
          </cell>
          <cell r="J149" t="str">
            <v>19870101</v>
          </cell>
          <cell r="K149" t="str">
            <v>115.79107504</v>
          </cell>
          <cell r="L149" t="str">
            <v>-32.5790878686</v>
          </cell>
          <cell r="M149" t="str">
            <v>H</v>
          </cell>
          <cell r="N149" t="str">
            <v>69</v>
          </cell>
          <cell r="O149" t="str">
            <v>CULEENUP</v>
          </cell>
          <cell r="P149" t="str">
            <v>RD</v>
          </cell>
          <cell r="R149" t="str">
            <v>NORTH YUNDERUP</v>
          </cell>
          <cell r="S149" t="str">
            <v>6208</v>
          </cell>
        </row>
        <row r="150">
          <cell r="B150" t="str">
            <v>S0045063</v>
          </cell>
          <cell r="C150" t="str">
            <v>SPS SOUTH YUNDERUP RD SOUTH YUNDERUP</v>
          </cell>
          <cell r="D150" t="str">
            <v>A- actual</v>
          </cell>
          <cell r="E150" t="str">
            <v>PS- pump station</v>
          </cell>
          <cell r="F150" t="str">
            <v>SOUTH YUNDERUP RD WWPS</v>
          </cell>
          <cell r="G150" t="str">
            <v>1</v>
          </cell>
          <cell r="H150" t="str">
            <v>W- water corporation</v>
          </cell>
          <cell r="I150" t="str">
            <v>18518</v>
          </cell>
          <cell r="J150" t="str">
            <v>19840925</v>
          </cell>
          <cell r="K150" t="str">
            <v>115.784778025</v>
          </cell>
          <cell r="L150" t="str">
            <v>-32.585452827</v>
          </cell>
          <cell r="M150" t="str">
            <v>H</v>
          </cell>
          <cell r="N150" t="str">
            <v>59</v>
          </cell>
          <cell r="O150" t="str">
            <v>SOUTH YUNDERUP</v>
          </cell>
          <cell r="P150" t="str">
            <v>RD</v>
          </cell>
          <cell r="R150" t="str">
            <v>SOUTH YUNDERUP</v>
          </cell>
          <cell r="S150" t="str">
            <v>6208</v>
          </cell>
        </row>
        <row r="151">
          <cell r="B151" t="str">
            <v>S0045039</v>
          </cell>
          <cell r="C151" t="str">
            <v>SPS DELTA DR SOUTH YUNDERUP</v>
          </cell>
          <cell r="D151" t="str">
            <v>A- actual</v>
          </cell>
          <cell r="E151" t="str">
            <v>PS- pump station</v>
          </cell>
          <cell r="F151" t="str">
            <v>DELTA DR</v>
          </cell>
          <cell r="G151" t="str">
            <v>6</v>
          </cell>
          <cell r="H151" t="str">
            <v>W- water corporation</v>
          </cell>
          <cell r="I151" t="str">
            <v>18524</v>
          </cell>
          <cell r="J151" t="str">
            <v>19840101</v>
          </cell>
          <cell r="K151" t="str">
            <v>115.802879942</v>
          </cell>
          <cell r="L151" t="str">
            <v>-32.580733896</v>
          </cell>
          <cell r="M151" t="str">
            <v>L</v>
          </cell>
          <cell r="N151" t="str">
            <v>1969</v>
          </cell>
          <cell r="O151" t="str">
            <v>DELTA</v>
          </cell>
          <cell r="P151" t="str">
            <v>DR</v>
          </cell>
          <cell r="R151" t="str">
            <v>SOUTH YUNDERUP</v>
          </cell>
          <cell r="S151" t="str">
            <v>6208</v>
          </cell>
        </row>
        <row r="152">
          <cell r="B152" t="str">
            <v>S0045068</v>
          </cell>
          <cell r="C152" t="str">
            <v>SPS SUNLAND AV SOUTH YUNDERUP</v>
          </cell>
          <cell r="D152" t="str">
            <v>A- actual</v>
          </cell>
          <cell r="E152" t="str">
            <v>PS- pump station</v>
          </cell>
          <cell r="F152" t="str">
            <v>SUNLAND AVE</v>
          </cell>
          <cell r="G152" t="str">
            <v>5</v>
          </cell>
          <cell r="H152" t="str">
            <v>W- water corporation</v>
          </cell>
          <cell r="I152" t="str">
            <v>18523</v>
          </cell>
          <cell r="J152" t="str">
            <v>19840101</v>
          </cell>
          <cell r="K152" t="str">
            <v>115.791776824</v>
          </cell>
          <cell r="L152" t="str">
            <v>-32.584262885</v>
          </cell>
          <cell r="M152" t="str">
            <v>L</v>
          </cell>
          <cell r="N152" t="str">
            <v>1970</v>
          </cell>
          <cell r="O152" t="str">
            <v>SUN LAND</v>
          </cell>
          <cell r="P152" t="str">
            <v>AV</v>
          </cell>
          <cell r="R152" t="str">
            <v>SOUTH YUNDERUP</v>
          </cell>
          <cell r="S152" t="str">
            <v>6208</v>
          </cell>
        </row>
        <row r="153">
          <cell r="B153" t="str">
            <v>S0045073</v>
          </cell>
          <cell r="C153" t="str">
            <v>SPS TATHAM RD SOUTH YUNDERUP</v>
          </cell>
          <cell r="D153" t="str">
            <v>A- actual</v>
          </cell>
          <cell r="E153" t="str">
            <v>PS- pump station</v>
          </cell>
          <cell r="F153" t="str">
            <v>TATHAM RD WWPS</v>
          </cell>
          <cell r="G153" t="str">
            <v>7</v>
          </cell>
          <cell r="H153" t="str">
            <v>W- water corporation</v>
          </cell>
          <cell r="I153" t="str">
            <v>18522</v>
          </cell>
          <cell r="J153" t="str">
            <v>19840101</v>
          </cell>
          <cell r="K153" t="str">
            <v>115.812201597</v>
          </cell>
          <cell r="L153" t="str">
            <v>-32.57868517</v>
          </cell>
          <cell r="M153" t="str">
            <v>L</v>
          </cell>
          <cell r="N153" t="str">
            <v>1971</v>
          </cell>
          <cell r="O153" t="str">
            <v>TATHAM</v>
          </cell>
          <cell r="P153" t="str">
            <v>RD</v>
          </cell>
          <cell r="R153" t="str">
            <v>SOUTH YUNDERUP</v>
          </cell>
          <cell r="S153" t="str">
            <v>6208</v>
          </cell>
        </row>
        <row r="154">
          <cell r="D154" t="str">
            <v>N- not in use</v>
          </cell>
          <cell r="E154" t="str">
            <v>PS- pump station</v>
          </cell>
          <cell r="F154" t="str">
            <v>PINJARRA</v>
          </cell>
          <cell r="G154" t="str">
            <v>4</v>
          </cell>
          <cell r="H154" t="str">
            <v>W- water corporation</v>
          </cell>
          <cell r="J154" t="str">
            <v>19790101</v>
          </cell>
          <cell r="K154" t="str">
            <v>115.89331471</v>
          </cell>
          <cell r="L154" t="str">
            <v>-32.60206242</v>
          </cell>
          <cell r="M154" t="str">
            <v>H</v>
          </cell>
          <cell r="N154" t="str">
            <v>6</v>
          </cell>
          <cell r="O154" t="str">
            <v>HOVEA</v>
          </cell>
          <cell r="P154" t="str">
            <v>LANE</v>
          </cell>
          <cell r="R154" t="str">
            <v>PINJARRA</v>
          </cell>
          <cell r="S154" t="str">
            <v>6208</v>
          </cell>
        </row>
        <row r="155">
          <cell r="B155" t="str">
            <v>S0044981</v>
          </cell>
          <cell r="C155" t="str">
            <v>SPS ULDINA PL PINJARRA</v>
          </cell>
          <cell r="D155" t="str">
            <v>A- actual</v>
          </cell>
          <cell r="E155" t="str">
            <v>PS- pump station</v>
          </cell>
          <cell r="F155" t="str">
            <v>ULDINA PL</v>
          </cell>
          <cell r="G155" t="str">
            <v>2</v>
          </cell>
          <cell r="H155" t="str">
            <v>W- water corporation</v>
          </cell>
          <cell r="I155" t="str">
            <v>18470</v>
          </cell>
          <cell r="J155" t="str">
            <v>19790101</v>
          </cell>
          <cell r="K155" t="str">
            <v>115.89402211</v>
          </cell>
          <cell r="L155" t="str">
            <v>-32.607636742</v>
          </cell>
          <cell r="M155" t="str">
            <v>L</v>
          </cell>
          <cell r="N155" t="str">
            <v>356</v>
          </cell>
          <cell r="O155" t="str">
            <v>ULDINA</v>
          </cell>
          <cell r="P155" t="str">
            <v>PL</v>
          </cell>
          <cell r="R155" t="str">
            <v>PINJARRA</v>
          </cell>
          <cell r="S155" t="str">
            <v>6208</v>
          </cell>
        </row>
        <row r="156">
          <cell r="B156" t="str">
            <v>S0044971</v>
          </cell>
          <cell r="C156" t="str">
            <v>SPS ISANDRA CL PINJARRA</v>
          </cell>
          <cell r="D156" t="str">
            <v>A- actual</v>
          </cell>
          <cell r="E156" t="str">
            <v>PS- pump station</v>
          </cell>
          <cell r="F156" t="str">
            <v>ISANDRA CL</v>
          </cell>
          <cell r="G156" t="str">
            <v>3</v>
          </cell>
          <cell r="H156" t="str">
            <v>W- water corporation</v>
          </cell>
          <cell r="I156" t="str">
            <v>18471</v>
          </cell>
          <cell r="J156" t="str">
            <v>19790101</v>
          </cell>
          <cell r="K156" t="str">
            <v>115.895922736</v>
          </cell>
          <cell r="L156" t="str">
            <v>-32.599546331</v>
          </cell>
          <cell r="M156" t="str">
            <v>L</v>
          </cell>
          <cell r="N156" t="str">
            <v>249</v>
          </cell>
          <cell r="O156" t="str">
            <v>ISANDRA</v>
          </cell>
          <cell r="P156" t="str">
            <v>CL</v>
          </cell>
          <cell r="R156" t="str">
            <v>PINJARRA</v>
          </cell>
          <cell r="S156" t="str">
            <v>6208</v>
          </cell>
        </row>
        <row r="157">
          <cell r="B157" t="str">
            <v>S0044710</v>
          </cell>
          <cell r="C157" t="str">
            <v>SPS FOURTH AVE MANDURAH</v>
          </cell>
          <cell r="D157" t="str">
            <v>A- actual</v>
          </cell>
          <cell r="E157" t="str">
            <v>PS- pump station</v>
          </cell>
          <cell r="F157" t="str">
            <v>FOURTH AVE</v>
          </cell>
          <cell r="G157" t="str">
            <v>15</v>
          </cell>
          <cell r="H157" t="str">
            <v>W- water corporation</v>
          </cell>
          <cell r="I157" t="str">
            <v>18496</v>
          </cell>
          <cell r="J157" t="str">
            <v>19810707</v>
          </cell>
          <cell r="K157" t="str">
            <v>115.740407793</v>
          </cell>
          <cell r="L157" t="str">
            <v>-32.540314599</v>
          </cell>
          <cell r="M157" t="str">
            <v>H</v>
          </cell>
          <cell r="N157" t="str">
            <v>22</v>
          </cell>
          <cell r="O157" t="str">
            <v>FOURTH</v>
          </cell>
          <cell r="P157" t="str">
            <v>AV</v>
          </cell>
          <cell r="R157" t="str">
            <v>MANDURAH</v>
          </cell>
          <cell r="S157" t="str">
            <v>6210</v>
          </cell>
        </row>
        <row r="158">
          <cell r="B158" t="str">
            <v>S0044700</v>
          </cell>
          <cell r="C158" t="str">
            <v>SPS COOLIBAH AVE DUDLEY PARK</v>
          </cell>
          <cell r="D158" t="str">
            <v>A- actual</v>
          </cell>
          <cell r="E158" t="str">
            <v>PS- pump station</v>
          </cell>
          <cell r="F158" t="str">
            <v>COOLIBAH AVE</v>
          </cell>
          <cell r="G158" t="str">
            <v>12</v>
          </cell>
          <cell r="H158" t="str">
            <v>W- water corporation</v>
          </cell>
          <cell r="I158" t="str">
            <v>18494</v>
          </cell>
          <cell r="J158" t="str">
            <v>19790515</v>
          </cell>
          <cell r="K158" t="str">
            <v>115.733453613</v>
          </cell>
          <cell r="L158" t="str">
            <v>-32.544854326</v>
          </cell>
          <cell r="M158" t="str">
            <v>H</v>
          </cell>
          <cell r="N158" t="str">
            <v>46</v>
          </cell>
          <cell r="O158" t="str">
            <v>KOOKERBROOK</v>
          </cell>
          <cell r="P158" t="str">
            <v>ST</v>
          </cell>
          <cell r="R158" t="str">
            <v>DUDLEY PARK</v>
          </cell>
          <cell r="S158" t="str">
            <v>6210</v>
          </cell>
        </row>
        <row r="159">
          <cell r="B159" t="str">
            <v>S0045048</v>
          </cell>
          <cell r="C159" t="str">
            <v>VPS KINGFISHER DR NORTH YUNDERUP</v>
          </cell>
          <cell r="D159" t="str">
            <v>A- actual</v>
          </cell>
          <cell r="E159" t="str">
            <v>VPS- vacuum pump station</v>
          </cell>
          <cell r="F159" t="str">
            <v>KINGFISHER DR</v>
          </cell>
          <cell r="G159" t="str">
            <v>9</v>
          </cell>
          <cell r="H159" t="str">
            <v>W- water corporation</v>
          </cell>
          <cell r="I159" t="str">
            <v>46779</v>
          </cell>
          <cell r="J159" t="str">
            <v>19931006</v>
          </cell>
          <cell r="K159" t="str">
            <v>115.796559166</v>
          </cell>
          <cell r="L159" t="str">
            <v>-32.5766715462</v>
          </cell>
          <cell r="M159" t="str">
            <v>L</v>
          </cell>
          <cell r="N159" t="str">
            <v>4081</v>
          </cell>
          <cell r="O159" t="str">
            <v>KINGFISHER</v>
          </cell>
          <cell r="P159" t="str">
            <v>DR</v>
          </cell>
          <cell r="R159" t="str">
            <v>NORTH YUNDERUP</v>
          </cell>
          <cell r="S159" t="str">
            <v>6208</v>
          </cell>
        </row>
        <row r="160">
          <cell r="B160" t="str">
            <v>S0043985</v>
          </cell>
          <cell r="C160" t="str">
            <v>SPS CLIFTON RD BRUNSWICK</v>
          </cell>
          <cell r="D160" t="str">
            <v>A- actual</v>
          </cell>
          <cell r="E160" t="str">
            <v>PS- pump station</v>
          </cell>
          <cell r="F160" t="str">
            <v>CLIFTON RD</v>
          </cell>
          <cell r="G160" t="str">
            <v>2</v>
          </cell>
          <cell r="H160" t="str">
            <v>W- water corporation</v>
          </cell>
          <cell r="I160" t="str">
            <v>18439</v>
          </cell>
          <cell r="J160" t="str">
            <v>19840101</v>
          </cell>
          <cell r="K160" t="str">
            <v>115.828951648</v>
          </cell>
          <cell r="L160" t="str">
            <v>-33.253775075</v>
          </cell>
          <cell r="M160" t="str">
            <v>H</v>
          </cell>
          <cell r="N160" t="str">
            <v>81</v>
          </cell>
          <cell r="O160" t="str">
            <v>GEORGE</v>
          </cell>
          <cell r="P160" t="str">
            <v>AV</v>
          </cell>
          <cell r="R160" t="str">
            <v>BRUNSWICK</v>
          </cell>
          <cell r="S160" t="str">
            <v>6224</v>
          </cell>
        </row>
        <row r="161">
          <cell r="B161" t="str">
            <v>S0044140</v>
          </cell>
          <cell r="C161" t="str">
            <v>SPS SYMMONS ST BUNBURY</v>
          </cell>
          <cell r="D161" t="str">
            <v>A- actual</v>
          </cell>
          <cell r="E161" t="str">
            <v>PS- pump station</v>
          </cell>
          <cell r="F161" t="str">
            <v>SYMMONS ST</v>
          </cell>
          <cell r="G161" t="str">
            <v>1</v>
          </cell>
          <cell r="H161" t="str">
            <v>W- water corporation</v>
          </cell>
          <cell r="I161" t="str">
            <v>18397</v>
          </cell>
          <cell r="J161" t="str">
            <v>19650101</v>
          </cell>
          <cell r="K161" t="str">
            <v>115.637773632</v>
          </cell>
          <cell r="L161" t="str">
            <v>-33.323053555</v>
          </cell>
          <cell r="M161" t="str">
            <v>L</v>
          </cell>
          <cell r="N161" t="str">
            <v>675</v>
          </cell>
          <cell r="O161" t="str">
            <v>SYMMONS</v>
          </cell>
          <cell r="P161" t="str">
            <v>ST</v>
          </cell>
          <cell r="R161" t="str">
            <v>BUNBURY</v>
          </cell>
          <cell r="S161" t="str">
            <v>6230</v>
          </cell>
        </row>
        <row r="162">
          <cell r="B162" t="str">
            <v>S0044013</v>
          </cell>
          <cell r="C162" t="str">
            <v>SPS AUSTRAL PDE EAST BUNBURY</v>
          </cell>
          <cell r="D162" t="str">
            <v>A- actual</v>
          </cell>
          <cell r="E162" t="str">
            <v>PS- pump station</v>
          </cell>
          <cell r="F162" t="str">
            <v>AUSTRAL PDE</v>
          </cell>
          <cell r="G162" t="str">
            <v>11</v>
          </cell>
          <cell r="H162" t="str">
            <v>W- water corporation</v>
          </cell>
          <cell r="I162" t="str">
            <v>18406</v>
          </cell>
          <cell r="J162" t="str">
            <v>19790101</v>
          </cell>
          <cell r="K162" t="str">
            <v>115.656880487</v>
          </cell>
          <cell r="L162" t="str">
            <v>-33.329433172</v>
          </cell>
          <cell r="M162" t="str">
            <v>H</v>
          </cell>
          <cell r="N162" t="str">
            <v>26</v>
          </cell>
          <cell r="O162" t="str">
            <v>AUSTRAL</v>
          </cell>
          <cell r="P162" t="str">
            <v>PDE</v>
          </cell>
          <cell r="R162" t="str">
            <v>EAST BUNBURY</v>
          </cell>
          <cell r="S162" t="str">
            <v>6230</v>
          </cell>
        </row>
        <row r="163">
          <cell r="B163" t="str">
            <v>S0044065</v>
          </cell>
          <cell r="C163" t="str">
            <v>SPS KING RD NTH EAST BUNBURY</v>
          </cell>
          <cell r="D163" t="str">
            <v>A- actual</v>
          </cell>
          <cell r="E163" t="str">
            <v>PS- pump station</v>
          </cell>
          <cell r="F163" t="str">
            <v>KING RD NTH</v>
          </cell>
          <cell r="G163" t="str">
            <v>10</v>
          </cell>
          <cell r="H163" t="str">
            <v>W- water corporation</v>
          </cell>
          <cell r="I163" t="str">
            <v>18405</v>
          </cell>
          <cell r="J163" t="str">
            <v>19760101</v>
          </cell>
          <cell r="K163" t="str">
            <v>115.654269227</v>
          </cell>
          <cell r="L163" t="str">
            <v>-33.329735552</v>
          </cell>
          <cell r="M163" t="str">
            <v>H</v>
          </cell>
          <cell r="N163" t="str">
            <v>11</v>
          </cell>
          <cell r="O163" t="str">
            <v>KING</v>
          </cell>
          <cell r="P163" t="str">
            <v>RD</v>
          </cell>
          <cell r="R163" t="str">
            <v>EAST BUNBURY</v>
          </cell>
          <cell r="S163" t="str">
            <v>6230</v>
          </cell>
        </row>
        <row r="164">
          <cell r="B164" t="str">
            <v>S0044056</v>
          </cell>
          <cell r="C164" t="str">
            <v>SPS HAYES ST BUNBURY</v>
          </cell>
          <cell r="D164" t="str">
            <v>A- actual</v>
          </cell>
          <cell r="E164" t="str">
            <v>PS- pump station</v>
          </cell>
          <cell r="F164" t="str">
            <v>HAYES ST</v>
          </cell>
          <cell r="G164" t="str">
            <v>2</v>
          </cell>
          <cell r="H164" t="str">
            <v>W- water corporation</v>
          </cell>
          <cell r="I164" t="str">
            <v>18398</v>
          </cell>
          <cell r="J164" t="str">
            <v>19700101</v>
          </cell>
          <cell r="K164" t="str">
            <v>115.644707505</v>
          </cell>
          <cell r="L164" t="str">
            <v>-33.328338009</v>
          </cell>
          <cell r="M164" t="str">
            <v>H</v>
          </cell>
          <cell r="N164" t="str">
            <v>20</v>
          </cell>
          <cell r="O164" t="str">
            <v>HAYES</v>
          </cell>
          <cell r="P164" t="str">
            <v>ST</v>
          </cell>
          <cell r="R164" t="str">
            <v>BUNBURY</v>
          </cell>
          <cell r="S164" t="str">
            <v>6230</v>
          </cell>
        </row>
        <row r="165">
          <cell r="B165" t="str">
            <v>S0044173</v>
          </cell>
          <cell r="C165" t="str">
            <v>SPS ZOE ST SOUTH BUNBURY</v>
          </cell>
          <cell r="D165" t="str">
            <v>A- actual</v>
          </cell>
          <cell r="E165" t="str">
            <v>PS- pump station</v>
          </cell>
          <cell r="F165" t="str">
            <v>ZOE ST</v>
          </cell>
          <cell r="G165" t="str">
            <v>7</v>
          </cell>
          <cell r="H165" t="str">
            <v>W- water corporation</v>
          </cell>
          <cell r="I165" t="str">
            <v>18402</v>
          </cell>
          <cell r="J165" t="str">
            <v>19730101</v>
          </cell>
          <cell r="K165" t="str">
            <v>115.641161989</v>
          </cell>
          <cell r="L165" t="str">
            <v>-33.330596366</v>
          </cell>
          <cell r="M165" t="str">
            <v>L</v>
          </cell>
          <cell r="N165" t="str">
            <v>571</v>
          </cell>
          <cell r="O165" t="str">
            <v>ZOE</v>
          </cell>
          <cell r="P165" t="str">
            <v>ST</v>
          </cell>
          <cell r="R165" t="str">
            <v>BUNBURY</v>
          </cell>
          <cell r="S165" t="str">
            <v>6230</v>
          </cell>
        </row>
        <row r="166">
          <cell r="B166" t="str">
            <v>S0043925</v>
          </cell>
          <cell r="C166" t="str">
            <v>SPS GARFIELD RD AUSTRALIND</v>
          </cell>
          <cell r="D166" t="str">
            <v>A- actual</v>
          </cell>
          <cell r="E166" t="str">
            <v>PS- pump station</v>
          </cell>
          <cell r="F166" t="str">
            <v>GARFIELD DR</v>
          </cell>
          <cell r="G166" t="str">
            <v>2</v>
          </cell>
          <cell r="H166" t="str">
            <v>W- water corporation</v>
          </cell>
          <cell r="I166" t="str">
            <v>18426</v>
          </cell>
          <cell r="J166" t="str">
            <v>19820101</v>
          </cell>
          <cell r="K166" t="str">
            <v>115.727200044</v>
          </cell>
          <cell r="L166" t="str">
            <v>-33.26963361</v>
          </cell>
          <cell r="M166" t="str">
            <v>L</v>
          </cell>
          <cell r="N166" t="str">
            <v>5401</v>
          </cell>
          <cell r="O166" t="str">
            <v>GARFIELD</v>
          </cell>
          <cell r="P166" t="str">
            <v>DR</v>
          </cell>
          <cell r="R166" t="str">
            <v>AUSTRALIND</v>
          </cell>
          <cell r="S166" t="str">
            <v>6233</v>
          </cell>
        </row>
        <row r="167">
          <cell r="B167" t="str">
            <v>S0043917</v>
          </cell>
          <cell r="C167" t="str">
            <v>SPS ABSOLON CRES SPS AUSTRALIND</v>
          </cell>
          <cell r="D167" t="str">
            <v>A- actual</v>
          </cell>
          <cell r="E167" t="str">
            <v>PS- pump station</v>
          </cell>
          <cell r="F167" t="str">
            <v>ABSOLON CR</v>
          </cell>
          <cell r="G167" t="str">
            <v>5</v>
          </cell>
          <cell r="H167" t="str">
            <v>W- water corporation</v>
          </cell>
          <cell r="I167" t="str">
            <v>18428</v>
          </cell>
          <cell r="J167" t="str">
            <v>19850101</v>
          </cell>
          <cell r="K167" t="str">
            <v>115.716544767</v>
          </cell>
          <cell r="L167" t="str">
            <v>-33.270166772</v>
          </cell>
          <cell r="M167" t="str">
            <v>H</v>
          </cell>
          <cell r="N167" t="str">
            <v>16</v>
          </cell>
          <cell r="O167" t="str">
            <v>ABSOLON</v>
          </cell>
          <cell r="P167" t="str">
            <v>CR</v>
          </cell>
          <cell r="R167" t="str">
            <v>AUSTRALIND</v>
          </cell>
          <cell r="S167" t="str">
            <v>6233</v>
          </cell>
        </row>
        <row r="168">
          <cell r="B168" t="str">
            <v>S0043930</v>
          </cell>
          <cell r="C168" t="str">
            <v>SPS OLD COAST RD AUSTRALIND</v>
          </cell>
          <cell r="D168" t="str">
            <v>A- actual</v>
          </cell>
          <cell r="E168" t="str">
            <v>PS- pump station</v>
          </cell>
          <cell r="F168" t="str">
            <v>OLD COAST RD</v>
          </cell>
          <cell r="G168" t="str">
            <v>4</v>
          </cell>
          <cell r="H168" t="str">
            <v>W- water corporation</v>
          </cell>
          <cell r="J168" t="str">
            <v>19820101</v>
          </cell>
          <cell r="K168" t="str">
            <v>115.714834798</v>
          </cell>
          <cell r="L168" t="str">
            <v>-33.279494294</v>
          </cell>
          <cell r="M168" t="str">
            <v>H</v>
          </cell>
          <cell r="N168" t="str">
            <v>303</v>
          </cell>
          <cell r="O168" t="str">
            <v>OLD COAST</v>
          </cell>
          <cell r="P168" t="str">
            <v>RD</v>
          </cell>
          <cell r="R168" t="str">
            <v>AUSTRALIND</v>
          </cell>
          <cell r="S168" t="str">
            <v>6233</v>
          </cell>
        </row>
        <row r="169">
          <cell r="B169" t="str">
            <v>S0043935</v>
          </cell>
          <cell r="C169" t="str">
            <v>SPS BEDINGFIELD WY AUSTRALIND</v>
          </cell>
          <cell r="D169" t="str">
            <v>A- actual</v>
          </cell>
          <cell r="E169" t="str">
            <v>PS- pump station</v>
          </cell>
          <cell r="F169" t="str">
            <v>BEDINGFIELD WY</v>
          </cell>
          <cell r="G169" t="str">
            <v>1</v>
          </cell>
          <cell r="H169" t="str">
            <v>W- water corporation</v>
          </cell>
          <cell r="I169" t="str">
            <v>18425</v>
          </cell>
          <cell r="J169" t="str">
            <v>19820101</v>
          </cell>
          <cell r="K169" t="str">
            <v>115.730722521</v>
          </cell>
          <cell r="L169" t="str">
            <v>-33.274481291</v>
          </cell>
          <cell r="M169" t="str">
            <v>L</v>
          </cell>
          <cell r="N169" t="str">
            <v>5393</v>
          </cell>
          <cell r="O169" t="str">
            <v>PARIS</v>
          </cell>
          <cell r="P169" t="str">
            <v>RD</v>
          </cell>
          <cell r="R169" t="str">
            <v>AUSTRALIND</v>
          </cell>
          <cell r="S169" t="str">
            <v>6233</v>
          </cell>
        </row>
        <row r="170">
          <cell r="B170" t="str">
            <v>S0044500</v>
          </cell>
          <cell r="C170" t="str">
            <v>SPS BOBIN ST EATON</v>
          </cell>
          <cell r="D170" t="str">
            <v>A- actual</v>
          </cell>
          <cell r="E170" t="str">
            <v>PS- pump station</v>
          </cell>
          <cell r="F170" t="str">
            <v>BOBIN ST</v>
          </cell>
          <cell r="G170" t="str">
            <v>1</v>
          </cell>
          <cell r="H170" t="str">
            <v>W- water corporation</v>
          </cell>
          <cell r="I170" t="str">
            <v>18431</v>
          </cell>
          <cell r="J170" t="str">
            <v>19780101</v>
          </cell>
          <cell r="K170" t="str">
            <v>115.707832862</v>
          </cell>
          <cell r="L170" t="str">
            <v>-33.3157421887</v>
          </cell>
          <cell r="M170" t="str">
            <v>H</v>
          </cell>
          <cell r="N170" t="str">
            <v>33</v>
          </cell>
          <cell r="O170" t="str">
            <v>BOBIN</v>
          </cell>
          <cell r="P170" t="str">
            <v>ST</v>
          </cell>
          <cell r="R170" t="str">
            <v>EATON</v>
          </cell>
          <cell r="S170" t="str">
            <v>6232</v>
          </cell>
        </row>
        <row r="171">
          <cell r="B171" t="str">
            <v>S0043940</v>
          </cell>
          <cell r="C171" t="str">
            <v>SPS WAKEFIELD CRES AUSTRALIND</v>
          </cell>
          <cell r="D171" t="str">
            <v>A- actual</v>
          </cell>
          <cell r="E171" t="str">
            <v>PS- pump station</v>
          </cell>
          <cell r="F171" t="str">
            <v>WAKEFIELD CR</v>
          </cell>
          <cell r="G171" t="str">
            <v>6</v>
          </cell>
          <cell r="H171" t="str">
            <v>W- water corporation</v>
          </cell>
          <cell r="I171" t="str">
            <v>29082</v>
          </cell>
          <cell r="J171" t="str">
            <v>19900712</v>
          </cell>
          <cell r="K171" t="str">
            <v>115.723238889</v>
          </cell>
          <cell r="L171" t="str">
            <v>-33.266930205</v>
          </cell>
          <cell r="M171" t="str">
            <v>L</v>
          </cell>
          <cell r="N171" t="str">
            <v>1</v>
          </cell>
          <cell r="O171" t="str">
            <v>BUNGARRA</v>
          </cell>
          <cell r="P171" t="str">
            <v>ST</v>
          </cell>
          <cell r="R171" t="str">
            <v>AUSTRALIND</v>
          </cell>
          <cell r="S171" t="str">
            <v>6233</v>
          </cell>
        </row>
        <row r="172">
          <cell r="B172" t="str">
            <v>S0044075</v>
          </cell>
          <cell r="C172" t="str">
            <v>SPS LYONS COVE BUNBURY</v>
          </cell>
          <cell r="D172" t="str">
            <v>A- actual</v>
          </cell>
          <cell r="E172" t="str">
            <v>PS- pump station</v>
          </cell>
          <cell r="F172" t="str">
            <v>LYONS COVE</v>
          </cell>
          <cell r="G172" t="str">
            <v>31</v>
          </cell>
          <cell r="H172" t="str">
            <v>W- water corporation</v>
          </cell>
          <cell r="I172" t="str">
            <v>51557</v>
          </cell>
          <cell r="J172" t="str">
            <v>19930101</v>
          </cell>
          <cell r="K172" t="str">
            <v>115.644700273</v>
          </cell>
          <cell r="L172" t="str">
            <v>-33.321962735</v>
          </cell>
          <cell r="M172" t="str">
            <v>L</v>
          </cell>
          <cell r="N172" t="str">
            <v>751</v>
          </cell>
          <cell r="O172" t="str">
            <v>KOOMBANA</v>
          </cell>
          <cell r="P172" t="str">
            <v>DR</v>
          </cell>
          <cell r="R172" t="str">
            <v>BUNBURY</v>
          </cell>
          <cell r="S172" t="str">
            <v>6230</v>
          </cell>
        </row>
        <row r="173">
          <cell r="B173" t="str">
            <v>S0044505</v>
          </cell>
          <cell r="C173" t="str">
            <v>EATON DR (PINTO CL) WWPS</v>
          </cell>
          <cell r="D173" t="str">
            <v>N- not in use</v>
          </cell>
          <cell r="E173" t="str">
            <v>TPS- temporary pump station</v>
          </cell>
          <cell r="F173" t="str">
            <v>EATON DR</v>
          </cell>
          <cell r="H173" t="str">
            <v>W- water corporation</v>
          </cell>
          <cell r="I173" t="str">
            <v>29080</v>
          </cell>
          <cell r="J173" t="str">
            <v>19940725</v>
          </cell>
          <cell r="K173" t="str">
            <v>115.723240338</v>
          </cell>
          <cell r="L173" t="str">
            <v>-33.314049793</v>
          </cell>
          <cell r="M173" t="str">
            <v>H</v>
          </cell>
          <cell r="N173" t="str">
            <v>16</v>
          </cell>
          <cell r="O173" t="str">
            <v>PINTO</v>
          </cell>
          <cell r="P173" t="str">
            <v>CL</v>
          </cell>
          <cell r="R173" t="str">
            <v>EATON</v>
          </cell>
          <cell r="S173" t="str">
            <v>6232</v>
          </cell>
        </row>
        <row r="174">
          <cell r="B174" t="str">
            <v>S0044522</v>
          </cell>
          <cell r="C174" t="str">
            <v>SPS LOFTHOUSE AVE EATON</v>
          </cell>
          <cell r="D174" t="str">
            <v>A- actual</v>
          </cell>
          <cell r="E174" t="str">
            <v>PS- pump station</v>
          </cell>
          <cell r="F174" t="str">
            <v>LOFTHOUSE AVE</v>
          </cell>
          <cell r="G174" t="str">
            <v>2</v>
          </cell>
          <cell r="H174" t="str">
            <v>W- water corporation</v>
          </cell>
          <cell r="I174" t="str">
            <v>29078</v>
          </cell>
          <cell r="J174" t="str">
            <v>19930801</v>
          </cell>
          <cell r="K174" t="str">
            <v>115.709435609</v>
          </cell>
          <cell r="L174" t="str">
            <v>-33.320786385</v>
          </cell>
          <cell r="M174" t="str">
            <v>H</v>
          </cell>
          <cell r="N174" t="str">
            <v>23</v>
          </cell>
          <cell r="O174" t="str">
            <v>LOFTHOUSE</v>
          </cell>
          <cell r="P174" t="str">
            <v>AV</v>
          </cell>
          <cell r="R174" t="str">
            <v>EATON</v>
          </cell>
          <cell r="S174" t="str">
            <v>6232</v>
          </cell>
        </row>
        <row r="175">
          <cell r="B175" t="str">
            <v>S0043921</v>
          </cell>
          <cell r="C175" t="str">
            <v>SPS BARNES AVE AUSTRALIND</v>
          </cell>
          <cell r="D175" t="str">
            <v>A- actual</v>
          </cell>
          <cell r="E175" t="str">
            <v>PS- pump station</v>
          </cell>
          <cell r="F175" t="str">
            <v>BARNES AVE</v>
          </cell>
          <cell r="G175" t="str">
            <v>7</v>
          </cell>
          <cell r="H175" t="str">
            <v>W- water corporation</v>
          </cell>
          <cell r="I175" t="str">
            <v>50526</v>
          </cell>
          <cell r="J175" t="str">
            <v>19940203</v>
          </cell>
          <cell r="K175" t="str">
            <v>115.72525723</v>
          </cell>
          <cell r="L175" t="str">
            <v>-33.28473014</v>
          </cell>
          <cell r="M175" t="str">
            <v>L</v>
          </cell>
          <cell r="N175" t="str">
            <v>100</v>
          </cell>
          <cell r="O175" t="str">
            <v>BARNES</v>
          </cell>
          <cell r="P175" t="str">
            <v>AV</v>
          </cell>
          <cell r="R175" t="str">
            <v>AUSTRALIND</v>
          </cell>
          <cell r="S175" t="str">
            <v>6233</v>
          </cell>
        </row>
        <row r="176">
          <cell r="B176" t="str">
            <v>S0044528</v>
          </cell>
          <cell r="C176" t="str">
            <v>SPS RECREATION DR EATON</v>
          </cell>
          <cell r="D176" t="str">
            <v>A- actual</v>
          </cell>
          <cell r="E176" t="str">
            <v>PS- pump station</v>
          </cell>
          <cell r="F176" t="str">
            <v>RECREATION DR</v>
          </cell>
          <cell r="H176" t="str">
            <v>W- water corporation</v>
          </cell>
          <cell r="I176" t="str">
            <v>52678</v>
          </cell>
          <cell r="J176" t="str">
            <v>19950704</v>
          </cell>
          <cell r="K176" t="str">
            <v>115.71857667</v>
          </cell>
          <cell r="L176" t="str">
            <v>-33.320421169</v>
          </cell>
          <cell r="M176" t="str">
            <v>H</v>
          </cell>
          <cell r="N176" t="str">
            <v>15</v>
          </cell>
          <cell r="O176" t="str">
            <v>RECREATION</v>
          </cell>
          <cell r="P176" t="str">
            <v>DR</v>
          </cell>
          <cell r="R176" t="str">
            <v>EATON</v>
          </cell>
          <cell r="S176" t="str">
            <v>6232</v>
          </cell>
        </row>
        <row r="177">
          <cell r="B177" t="str">
            <v>S0044509</v>
          </cell>
          <cell r="C177" t="str">
            <v>SPS ESTUARY DR PELICAN POINT</v>
          </cell>
          <cell r="D177" t="str">
            <v>A- actual</v>
          </cell>
          <cell r="E177" t="str">
            <v>PS- pump station</v>
          </cell>
          <cell r="F177" t="str">
            <v>ESTUARY DR</v>
          </cell>
          <cell r="G177" t="str">
            <v>3</v>
          </cell>
          <cell r="H177" t="str">
            <v>W- water corporation</v>
          </cell>
          <cell r="I177" t="str">
            <v>51064</v>
          </cell>
          <cell r="J177" t="str">
            <v>19930107</v>
          </cell>
          <cell r="K177" t="str">
            <v>115.693449426</v>
          </cell>
          <cell r="L177" t="str">
            <v>-33.314720514</v>
          </cell>
          <cell r="M177" t="str">
            <v>H</v>
          </cell>
          <cell r="N177" t="str">
            <v>29</v>
          </cell>
          <cell r="O177" t="str">
            <v>PICKWORTH</v>
          </cell>
          <cell r="P177" t="str">
            <v>RTT</v>
          </cell>
          <cell r="R177" t="str">
            <v>PELICAN POINT</v>
          </cell>
          <cell r="S177" t="str">
            <v>6230</v>
          </cell>
        </row>
        <row r="178">
          <cell r="B178" t="str">
            <v>S0044033</v>
          </cell>
          <cell r="C178" t="str">
            <v>SPS CASUARINA DR BUNBURY</v>
          </cell>
          <cell r="D178" t="str">
            <v>A- actual</v>
          </cell>
          <cell r="E178" t="str">
            <v>PS- pump station</v>
          </cell>
          <cell r="F178" t="str">
            <v>CASUARINA DR</v>
          </cell>
          <cell r="G178" t="str">
            <v>33</v>
          </cell>
          <cell r="H178" t="str">
            <v>W- water corporation</v>
          </cell>
          <cell r="I178" t="str">
            <v>52688</v>
          </cell>
          <cell r="J178" t="str">
            <v>19951004</v>
          </cell>
          <cell r="K178" t="str">
            <v>115.638594592</v>
          </cell>
          <cell r="L178" t="str">
            <v>-33.319624258</v>
          </cell>
          <cell r="M178" t="str">
            <v>H</v>
          </cell>
          <cell r="N178" t="str">
            <v>9</v>
          </cell>
          <cell r="O178" t="str">
            <v>CASUARINA</v>
          </cell>
          <cell r="P178" t="str">
            <v>DR</v>
          </cell>
          <cell r="R178" t="str">
            <v>BUNBURY</v>
          </cell>
          <cell r="S178" t="str">
            <v>6230</v>
          </cell>
        </row>
        <row r="179">
          <cell r="B179" t="str">
            <v>S0044070</v>
          </cell>
          <cell r="C179" t="str">
            <v>SPS KING RD STH EAST BUNBURY</v>
          </cell>
          <cell r="D179" t="str">
            <v>A- actual</v>
          </cell>
          <cell r="E179" t="str">
            <v>PS- pump station</v>
          </cell>
          <cell r="F179" t="str">
            <v>KING RD STH</v>
          </cell>
          <cell r="G179" t="str">
            <v>9</v>
          </cell>
          <cell r="H179" t="str">
            <v>W- water corporation</v>
          </cell>
          <cell r="I179" t="str">
            <v>18404</v>
          </cell>
          <cell r="J179" t="str">
            <v>19760101</v>
          </cell>
          <cell r="K179" t="str">
            <v>115.654334688</v>
          </cell>
          <cell r="L179" t="str">
            <v>-33.333788445</v>
          </cell>
          <cell r="M179" t="str">
            <v>H</v>
          </cell>
          <cell r="N179" t="str">
            <v>55</v>
          </cell>
          <cell r="O179" t="str">
            <v>KING</v>
          </cell>
          <cell r="P179" t="str">
            <v>RD</v>
          </cell>
          <cell r="R179" t="str">
            <v>EAST BUNBURY</v>
          </cell>
          <cell r="S179" t="str">
            <v>6230</v>
          </cell>
        </row>
        <row r="180">
          <cell r="B180" t="str">
            <v>S0044130</v>
          </cell>
          <cell r="C180" t="str">
            <v>SPS SANDRIDGE RD EAST BUNBURY</v>
          </cell>
          <cell r="D180" t="str">
            <v>A- actual</v>
          </cell>
          <cell r="E180" t="str">
            <v>PS- pump station</v>
          </cell>
          <cell r="F180" t="str">
            <v>SANDRIDGE RD</v>
          </cell>
          <cell r="G180" t="str">
            <v>18</v>
          </cell>
          <cell r="H180" t="str">
            <v>W- water corporation</v>
          </cell>
          <cell r="I180" t="str">
            <v>18413</v>
          </cell>
          <cell r="J180" t="str">
            <v>19780715</v>
          </cell>
          <cell r="K180" t="str">
            <v>115.659923671</v>
          </cell>
          <cell r="L180" t="str">
            <v>-33.338801778</v>
          </cell>
          <cell r="M180" t="str">
            <v>L</v>
          </cell>
          <cell r="N180" t="str">
            <v>5372</v>
          </cell>
          <cell r="O180" t="str">
            <v>FAIRWAY</v>
          </cell>
          <cell r="P180" t="str">
            <v>CT</v>
          </cell>
          <cell r="R180" t="str">
            <v>EAST BUNBURY</v>
          </cell>
          <cell r="S180" t="str">
            <v>6230</v>
          </cell>
        </row>
        <row r="181">
          <cell r="B181" t="str">
            <v>S0044061</v>
          </cell>
          <cell r="C181" t="str">
            <v>SPS JARVIS ST SOUTH BUNBURY</v>
          </cell>
          <cell r="D181" t="str">
            <v>A- actual</v>
          </cell>
          <cell r="E181" t="str">
            <v>PS- pump station</v>
          </cell>
          <cell r="F181" t="str">
            <v>JARVIS ST</v>
          </cell>
          <cell r="G181" t="str">
            <v>19</v>
          </cell>
          <cell r="H181" t="str">
            <v>W- water corporation</v>
          </cell>
          <cell r="I181" t="str">
            <v>18414</v>
          </cell>
          <cell r="J181" t="str">
            <v>19810101</v>
          </cell>
          <cell r="K181" t="str">
            <v>115.628840703</v>
          </cell>
          <cell r="L181" t="str">
            <v>-33.342185167</v>
          </cell>
          <cell r="M181" t="str">
            <v>H</v>
          </cell>
          <cell r="N181" t="str">
            <v>39</v>
          </cell>
          <cell r="O181" t="str">
            <v>JARVIS</v>
          </cell>
          <cell r="P181" t="str">
            <v>ST</v>
          </cell>
          <cell r="R181" t="str">
            <v>SOUTH BUNBURY</v>
          </cell>
          <cell r="S181" t="str">
            <v>6230</v>
          </cell>
        </row>
        <row r="182">
          <cell r="B182" t="str">
            <v>S0044125</v>
          </cell>
          <cell r="C182" t="str">
            <v>SPS ROSE ST BUNBURY</v>
          </cell>
          <cell r="D182" t="str">
            <v>A- actual</v>
          </cell>
          <cell r="E182" t="str">
            <v>PS- pump station</v>
          </cell>
          <cell r="F182" t="str">
            <v>ROSE ST</v>
          </cell>
          <cell r="G182" t="str">
            <v>5</v>
          </cell>
          <cell r="H182" t="str">
            <v>W- water corporation</v>
          </cell>
          <cell r="I182" t="str">
            <v>40736</v>
          </cell>
          <cell r="J182" t="str">
            <v>19640101</v>
          </cell>
          <cell r="K182" t="str">
            <v>115.643428426</v>
          </cell>
          <cell r="L182" t="str">
            <v>-33.334563987</v>
          </cell>
          <cell r="M182" t="str">
            <v>L</v>
          </cell>
          <cell r="N182" t="str">
            <v>542</v>
          </cell>
          <cell r="O182" t="str">
            <v>ROSE</v>
          </cell>
          <cell r="P182" t="str">
            <v>ST</v>
          </cell>
          <cell r="R182" t="str">
            <v>BUNBURY</v>
          </cell>
          <cell r="S182" t="str">
            <v>6230</v>
          </cell>
        </row>
        <row r="183">
          <cell r="B183" t="str">
            <v>S0044042</v>
          </cell>
          <cell r="C183" t="str">
            <v>SPS DOUGLAS ST SOUTH BUNBURY</v>
          </cell>
          <cell r="D183" t="str">
            <v>A- actual</v>
          </cell>
          <cell r="E183" t="str">
            <v>PS- pump station</v>
          </cell>
          <cell r="F183" t="str">
            <v>DOUGLAS ST</v>
          </cell>
          <cell r="G183" t="str">
            <v>8</v>
          </cell>
          <cell r="H183" t="str">
            <v>W- water corporation</v>
          </cell>
          <cell r="I183" t="str">
            <v>18403</v>
          </cell>
          <cell r="J183" t="str">
            <v>19780101</v>
          </cell>
          <cell r="K183" t="str">
            <v>115.644161597</v>
          </cell>
          <cell r="L183" t="str">
            <v>-33.337135066</v>
          </cell>
          <cell r="M183" t="str">
            <v>H</v>
          </cell>
          <cell r="N183" t="str">
            <v>5</v>
          </cell>
          <cell r="O183" t="str">
            <v>DOUGLAS</v>
          </cell>
          <cell r="P183" t="str">
            <v>ST</v>
          </cell>
          <cell r="R183" t="str">
            <v>SOUTH BUNBURY</v>
          </cell>
          <cell r="S183" t="str">
            <v>6230</v>
          </cell>
        </row>
        <row r="184">
          <cell r="B184" t="str">
            <v>S0044135</v>
          </cell>
          <cell r="C184" t="str">
            <v>SPS SPENCER ST BUNBURY</v>
          </cell>
          <cell r="D184" t="str">
            <v>A- actual</v>
          </cell>
          <cell r="E184" t="str">
            <v>PS- pump station</v>
          </cell>
          <cell r="F184" t="str">
            <v>SPENCER ST</v>
          </cell>
          <cell r="G184" t="str">
            <v>12</v>
          </cell>
          <cell r="H184" t="str">
            <v>W- water corporation</v>
          </cell>
          <cell r="I184" t="str">
            <v>18407</v>
          </cell>
          <cell r="J184" t="str">
            <v>19810101</v>
          </cell>
          <cell r="K184" t="str">
            <v>115.639599524</v>
          </cell>
          <cell r="L184" t="str">
            <v>-33.332566925</v>
          </cell>
          <cell r="M184" t="str">
            <v>L</v>
          </cell>
          <cell r="N184" t="str">
            <v>620</v>
          </cell>
          <cell r="O184" t="str">
            <v>SPENCER</v>
          </cell>
          <cell r="P184" t="str">
            <v>ST</v>
          </cell>
          <cell r="R184" t="str">
            <v>BUNBURY</v>
          </cell>
          <cell r="S184" t="str">
            <v>6230</v>
          </cell>
        </row>
        <row r="185">
          <cell r="B185" t="str">
            <v>S0044149</v>
          </cell>
          <cell r="C185" t="str">
            <v>SPS TUART ST SOUTH BUNBURY</v>
          </cell>
          <cell r="D185" t="str">
            <v>A- actual</v>
          </cell>
          <cell r="E185" t="str">
            <v>PS- pump station</v>
          </cell>
          <cell r="F185" t="str">
            <v>TUART ST</v>
          </cell>
          <cell r="G185" t="str">
            <v>26</v>
          </cell>
          <cell r="H185" t="str">
            <v>W- water corporation</v>
          </cell>
          <cell r="I185" t="str">
            <v>18421</v>
          </cell>
          <cell r="J185" t="str">
            <v>19850101</v>
          </cell>
          <cell r="K185" t="str">
            <v>115.637673433</v>
          </cell>
          <cell r="L185" t="str">
            <v>-33.340198272</v>
          </cell>
          <cell r="M185" t="str">
            <v>L</v>
          </cell>
          <cell r="N185" t="str">
            <v>50</v>
          </cell>
          <cell r="O185" t="str">
            <v>TUART</v>
          </cell>
          <cell r="P185" t="str">
            <v>ST</v>
          </cell>
          <cell r="R185" t="str">
            <v>SOUTH BUNBURY</v>
          </cell>
          <cell r="S185" t="str">
            <v>6230</v>
          </cell>
        </row>
        <row r="186">
          <cell r="B186" t="str">
            <v>S0044094</v>
          </cell>
          <cell r="C186" t="str">
            <v>SPS OCEAN DR NTH BUNBURY</v>
          </cell>
          <cell r="D186" t="str">
            <v>A- actual</v>
          </cell>
          <cell r="E186" t="str">
            <v>PS- pump station</v>
          </cell>
          <cell r="F186" t="str">
            <v>OCEAN DR NTH</v>
          </cell>
          <cell r="G186" t="str">
            <v>22</v>
          </cell>
          <cell r="H186" t="str">
            <v>W- water corporation</v>
          </cell>
          <cell r="I186" t="str">
            <v>18417</v>
          </cell>
          <cell r="J186" t="str">
            <v>19810101</v>
          </cell>
          <cell r="K186" t="str">
            <v>115.62815483</v>
          </cell>
          <cell r="L186" t="str">
            <v>-33.33323774</v>
          </cell>
          <cell r="M186" t="str">
            <v>H</v>
          </cell>
          <cell r="N186" t="str">
            <v>97</v>
          </cell>
          <cell r="O186" t="str">
            <v>OCEAN</v>
          </cell>
          <cell r="P186" t="str">
            <v>DR</v>
          </cell>
          <cell r="R186" t="str">
            <v>BUNBURY</v>
          </cell>
          <cell r="S186" t="str">
            <v>6230</v>
          </cell>
        </row>
        <row r="187">
          <cell r="B187" t="str">
            <v>S0044018</v>
          </cell>
          <cell r="C187" t="str">
            <v>SPS BALGORE WAY CAREY PARK</v>
          </cell>
          <cell r="D187" t="str">
            <v>A- actual</v>
          </cell>
          <cell r="E187" t="str">
            <v>PS- pump station</v>
          </cell>
          <cell r="F187" t="str">
            <v>BALGORE WAY</v>
          </cell>
          <cell r="G187" t="str">
            <v>28</v>
          </cell>
          <cell r="H187" t="str">
            <v>W- water corporation</v>
          </cell>
          <cell r="I187" t="str">
            <v>29085</v>
          </cell>
          <cell r="J187" t="str">
            <v>19911016</v>
          </cell>
          <cell r="K187" t="str">
            <v>115.654635026</v>
          </cell>
          <cell r="L187" t="str">
            <v>-33.3472165606</v>
          </cell>
          <cell r="M187" t="str">
            <v>L</v>
          </cell>
          <cell r="N187" t="str">
            <v>745</v>
          </cell>
          <cell r="O187" t="str">
            <v>BALGORE</v>
          </cell>
          <cell r="P187" t="str">
            <v>WAY</v>
          </cell>
          <cell r="R187" t="str">
            <v>CAREY PARK</v>
          </cell>
          <cell r="S187" t="str">
            <v>6230</v>
          </cell>
        </row>
        <row r="188">
          <cell r="B188" t="str">
            <v>S0044420</v>
          </cell>
          <cell r="C188" t="str">
            <v>SPS STEERE ST COLLIE</v>
          </cell>
          <cell r="D188" t="str">
            <v>A- actual</v>
          </cell>
          <cell r="E188" t="str">
            <v>PS- pump station</v>
          </cell>
          <cell r="F188" t="str">
            <v>STEERE ST</v>
          </cell>
          <cell r="G188" t="str">
            <v>6</v>
          </cell>
          <cell r="H188" t="str">
            <v>W- water corporation</v>
          </cell>
          <cell r="I188" t="str">
            <v>18364</v>
          </cell>
          <cell r="J188" t="str">
            <v>19800917</v>
          </cell>
          <cell r="K188" t="str">
            <v>116.169255782</v>
          </cell>
          <cell r="L188" t="str">
            <v>-33.345766753</v>
          </cell>
          <cell r="M188" t="str">
            <v>L</v>
          </cell>
          <cell r="N188" t="str">
            <v>2763</v>
          </cell>
          <cell r="O188" t="str">
            <v>STEERE</v>
          </cell>
          <cell r="P188" t="str">
            <v>ST</v>
          </cell>
          <cell r="Q188" t="str">
            <v>N</v>
          </cell>
          <cell r="R188" t="str">
            <v>COLLIE</v>
          </cell>
          <cell r="S188" t="str">
            <v>6225</v>
          </cell>
        </row>
        <row r="189">
          <cell r="B189" t="str">
            <v>S0044425</v>
          </cell>
          <cell r="C189" t="str">
            <v>SPS RIGBY ST COLLIE</v>
          </cell>
          <cell r="D189" t="str">
            <v>A- actual</v>
          </cell>
          <cell r="E189" t="str">
            <v>PS- pump station</v>
          </cell>
          <cell r="F189" t="str">
            <v>RIGBY ST</v>
          </cell>
          <cell r="G189" t="str">
            <v>4</v>
          </cell>
          <cell r="H189" t="str">
            <v>W- water corporation</v>
          </cell>
          <cell r="I189" t="str">
            <v>18362</v>
          </cell>
          <cell r="J189" t="str">
            <v>19710101</v>
          </cell>
          <cell r="K189" t="str">
            <v>116.161366144</v>
          </cell>
          <cell r="L189" t="str">
            <v>-33.353675398</v>
          </cell>
          <cell r="M189" t="str">
            <v>H</v>
          </cell>
          <cell r="N189" t="str">
            <v>15</v>
          </cell>
          <cell r="O189" t="str">
            <v>WALLSEND</v>
          </cell>
          <cell r="P189" t="str">
            <v>ST</v>
          </cell>
          <cell r="R189" t="str">
            <v>COLLIE</v>
          </cell>
          <cell r="S189" t="str">
            <v>6225</v>
          </cell>
        </row>
        <row r="190">
          <cell r="B190" t="str">
            <v>S0044385</v>
          </cell>
          <cell r="C190" t="str">
            <v>SPS BUCKINGHAM WAY COLLIE</v>
          </cell>
          <cell r="D190" t="str">
            <v>A- actual</v>
          </cell>
          <cell r="E190" t="str">
            <v>PS- pump station</v>
          </cell>
          <cell r="F190" t="str">
            <v>BUCKINGHAM WAY</v>
          </cell>
          <cell r="G190" t="str">
            <v>9</v>
          </cell>
          <cell r="H190" t="str">
            <v>W- water corporation</v>
          </cell>
          <cell r="I190" t="str">
            <v>18366</v>
          </cell>
          <cell r="J190" t="str">
            <v>19860416</v>
          </cell>
          <cell r="K190" t="str">
            <v>116.153507857</v>
          </cell>
          <cell r="L190" t="str">
            <v>-33.338552107</v>
          </cell>
          <cell r="M190" t="str">
            <v>H</v>
          </cell>
          <cell r="N190" t="str">
            <v>44</v>
          </cell>
          <cell r="O190" t="str">
            <v>BUCKINGHAM</v>
          </cell>
          <cell r="P190" t="str">
            <v>WAY</v>
          </cell>
          <cell r="R190" t="str">
            <v>COLLIE</v>
          </cell>
          <cell r="S190" t="str">
            <v>6225</v>
          </cell>
        </row>
        <row r="191">
          <cell r="B191" t="str">
            <v>S0044410</v>
          </cell>
          <cell r="C191" t="str">
            <v>SPS PATSTONE RD COLLIE</v>
          </cell>
          <cell r="D191" t="str">
            <v>A- actual</v>
          </cell>
          <cell r="E191" t="str">
            <v>PS- pump station</v>
          </cell>
          <cell r="F191" t="str">
            <v>PATSTONE RD</v>
          </cell>
          <cell r="G191" t="str">
            <v>12</v>
          </cell>
          <cell r="H191" t="str">
            <v>W- water corporation</v>
          </cell>
          <cell r="I191" t="str">
            <v>18369</v>
          </cell>
          <cell r="J191" t="str">
            <v>19840101</v>
          </cell>
          <cell r="K191" t="str">
            <v>116.143597185</v>
          </cell>
          <cell r="L191" t="str">
            <v>-33.348595807</v>
          </cell>
          <cell r="M191" t="str">
            <v>H</v>
          </cell>
          <cell r="N191" t="str">
            <v>128</v>
          </cell>
          <cell r="O191" t="str">
            <v>JONES</v>
          </cell>
          <cell r="P191" t="str">
            <v>ST</v>
          </cell>
          <cell r="R191" t="str">
            <v>COLLIE</v>
          </cell>
          <cell r="S191" t="str">
            <v>6225</v>
          </cell>
        </row>
        <row r="192">
          <cell r="B192" t="str">
            <v>S0044154</v>
          </cell>
          <cell r="C192" t="str">
            <v>SPS VITTORIA RD GLEN IRIS</v>
          </cell>
          <cell r="D192" t="str">
            <v>A- actual</v>
          </cell>
          <cell r="E192" t="str">
            <v>PS- pump station</v>
          </cell>
          <cell r="F192" t="str">
            <v>VITTORIA RD</v>
          </cell>
          <cell r="G192" t="str">
            <v>2</v>
          </cell>
          <cell r="H192" t="str">
            <v>W- water corporation</v>
          </cell>
          <cell r="J192" t="str">
            <v>19950321</v>
          </cell>
          <cell r="K192" t="str">
            <v>115.679789873</v>
          </cell>
          <cell r="L192" t="str">
            <v>-33.336815343</v>
          </cell>
          <cell r="M192" t="str">
            <v>L</v>
          </cell>
          <cell r="N192" t="str">
            <v>90</v>
          </cell>
          <cell r="O192" t="str">
            <v>VITTORIA</v>
          </cell>
          <cell r="P192" t="str">
            <v>RD</v>
          </cell>
          <cell r="R192" t="str">
            <v>GLEN IRIS</v>
          </cell>
          <cell r="S192" t="str">
            <v>6230</v>
          </cell>
        </row>
        <row r="193">
          <cell r="B193" t="str">
            <v>S0044103</v>
          </cell>
          <cell r="C193" t="str">
            <v>SPS INCE RD GLEN IRIS</v>
          </cell>
          <cell r="D193" t="str">
            <v>A- actual</v>
          </cell>
          <cell r="E193" t="str">
            <v>PS- pump station</v>
          </cell>
          <cell r="F193" t="str">
            <v>INCE RD</v>
          </cell>
          <cell r="G193" t="str">
            <v>1</v>
          </cell>
          <cell r="H193" t="str">
            <v>W- water corporation</v>
          </cell>
          <cell r="J193" t="str">
            <v>19950421</v>
          </cell>
          <cell r="K193" t="str">
            <v>115.686776879</v>
          </cell>
          <cell r="L193" t="str">
            <v>-33.344541975</v>
          </cell>
          <cell r="M193" t="str">
            <v>H</v>
          </cell>
          <cell r="N193" t="str">
            <v>150</v>
          </cell>
          <cell r="O193" t="str">
            <v>INCE</v>
          </cell>
          <cell r="P193" t="str">
            <v>RD</v>
          </cell>
          <cell r="R193" t="str">
            <v>GLEN IRIS</v>
          </cell>
          <cell r="S193" t="str">
            <v>6230</v>
          </cell>
        </row>
        <row r="194">
          <cell r="D194" t="str">
            <v>N- not in use</v>
          </cell>
          <cell r="E194" t="str">
            <v>PS- pump station</v>
          </cell>
          <cell r="F194" t="str">
            <v>LOFTIE ST</v>
          </cell>
          <cell r="G194" t="str">
            <v>1</v>
          </cell>
          <cell r="H194" t="str">
            <v>W- water corporation</v>
          </cell>
          <cell r="I194" t="str">
            <v>19730</v>
          </cell>
          <cell r="J194" t="str">
            <v>19900101</v>
          </cell>
          <cell r="K194" t="str">
            <v>116.134797925</v>
          </cell>
          <cell r="L194" t="str">
            <v>-33.963568367</v>
          </cell>
          <cell r="M194" t="str">
            <v>L</v>
          </cell>
          <cell r="N194" t="str">
            <v>261</v>
          </cell>
          <cell r="O194" t="str">
            <v>LOFTIE</v>
          </cell>
          <cell r="P194" t="str">
            <v>ST</v>
          </cell>
          <cell r="R194" t="str">
            <v>BRIDGETOWN</v>
          </cell>
          <cell r="S194" t="str">
            <v>6255</v>
          </cell>
        </row>
        <row r="195">
          <cell r="B195" t="str">
            <v>S0044887</v>
          </cell>
          <cell r="C195" t="str">
            <v>SPS LINTOTT ST MANJIMUP</v>
          </cell>
          <cell r="D195" t="str">
            <v>A- actual</v>
          </cell>
          <cell r="E195" t="str">
            <v>PS- pump station</v>
          </cell>
          <cell r="F195" t="str">
            <v>LINTOTT ST</v>
          </cell>
          <cell r="G195" t="str">
            <v>3</v>
          </cell>
          <cell r="H195" t="str">
            <v>W- water corporation</v>
          </cell>
          <cell r="I195" t="str">
            <v>18373</v>
          </cell>
          <cell r="J195" t="str">
            <v>19830101</v>
          </cell>
          <cell r="K195" t="str">
            <v>116.131374168</v>
          </cell>
          <cell r="L195" t="str">
            <v>-34.2371886601</v>
          </cell>
          <cell r="M195" t="str">
            <v>H</v>
          </cell>
          <cell r="N195" t="str">
            <v>77</v>
          </cell>
          <cell r="O195" t="str">
            <v>LEMAN</v>
          </cell>
          <cell r="P195" t="str">
            <v>ST</v>
          </cell>
          <cell r="R195" t="str">
            <v>MANJIMUP</v>
          </cell>
          <cell r="S195" t="str">
            <v>6258</v>
          </cell>
        </row>
        <row r="196">
          <cell r="B196" t="str">
            <v>S0044877</v>
          </cell>
          <cell r="C196" t="str">
            <v>SPS FINCH ST MANJIMUP</v>
          </cell>
          <cell r="D196" t="str">
            <v>A- actual</v>
          </cell>
          <cell r="E196" t="str">
            <v>PS- pump station</v>
          </cell>
          <cell r="F196" t="str">
            <v>FINCH ST</v>
          </cell>
          <cell r="G196" t="str">
            <v>1</v>
          </cell>
          <cell r="H196" t="str">
            <v>W- water corporation</v>
          </cell>
          <cell r="I196" t="str">
            <v>18372</v>
          </cell>
          <cell r="J196" t="str">
            <v>19800101</v>
          </cell>
          <cell r="K196" t="str">
            <v>116.137332571</v>
          </cell>
          <cell r="L196" t="str">
            <v>-34.233144664</v>
          </cell>
          <cell r="M196" t="str">
            <v>H</v>
          </cell>
          <cell r="N196" t="str">
            <v>65</v>
          </cell>
          <cell r="O196" t="str">
            <v>GRAPHITE</v>
          </cell>
          <cell r="P196" t="str">
            <v>RD</v>
          </cell>
          <cell r="R196" t="str">
            <v>MANJIMUP</v>
          </cell>
          <cell r="S196" t="str">
            <v>6258</v>
          </cell>
        </row>
        <row r="197">
          <cell r="B197" t="str">
            <v>S0044882</v>
          </cell>
          <cell r="C197" t="str">
            <v>SPS KARRI ST MANJIMUP</v>
          </cell>
          <cell r="D197" t="str">
            <v>A- actual</v>
          </cell>
          <cell r="E197" t="str">
            <v>TPS- temporary pump station</v>
          </cell>
          <cell r="F197" t="str">
            <v>KARRI ST</v>
          </cell>
          <cell r="H197" t="str">
            <v>W- water corporation</v>
          </cell>
          <cell r="I197" t="str">
            <v>18375</v>
          </cell>
          <cell r="J197" t="str">
            <v>19790101</v>
          </cell>
          <cell r="K197" t="str">
            <v>116.162835368</v>
          </cell>
          <cell r="L197" t="str">
            <v>-34.2337239791</v>
          </cell>
          <cell r="M197" t="str">
            <v>H</v>
          </cell>
          <cell r="N197" t="str">
            <v>36</v>
          </cell>
          <cell r="O197" t="str">
            <v>KARRI</v>
          </cell>
          <cell r="P197" t="str">
            <v>ST</v>
          </cell>
          <cell r="R197" t="str">
            <v>MANJIMUP</v>
          </cell>
          <cell r="S197" t="str">
            <v>6258</v>
          </cell>
        </row>
        <row r="198">
          <cell r="B198" t="str">
            <v>S0044936</v>
          </cell>
          <cell r="C198" t="str">
            <v>SPS BROCKMAN RD PEMBERTON</v>
          </cell>
          <cell r="D198" t="str">
            <v>A- actual</v>
          </cell>
          <cell r="E198" t="str">
            <v>PS- pump station</v>
          </cell>
          <cell r="F198" t="str">
            <v>BROCKMAN RD</v>
          </cell>
          <cell r="G198" t="str">
            <v>2</v>
          </cell>
          <cell r="H198" t="str">
            <v>W- water corporation</v>
          </cell>
          <cell r="I198" t="str">
            <v>44976</v>
          </cell>
          <cell r="J198" t="str">
            <v>19941124</v>
          </cell>
          <cell r="K198" t="str">
            <v>116.038702871</v>
          </cell>
          <cell r="L198" t="str">
            <v>-34.442838029</v>
          </cell>
          <cell r="M198" t="str">
            <v>H</v>
          </cell>
          <cell r="N198" t="str">
            <v>102</v>
          </cell>
          <cell r="O198" t="str">
            <v>BROCKMAN</v>
          </cell>
          <cell r="P198" t="str">
            <v>ST</v>
          </cell>
          <cell r="R198" t="str">
            <v>PEMBERTON</v>
          </cell>
          <cell r="S198" t="str">
            <v>6260</v>
          </cell>
        </row>
        <row r="199">
          <cell r="B199" t="str">
            <v>S0044941</v>
          </cell>
          <cell r="C199" t="str">
            <v>SPS PUMPHILL RD PEMBERTON</v>
          </cell>
          <cell r="D199" t="str">
            <v>A- actual</v>
          </cell>
          <cell r="E199" t="str">
            <v>PS- pump station</v>
          </cell>
          <cell r="F199" t="str">
            <v>PUMP HILL RD</v>
          </cell>
          <cell r="G199" t="str">
            <v>1</v>
          </cell>
          <cell r="H199" t="str">
            <v>W- water corporation</v>
          </cell>
          <cell r="I199" t="str">
            <v>44974</v>
          </cell>
          <cell r="J199" t="str">
            <v>19941124</v>
          </cell>
          <cell r="K199" t="str">
            <v>116.027955113</v>
          </cell>
          <cell r="L199" t="str">
            <v>-34.447335136</v>
          </cell>
          <cell r="M199" t="str">
            <v>H</v>
          </cell>
          <cell r="N199" t="str">
            <v>1</v>
          </cell>
          <cell r="O199" t="str">
            <v>CLUB</v>
          </cell>
          <cell r="P199" t="str">
            <v>RD</v>
          </cell>
          <cell r="R199" t="str">
            <v>PEMBERTON</v>
          </cell>
          <cell r="S199" t="str">
            <v>6260</v>
          </cell>
        </row>
        <row r="200">
          <cell r="B200" t="str">
            <v>S0045023</v>
          </cell>
          <cell r="C200" t="str">
            <v>SPS SOUTH WEST HWY WAROONA</v>
          </cell>
          <cell r="D200" t="str">
            <v>A- actual</v>
          </cell>
          <cell r="E200" t="str">
            <v>PS- pump station</v>
          </cell>
          <cell r="F200" t="str">
            <v>SOUTH WEST HWY</v>
          </cell>
          <cell r="G200" t="str">
            <v>1</v>
          </cell>
          <cell r="H200" t="str">
            <v>W- water corporation</v>
          </cell>
          <cell r="I200" t="str">
            <v>18467</v>
          </cell>
          <cell r="J200" t="str">
            <v>19880101</v>
          </cell>
          <cell r="K200" t="str">
            <v>115.920085476</v>
          </cell>
          <cell r="L200" t="str">
            <v>-32.840262173</v>
          </cell>
          <cell r="M200" t="str">
            <v>H</v>
          </cell>
          <cell r="N200" t="str">
            <v>35</v>
          </cell>
          <cell r="O200" t="str">
            <v>SOUTH WESTERN</v>
          </cell>
          <cell r="P200" t="str">
            <v>HWY</v>
          </cell>
          <cell r="R200" t="str">
            <v>WAROONA</v>
          </cell>
          <cell r="S200" t="str">
            <v>6215</v>
          </cell>
        </row>
        <row r="201">
          <cell r="B201" t="str">
            <v>S021-002-001</v>
          </cell>
          <cell r="C201" t="str">
            <v>SPS BENNETT ST BREMER BAY</v>
          </cell>
          <cell r="D201" t="str">
            <v>A- actual</v>
          </cell>
          <cell r="E201" t="str">
            <v>PS- pump station</v>
          </cell>
          <cell r="F201" t="str">
            <v>BENNETT STREET</v>
          </cell>
          <cell r="G201" t="str">
            <v>1</v>
          </cell>
          <cell r="H201" t="str">
            <v>W- water corporation</v>
          </cell>
          <cell r="I201" t="str">
            <v>16928</v>
          </cell>
          <cell r="J201" t="str">
            <v>19890101</v>
          </cell>
          <cell r="K201" t="str">
            <v>119.380981955</v>
          </cell>
          <cell r="L201" t="str">
            <v>-34.3893579198</v>
          </cell>
          <cell r="M201" t="str">
            <v>H</v>
          </cell>
          <cell r="N201" t="str">
            <v>49</v>
          </cell>
          <cell r="O201" t="str">
            <v>BENNETT</v>
          </cell>
          <cell r="P201" t="str">
            <v>ST</v>
          </cell>
          <cell r="R201" t="str">
            <v>BREMER BAY</v>
          </cell>
          <cell r="S201" t="str">
            <v>6338</v>
          </cell>
        </row>
        <row r="202">
          <cell r="B202" t="str">
            <v>S024-002-001</v>
          </cell>
          <cell r="C202" t="str">
            <v>SPS DENNY ST GNOWANGERUP</v>
          </cell>
          <cell r="D202" t="str">
            <v>A- actual</v>
          </cell>
          <cell r="E202" t="str">
            <v>PS- pump station</v>
          </cell>
          <cell r="F202" t="str">
            <v>DENNY STREET</v>
          </cell>
          <cell r="G202" t="str">
            <v>1</v>
          </cell>
          <cell r="H202" t="str">
            <v>W- water corporation</v>
          </cell>
          <cell r="I202" t="str">
            <v>16946</v>
          </cell>
          <cell r="J202" t="str">
            <v>19650101</v>
          </cell>
          <cell r="K202" t="str">
            <v>118.011012666</v>
          </cell>
          <cell r="L202" t="str">
            <v>-33.9360709615</v>
          </cell>
          <cell r="M202" t="str">
            <v>H</v>
          </cell>
          <cell r="N202" t="str">
            <v>18</v>
          </cell>
          <cell r="O202" t="str">
            <v>DENNY</v>
          </cell>
          <cell r="P202" t="str">
            <v>ST</v>
          </cell>
          <cell r="R202" t="str">
            <v>GNOWANGERUP</v>
          </cell>
          <cell r="S202" t="str">
            <v>6335</v>
          </cell>
        </row>
        <row r="203">
          <cell r="B203" t="str">
            <v>S0044164</v>
          </cell>
          <cell r="C203" t="str">
            <v>SPS ARMANTA DR CAREY PARK</v>
          </cell>
          <cell r="D203" t="str">
            <v>A- actual</v>
          </cell>
          <cell r="E203" t="str">
            <v>PS- pump station</v>
          </cell>
          <cell r="F203" t="str">
            <v>ARMANTA DR</v>
          </cell>
          <cell r="G203" t="str">
            <v>17</v>
          </cell>
          <cell r="H203" t="str">
            <v>W- water corporation</v>
          </cell>
          <cell r="J203" t="str">
            <v>19920101</v>
          </cell>
          <cell r="K203" t="str">
            <v>115.660672573</v>
          </cell>
          <cell r="L203" t="str">
            <v>-33.36253865</v>
          </cell>
          <cell r="M203" t="str">
            <v>H</v>
          </cell>
          <cell r="N203" t="str">
            <v>1</v>
          </cell>
          <cell r="O203" t="str">
            <v>YOUNG</v>
          </cell>
          <cell r="P203" t="str">
            <v>CL</v>
          </cell>
          <cell r="R203" t="str">
            <v>CAREY PARK</v>
          </cell>
          <cell r="S203" t="str">
            <v>6230</v>
          </cell>
        </row>
        <row r="204">
          <cell r="B204" t="str">
            <v>S0044145</v>
          </cell>
          <cell r="C204" t="str">
            <v>SPS TIMPERLEY RD STH BUNBURY</v>
          </cell>
          <cell r="D204" t="str">
            <v>A- actual</v>
          </cell>
          <cell r="E204" t="str">
            <v>PS- pump station</v>
          </cell>
          <cell r="F204" t="str">
            <v>TIMPERLEY RD</v>
          </cell>
          <cell r="G204" t="str">
            <v>20</v>
          </cell>
          <cell r="H204" t="str">
            <v>W- water corporation</v>
          </cell>
          <cell r="J204" t="str">
            <v>19810101</v>
          </cell>
          <cell r="K204" t="str">
            <v>115.637097655</v>
          </cell>
          <cell r="L204" t="str">
            <v>-33.35411169</v>
          </cell>
          <cell r="M204" t="str">
            <v>H</v>
          </cell>
          <cell r="N204" t="str">
            <v>12</v>
          </cell>
          <cell r="O204" t="str">
            <v>CRADDOCK</v>
          </cell>
          <cell r="P204" t="str">
            <v>PL</v>
          </cell>
          <cell r="R204" t="str">
            <v>SOUTH BUNBURY</v>
          </cell>
          <cell r="S204" t="str">
            <v>6230</v>
          </cell>
        </row>
        <row r="205">
          <cell r="B205" t="str">
            <v>S0044159</v>
          </cell>
          <cell r="C205" t="str">
            <v>SPS WASHINGTON AVE WITHERS</v>
          </cell>
          <cell r="D205" t="str">
            <v>A- actual</v>
          </cell>
          <cell r="E205" t="str">
            <v>PS- pump station</v>
          </cell>
          <cell r="F205" t="str">
            <v>WASHINGTON AV</v>
          </cell>
          <cell r="G205" t="str">
            <v>21</v>
          </cell>
          <cell r="H205" t="str">
            <v>W- water corporation</v>
          </cell>
          <cell r="I205" t="str">
            <v>18416</v>
          </cell>
          <cell r="J205" t="str">
            <v>19830101</v>
          </cell>
          <cell r="K205" t="str">
            <v>115.646276208</v>
          </cell>
          <cell r="L205" t="str">
            <v>-33.374474906</v>
          </cell>
          <cell r="M205" t="str">
            <v>L</v>
          </cell>
          <cell r="N205" t="str">
            <v>633</v>
          </cell>
          <cell r="O205" t="str">
            <v>WASHINGTON</v>
          </cell>
          <cell r="P205" t="str">
            <v>AV</v>
          </cell>
          <cell r="R205" t="str">
            <v>WITHERS</v>
          </cell>
          <cell r="S205" t="str">
            <v>6230</v>
          </cell>
        </row>
        <row r="206">
          <cell r="D206" t="str">
            <v>A- actual</v>
          </cell>
          <cell r="E206" t="str">
            <v>PS- pump station</v>
          </cell>
          <cell r="F206" t="str">
            <v>RES 31044 868</v>
          </cell>
          <cell r="H206" t="str">
            <v>P- private</v>
          </cell>
          <cell r="J206" t="str">
            <v>19000101</v>
          </cell>
          <cell r="K206" t="str">
            <v>115.657142569</v>
          </cell>
          <cell r="L206" t="str">
            <v>-33.364123874</v>
          </cell>
          <cell r="M206" t="str">
            <v>H</v>
          </cell>
          <cell r="N206" t="str">
            <v>5</v>
          </cell>
          <cell r="O206" t="str">
            <v>MIDAS</v>
          </cell>
          <cell r="P206" t="str">
            <v>ST</v>
          </cell>
          <cell r="R206" t="str">
            <v>CAREY PARK</v>
          </cell>
          <cell r="S206" t="str">
            <v>6230</v>
          </cell>
        </row>
        <row r="207">
          <cell r="B207" t="str">
            <v>S0044027</v>
          </cell>
          <cell r="C207" t="str">
            <v>SPS BRITTAIN RD CAREY PARK</v>
          </cell>
          <cell r="D207" t="str">
            <v>A- actual</v>
          </cell>
          <cell r="E207" t="str">
            <v>PS- pump station</v>
          </cell>
          <cell r="F207" t="str">
            <v>BRITTAIN RD</v>
          </cell>
          <cell r="G207" t="str">
            <v>16</v>
          </cell>
          <cell r="H207" t="str">
            <v>W- water corporation</v>
          </cell>
          <cell r="I207" t="str">
            <v>18411</v>
          </cell>
          <cell r="J207" t="str">
            <v>19790101</v>
          </cell>
          <cell r="K207" t="str">
            <v>115.648155433</v>
          </cell>
          <cell r="L207" t="str">
            <v>-33.359053324</v>
          </cell>
          <cell r="M207" t="str">
            <v>L</v>
          </cell>
          <cell r="N207" t="str">
            <v>601</v>
          </cell>
          <cell r="O207" t="str">
            <v>BRITTAIN</v>
          </cell>
          <cell r="P207" t="str">
            <v>RD</v>
          </cell>
          <cell r="R207" t="str">
            <v>CAREY PARK</v>
          </cell>
          <cell r="S207" t="str">
            <v>6230</v>
          </cell>
        </row>
        <row r="208">
          <cell r="B208" t="str">
            <v>S0044112</v>
          </cell>
          <cell r="C208" t="str">
            <v>SPS PARADE RD WITHERS</v>
          </cell>
          <cell r="D208" t="str">
            <v>N- not in use</v>
          </cell>
          <cell r="E208" t="str">
            <v>PS- pump station</v>
          </cell>
          <cell r="F208" t="str">
            <v>BUNBURY</v>
          </cell>
          <cell r="G208" t="str">
            <v>13</v>
          </cell>
          <cell r="H208" t="str">
            <v>W- water corporation</v>
          </cell>
          <cell r="I208" t="str">
            <v>65704</v>
          </cell>
          <cell r="J208" t="str">
            <v>19920101</v>
          </cell>
          <cell r="K208" t="str">
            <v>115.637916663</v>
          </cell>
          <cell r="L208" t="str">
            <v>-33.366891147</v>
          </cell>
          <cell r="M208" t="str">
            <v>L</v>
          </cell>
          <cell r="N208" t="str">
            <v>5221</v>
          </cell>
          <cell r="O208" t="str">
            <v>PARADE</v>
          </cell>
          <cell r="P208" t="str">
            <v>RD</v>
          </cell>
          <cell r="R208" t="str">
            <v>WITHERS</v>
          </cell>
          <cell r="S208" t="str">
            <v>6230</v>
          </cell>
        </row>
        <row r="209">
          <cell r="B209" t="str">
            <v>S0044380</v>
          </cell>
          <cell r="C209" t="str">
            <v>SPS BEVAN WAY COLLIE</v>
          </cell>
          <cell r="D209" t="str">
            <v>A- actual</v>
          </cell>
          <cell r="E209" t="str">
            <v>PS- pump station</v>
          </cell>
          <cell r="F209" t="str">
            <v>BEVAN WAY</v>
          </cell>
          <cell r="G209" t="str">
            <v>11</v>
          </cell>
          <cell r="H209" t="str">
            <v>W- water corporation</v>
          </cell>
          <cell r="J209" t="str">
            <v>19840430</v>
          </cell>
          <cell r="K209" t="str">
            <v>116.170370355</v>
          </cell>
          <cell r="L209" t="str">
            <v>-33.354408689</v>
          </cell>
          <cell r="M209" t="str">
            <v>L</v>
          </cell>
          <cell r="N209" t="str">
            <v>2765</v>
          </cell>
          <cell r="O209" t="str">
            <v>BEVAN</v>
          </cell>
          <cell r="P209" t="str">
            <v>WAY</v>
          </cell>
          <cell r="R209" t="str">
            <v>COLLIE</v>
          </cell>
          <cell r="S209" t="str">
            <v>6225</v>
          </cell>
        </row>
        <row r="210">
          <cell r="B210" t="str">
            <v>S0044400</v>
          </cell>
          <cell r="C210" t="str">
            <v>SPS GIBBS RD COLLIE</v>
          </cell>
          <cell r="D210" t="str">
            <v>A- actual</v>
          </cell>
          <cell r="E210" t="str">
            <v>PS- pump station</v>
          </cell>
          <cell r="F210" t="str">
            <v>GIBBS RD</v>
          </cell>
          <cell r="G210" t="str">
            <v>10</v>
          </cell>
          <cell r="H210" t="str">
            <v>W- water corporation</v>
          </cell>
          <cell r="I210" t="str">
            <v>18367</v>
          </cell>
          <cell r="J210" t="str">
            <v>19860416</v>
          </cell>
          <cell r="K210" t="str">
            <v>116.164683527</v>
          </cell>
          <cell r="L210" t="str">
            <v>-33.359494379</v>
          </cell>
          <cell r="M210" t="str">
            <v>L</v>
          </cell>
          <cell r="N210" t="str">
            <v>2764</v>
          </cell>
          <cell r="O210" t="str">
            <v>GIBBS</v>
          </cell>
          <cell r="P210" t="str">
            <v>RD</v>
          </cell>
          <cell r="R210" t="str">
            <v>COLLIE</v>
          </cell>
          <cell r="S210" t="str">
            <v>6225</v>
          </cell>
        </row>
        <row r="211">
          <cell r="B211" t="str">
            <v>S0044395</v>
          </cell>
          <cell r="C211" t="str">
            <v>SPS DAVID HAY ST COLLIE</v>
          </cell>
          <cell r="D211" t="str">
            <v>A- actual</v>
          </cell>
          <cell r="E211" t="str">
            <v>PS- pump station</v>
          </cell>
          <cell r="F211" t="str">
            <v>DAVID HAY ST</v>
          </cell>
          <cell r="G211" t="str">
            <v>5</v>
          </cell>
          <cell r="H211" t="str">
            <v>W- water corporation</v>
          </cell>
          <cell r="I211" t="str">
            <v>18363</v>
          </cell>
          <cell r="J211" t="str">
            <v>19770803</v>
          </cell>
          <cell r="K211" t="str">
            <v>116.164298995</v>
          </cell>
          <cell r="L211" t="str">
            <v>-33.362472056</v>
          </cell>
          <cell r="M211" t="str">
            <v>L</v>
          </cell>
          <cell r="N211" t="str">
            <v>2047</v>
          </cell>
          <cell r="O211" t="str">
            <v>DAVID-HAY</v>
          </cell>
          <cell r="P211" t="str">
            <v>ST</v>
          </cell>
          <cell r="R211" t="str">
            <v>COLLIE</v>
          </cell>
          <cell r="S211" t="str">
            <v>6225</v>
          </cell>
        </row>
        <row r="212">
          <cell r="B212" t="str">
            <v>S0044415</v>
          </cell>
          <cell r="C212" t="str">
            <v>SPS RIVER AVE COLLIE</v>
          </cell>
          <cell r="D212" t="str">
            <v>A- actual</v>
          </cell>
          <cell r="E212" t="str">
            <v>PS- pump station</v>
          </cell>
          <cell r="F212" t="str">
            <v>RIVER AVE</v>
          </cell>
          <cell r="G212" t="str">
            <v>8</v>
          </cell>
          <cell r="H212" t="str">
            <v>W- water corporation</v>
          </cell>
          <cell r="I212" t="str">
            <v>51478</v>
          </cell>
          <cell r="J212" t="str">
            <v>19830920</v>
          </cell>
          <cell r="K212" t="str">
            <v>116.160707121</v>
          </cell>
          <cell r="L212" t="str">
            <v>-33.355720163</v>
          </cell>
          <cell r="M212" t="str">
            <v>H</v>
          </cell>
          <cell r="N212" t="str">
            <v>1</v>
          </cell>
          <cell r="O212" t="str">
            <v>RIVER</v>
          </cell>
          <cell r="P212" t="str">
            <v>AV</v>
          </cell>
          <cell r="R212" t="str">
            <v>COLLIE</v>
          </cell>
          <cell r="S212" t="str">
            <v>6225</v>
          </cell>
        </row>
        <row r="213">
          <cell r="B213" t="str">
            <v>S0044405</v>
          </cell>
          <cell r="C213" t="str">
            <v>SPS MEDIC ST COLLIE</v>
          </cell>
          <cell r="D213" t="str">
            <v>A- actual</v>
          </cell>
          <cell r="E213" t="str">
            <v>PS- pump station</v>
          </cell>
          <cell r="F213" t="str">
            <v>MEDIC ST</v>
          </cell>
          <cell r="G213" t="str">
            <v>1</v>
          </cell>
          <cell r="H213" t="str">
            <v>W- water corporation</v>
          </cell>
          <cell r="I213" t="str">
            <v>18360</v>
          </cell>
          <cell r="J213" t="str">
            <v>19490101</v>
          </cell>
          <cell r="K213" t="str">
            <v>116.154792354</v>
          </cell>
          <cell r="L213" t="str">
            <v>-33.3561997339</v>
          </cell>
          <cell r="M213" t="str">
            <v>L</v>
          </cell>
          <cell r="N213" t="str">
            <v>2851</v>
          </cell>
          <cell r="O213" t="str">
            <v>MEDIC</v>
          </cell>
          <cell r="P213" t="str">
            <v>ST</v>
          </cell>
          <cell r="R213" t="str">
            <v>COLLIE</v>
          </cell>
          <cell r="S213" t="str">
            <v>6225</v>
          </cell>
        </row>
        <row r="214">
          <cell r="B214" t="str">
            <v>S0044390</v>
          </cell>
          <cell r="C214" t="str">
            <v>SPS CRAMPTON ST COLLIE</v>
          </cell>
          <cell r="D214" t="str">
            <v>A- actual</v>
          </cell>
          <cell r="E214" t="str">
            <v>PS- pump station</v>
          </cell>
          <cell r="F214" t="str">
            <v>CRAMPTON ST</v>
          </cell>
          <cell r="G214" t="str">
            <v>2</v>
          </cell>
          <cell r="H214" t="str">
            <v>W- water corporation</v>
          </cell>
          <cell r="I214" t="str">
            <v>18361</v>
          </cell>
          <cell r="J214" t="str">
            <v>19540101</v>
          </cell>
          <cell r="K214" t="str">
            <v>116.151547389</v>
          </cell>
          <cell r="L214" t="str">
            <v>-33.365877124</v>
          </cell>
          <cell r="M214" t="str">
            <v>L</v>
          </cell>
          <cell r="N214" t="str">
            <v>5460</v>
          </cell>
          <cell r="O214" t="str">
            <v>CRAMPTON</v>
          </cell>
          <cell r="P214" t="str">
            <v>ST</v>
          </cell>
          <cell r="R214" t="str">
            <v>COLLIE</v>
          </cell>
          <cell r="S214" t="str">
            <v>6225</v>
          </cell>
        </row>
        <row r="215">
          <cell r="B215" t="str">
            <v>S0044038</v>
          </cell>
          <cell r="C215" t="str">
            <v>SPS DIXON ST CAREY PARK</v>
          </cell>
          <cell r="D215" t="str">
            <v>A- actual</v>
          </cell>
          <cell r="E215" t="str">
            <v>PS- pump station</v>
          </cell>
          <cell r="F215" t="str">
            <v>DIXON ST</v>
          </cell>
          <cell r="G215" t="str">
            <v>25</v>
          </cell>
          <cell r="H215" t="str">
            <v>W- water corporation</v>
          </cell>
          <cell r="I215" t="str">
            <v>18420</v>
          </cell>
          <cell r="J215" t="str">
            <v>19830101</v>
          </cell>
          <cell r="K215" t="str">
            <v>115.65931098</v>
          </cell>
          <cell r="L215" t="str">
            <v>-33.355133949</v>
          </cell>
          <cell r="M215" t="str">
            <v>H</v>
          </cell>
          <cell r="N215" t="str">
            <v>22</v>
          </cell>
          <cell r="O215" t="str">
            <v>KIMBER</v>
          </cell>
          <cell r="P215" t="str">
            <v>ST</v>
          </cell>
          <cell r="R215" t="str">
            <v>CAREY PARK</v>
          </cell>
          <cell r="S215" t="str">
            <v>6230</v>
          </cell>
        </row>
        <row r="216">
          <cell r="B216" t="str">
            <v>S0044051</v>
          </cell>
          <cell r="C216" t="str">
            <v>SPS ECCLESTONE ST CAREY PARK</v>
          </cell>
          <cell r="D216" t="str">
            <v>A- actual</v>
          </cell>
          <cell r="E216" t="str">
            <v>PS- pump station</v>
          </cell>
          <cell r="F216" t="str">
            <v>ECCLESTONE ST</v>
          </cell>
          <cell r="G216" t="str">
            <v>24</v>
          </cell>
          <cell r="H216" t="str">
            <v>W- water corporation</v>
          </cell>
          <cell r="I216" t="str">
            <v>18419</v>
          </cell>
          <cell r="J216" t="str">
            <v>19810101</v>
          </cell>
          <cell r="K216" t="str">
            <v>115.651546367</v>
          </cell>
          <cell r="L216" t="str">
            <v>-33.3541521647</v>
          </cell>
          <cell r="M216" t="str">
            <v>L</v>
          </cell>
          <cell r="N216" t="str">
            <v>635</v>
          </cell>
          <cell r="O216" t="str">
            <v>ECCLESTONE</v>
          </cell>
          <cell r="P216" t="str">
            <v>ST</v>
          </cell>
          <cell r="R216" t="str">
            <v>CAREY PARK</v>
          </cell>
          <cell r="S216" t="str">
            <v>6230</v>
          </cell>
        </row>
        <row r="217">
          <cell r="B217" t="str">
            <v>S0044169</v>
          </cell>
          <cell r="C217" t="str">
            <v>SPS ORIEL CT COLLEGE GROVE</v>
          </cell>
          <cell r="D217" t="str">
            <v>A- actual</v>
          </cell>
          <cell r="E217" t="str">
            <v>PS- pump station</v>
          </cell>
          <cell r="F217" t="str">
            <v>ORIEL CT</v>
          </cell>
          <cell r="G217" t="str">
            <v>30</v>
          </cell>
          <cell r="H217" t="str">
            <v>W- water corporation</v>
          </cell>
          <cell r="J217" t="str">
            <v>19931015</v>
          </cell>
          <cell r="K217" t="str">
            <v>115.65732964</v>
          </cell>
          <cell r="L217" t="str">
            <v>-33.374796179</v>
          </cell>
          <cell r="M217" t="str">
            <v>H</v>
          </cell>
          <cell r="N217" t="str">
            <v>40</v>
          </cell>
          <cell r="O217" t="str">
            <v>ORIEL</v>
          </cell>
          <cell r="P217" t="str">
            <v>CT</v>
          </cell>
          <cell r="R217" t="str">
            <v>COLLEGE GROVE</v>
          </cell>
          <cell r="S217" t="str">
            <v>6230</v>
          </cell>
        </row>
        <row r="218">
          <cell r="B218" t="str">
            <v>S0044107</v>
          </cell>
          <cell r="C218" t="str">
            <v>PARADE RD WWPS</v>
          </cell>
          <cell r="D218" t="str">
            <v>A- actual</v>
          </cell>
          <cell r="E218" t="str">
            <v>PS- pump station</v>
          </cell>
          <cell r="F218" t="str">
            <v>PARADE RD</v>
          </cell>
          <cell r="H218" t="str">
            <v>W- water corporation</v>
          </cell>
          <cell r="I218" t="str">
            <v>18408</v>
          </cell>
          <cell r="J218" t="str">
            <v>19940222</v>
          </cell>
          <cell r="K218" t="str">
            <v>115.638040049</v>
          </cell>
          <cell r="L218" t="str">
            <v>-33.366452581</v>
          </cell>
          <cell r="M218" t="str">
            <v>L</v>
          </cell>
          <cell r="N218" t="str">
            <v>768</v>
          </cell>
          <cell r="O218" t="str">
            <v>PARADE</v>
          </cell>
          <cell r="P218" t="str">
            <v>RD</v>
          </cell>
          <cell r="R218" t="str">
            <v>WITHERS</v>
          </cell>
          <cell r="S218" t="str">
            <v>6230</v>
          </cell>
        </row>
        <row r="219">
          <cell r="D219" t="str">
            <v>A- actual</v>
          </cell>
          <cell r="E219" t="str">
            <v>PS- pump station</v>
          </cell>
          <cell r="F219" t="str">
            <v>PALMER CR</v>
          </cell>
          <cell r="H219" t="str">
            <v>P- private</v>
          </cell>
          <cell r="J219" t="str">
            <v>19940916</v>
          </cell>
          <cell r="K219" t="str">
            <v>115.663058841</v>
          </cell>
          <cell r="L219" t="str">
            <v>-33.361756225</v>
          </cell>
          <cell r="M219" t="str">
            <v>H</v>
          </cell>
          <cell r="N219" t="str">
            <v>17</v>
          </cell>
          <cell r="O219" t="str">
            <v>PALMER</v>
          </cell>
          <cell r="P219" t="str">
            <v>CR</v>
          </cell>
          <cell r="R219" t="str">
            <v>DAVENPORT</v>
          </cell>
          <cell r="S219" t="str">
            <v>6230</v>
          </cell>
        </row>
        <row r="220">
          <cell r="B220" t="str">
            <v>S028-002-001</v>
          </cell>
          <cell r="C220" t="str">
            <v>SPS HAVELOCK ST NARROGIN</v>
          </cell>
          <cell r="D220" t="str">
            <v>A- actual</v>
          </cell>
          <cell r="E220" t="str">
            <v>PS- pump station</v>
          </cell>
          <cell r="F220" t="str">
            <v>HAVELOCK STREET</v>
          </cell>
          <cell r="G220" t="str">
            <v>1</v>
          </cell>
          <cell r="H220" t="str">
            <v>W- water corporation</v>
          </cell>
          <cell r="I220" t="str">
            <v>16893</v>
          </cell>
          <cell r="J220" t="str">
            <v>19630101</v>
          </cell>
          <cell r="K220" t="str">
            <v>117.184987223</v>
          </cell>
          <cell r="L220" t="str">
            <v>-32.9430175314</v>
          </cell>
          <cell r="M220" t="str">
            <v>H</v>
          </cell>
          <cell r="N220" t="str">
            <v>68</v>
          </cell>
          <cell r="O220" t="str">
            <v>HAVELOCK</v>
          </cell>
          <cell r="P220" t="str">
            <v>ST</v>
          </cell>
          <cell r="R220" t="str">
            <v>NARROGIN</v>
          </cell>
          <cell r="S220" t="str">
            <v>6312</v>
          </cell>
        </row>
        <row r="221">
          <cell r="D221" t="str">
            <v>N- not in use</v>
          </cell>
          <cell r="E221" t="str">
            <v>PS- pump station</v>
          </cell>
          <cell r="F221" t="str">
            <v>L 27 PARRY CT</v>
          </cell>
          <cell r="H221" t="str">
            <v>P- private</v>
          </cell>
          <cell r="J221" t="str">
            <v>19911204</v>
          </cell>
          <cell r="K221" t="str">
            <v>117.165543256</v>
          </cell>
          <cell r="L221" t="str">
            <v>-32.941535616</v>
          </cell>
          <cell r="M221" t="str">
            <v>H</v>
          </cell>
          <cell r="N221" t="str">
            <v>8</v>
          </cell>
          <cell r="O221" t="str">
            <v>PARRY</v>
          </cell>
          <cell r="P221" t="str">
            <v>CT</v>
          </cell>
          <cell r="R221" t="str">
            <v>NARROGIN</v>
          </cell>
          <cell r="S221" t="str">
            <v>6312</v>
          </cell>
        </row>
        <row r="222">
          <cell r="B222" t="str">
            <v>S031-002-003</v>
          </cell>
          <cell r="C222" t="str">
            <v>SPS TUDOR ST WAGIN</v>
          </cell>
          <cell r="D222" t="str">
            <v>A- actual</v>
          </cell>
          <cell r="E222" t="str">
            <v>PS- pump station</v>
          </cell>
          <cell r="F222" t="str">
            <v>TUDOR STREET</v>
          </cell>
          <cell r="G222" t="str">
            <v>3</v>
          </cell>
          <cell r="H222" t="str">
            <v>W- water corporation</v>
          </cell>
          <cell r="I222" t="str">
            <v>16900</v>
          </cell>
          <cell r="J222" t="str">
            <v>19790101</v>
          </cell>
          <cell r="K222" t="str">
            <v>117.341818501</v>
          </cell>
          <cell r="L222" t="str">
            <v>-33.3027218456</v>
          </cell>
          <cell r="M222" t="str">
            <v>H</v>
          </cell>
          <cell r="N222" t="str">
            <v>163</v>
          </cell>
          <cell r="O222" t="str">
            <v>TUDOR</v>
          </cell>
          <cell r="P222" t="str">
            <v>ST</v>
          </cell>
          <cell r="R222" t="str">
            <v>WAGIN</v>
          </cell>
          <cell r="S222" t="str">
            <v>6315</v>
          </cell>
        </row>
        <row r="223">
          <cell r="B223" t="str">
            <v>S031-002-002</v>
          </cell>
          <cell r="C223" t="str">
            <v>SPS UNION ST WAGIN</v>
          </cell>
          <cell r="D223" t="str">
            <v>A- actual</v>
          </cell>
          <cell r="E223" t="str">
            <v>ES- ejector station</v>
          </cell>
          <cell r="F223" t="str">
            <v>UNION STREET</v>
          </cell>
          <cell r="G223" t="str">
            <v>2</v>
          </cell>
          <cell r="H223" t="str">
            <v>W- water corporation</v>
          </cell>
          <cell r="I223" t="str">
            <v>16899</v>
          </cell>
          <cell r="J223" t="str">
            <v>19750101</v>
          </cell>
          <cell r="K223" t="str">
            <v>117.34688959</v>
          </cell>
          <cell r="L223" t="str">
            <v>-33.31361271</v>
          </cell>
          <cell r="M223" t="str">
            <v>H</v>
          </cell>
          <cell r="N223" t="str">
            <v>35</v>
          </cell>
          <cell r="O223" t="str">
            <v>TUDOR</v>
          </cell>
          <cell r="P223" t="str">
            <v>ST</v>
          </cell>
          <cell r="R223" t="str">
            <v>WAGIN</v>
          </cell>
          <cell r="S223" t="str">
            <v>6315</v>
          </cell>
        </row>
        <row r="224">
          <cell r="B224" t="str">
            <v>S031-002-001</v>
          </cell>
          <cell r="C224" t="str">
            <v>SPS VICTOR ST WAGIN</v>
          </cell>
          <cell r="D224" t="str">
            <v>A- actual</v>
          </cell>
          <cell r="E224" t="str">
            <v>ES- ejector station</v>
          </cell>
          <cell r="F224" t="str">
            <v>VICTOR STREET</v>
          </cell>
          <cell r="G224" t="str">
            <v>1</v>
          </cell>
          <cell r="H224" t="str">
            <v>W- water corporation</v>
          </cell>
          <cell r="I224" t="str">
            <v>16898</v>
          </cell>
          <cell r="J224" t="str">
            <v>19700101</v>
          </cell>
          <cell r="K224" t="str">
            <v>117.34612574</v>
          </cell>
          <cell r="L224" t="str">
            <v>-33.30728052</v>
          </cell>
          <cell r="M224" t="str">
            <v>H</v>
          </cell>
          <cell r="N224" t="str">
            <v>30</v>
          </cell>
          <cell r="O224" t="str">
            <v>VENTNOR</v>
          </cell>
          <cell r="P224" t="str">
            <v>ST</v>
          </cell>
          <cell r="R224" t="str">
            <v>WAGIN</v>
          </cell>
          <cell r="S224" t="str">
            <v>6315</v>
          </cell>
        </row>
        <row r="225">
          <cell r="B225" t="str">
            <v>S020-002-001</v>
          </cell>
          <cell r="C225" t="str">
            <v>SPS WURAMING AVE BODDINGTON</v>
          </cell>
          <cell r="D225" t="str">
            <v>A- actual</v>
          </cell>
          <cell r="E225" t="str">
            <v>PS- pump station</v>
          </cell>
          <cell r="F225" t="str">
            <v>WURAMING AVE</v>
          </cell>
          <cell r="G225" t="str">
            <v>1</v>
          </cell>
          <cell r="H225" t="str">
            <v>W- water corporation</v>
          </cell>
          <cell r="I225" t="str">
            <v>16889</v>
          </cell>
          <cell r="J225" t="str">
            <v>19870101</v>
          </cell>
          <cell r="K225" t="str">
            <v>116.472385045</v>
          </cell>
          <cell r="L225" t="str">
            <v>-32.800373401</v>
          </cell>
          <cell r="M225" t="str">
            <v>H</v>
          </cell>
          <cell r="N225" t="str">
            <v>38</v>
          </cell>
          <cell r="O225" t="str">
            <v>WURAMING</v>
          </cell>
          <cell r="P225" t="str">
            <v>AV</v>
          </cell>
          <cell r="R225" t="str">
            <v>BODDINGTON</v>
          </cell>
          <cell r="S225" t="str">
            <v>6390</v>
          </cell>
        </row>
        <row r="226">
          <cell r="B226" t="str">
            <v>S031-002-004</v>
          </cell>
          <cell r="C226" t="str">
            <v>SPS BODDINGTON ST WAGIN</v>
          </cell>
          <cell r="D226" t="str">
            <v>A- actual</v>
          </cell>
          <cell r="E226" t="str">
            <v>PS- pump station</v>
          </cell>
          <cell r="F226" t="str">
            <v>BODDINGTON STREET</v>
          </cell>
          <cell r="G226" t="str">
            <v>4</v>
          </cell>
          <cell r="H226" t="str">
            <v>W- water corporation</v>
          </cell>
          <cell r="I226" t="str">
            <v>56718</v>
          </cell>
          <cell r="J226" t="str">
            <v>19950824</v>
          </cell>
          <cell r="K226" t="str">
            <v>117.350464344</v>
          </cell>
          <cell r="L226" t="str">
            <v>-33.3056258332</v>
          </cell>
          <cell r="M226" t="str">
            <v>L</v>
          </cell>
          <cell r="N226" t="str">
            <v>1911</v>
          </cell>
          <cell r="O226" t="str">
            <v>BODDINGTON</v>
          </cell>
          <cell r="P226" t="str">
            <v>ST</v>
          </cell>
          <cell r="R226" t="str">
            <v>WAGIN</v>
          </cell>
          <cell r="S226" t="str">
            <v>6315</v>
          </cell>
        </row>
        <row r="227">
          <cell r="B227" t="str">
            <v>S023-002-001</v>
          </cell>
          <cell r="C227" t="str">
            <v>SPS HOLLINGS RD DENMARK</v>
          </cell>
          <cell r="D227" t="str">
            <v>A- actual</v>
          </cell>
          <cell r="E227" t="str">
            <v>PS- pump station</v>
          </cell>
          <cell r="F227" t="str">
            <v>HOLLING ROAD</v>
          </cell>
          <cell r="G227" t="str">
            <v>048-01</v>
          </cell>
          <cell r="H227" t="str">
            <v>W- water corporation</v>
          </cell>
          <cell r="I227" t="str">
            <v>16934</v>
          </cell>
          <cell r="J227" t="str">
            <v>19810101</v>
          </cell>
          <cell r="K227" t="str">
            <v>117.355618897</v>
          </cell>
          <cell r="L227" t="str">
            <v>-34.9581814864</v>
          </cell>
          <cell r="M227" t="str">
            <v>L</v>
          </cell>
          <cell r="N227" t="str">
            <v>968</v>
          </cell>
          <cell r="O227" t="str">
            <v>HORSLEY</v>
          </cell>
          <cell r="P227" t="str">
            <v>RD</v>
          </cell>
          <cell r="R227" t="str">
            <v>DENMARK</v>
          </cell>
          <cell r="S227" t="str">
            <v>6333</v>
          </cell>
        </row>
        <row r="228">
          <cell r="B228" t="str">
            <v>S023-002-002</v>
          </cell>
          <cell r="C228" t="str">
            <v>SPS ZIMMERMAN ST DENMARK</v>
          </cell>
          <cell r="D228" t="str">
            <v>A- actual</v>
          </cell>
          <cell r="E228" t="str">
            <v>PS- pump station</v>
          </cell>
          <cell r="F228" t="str">
            <v>ZIMMERMAN STREET</v>
          </cell>
          <cell r="G228" t="str">
            <v>2</v>
          </cell>
          <cell r="H228" t="str">
            <v>W- water corporation</v>
          </cell>
          <cell r="I228" t="str">
            <v>16935</v>
          </cell>
          <cell r="J228" t="str">
            <v>19830101</v>
          </cell>
          <cell r="K228" t="str">
            <v>117.35290623</v>
          </cell>
          <cell r="L228" t="str">
            <v>-34.968798157</v>
          </cell>
          <cell r="M228" t="str">
            <v>H</v>
          </cell>
          <cell r="N228" t="str">
            <v>31</v>
          </cell>
          <cell r="O228" t="str">
            <v>ZIMMERMANN</v>
          </cell>
          <cell r="P228" t="str">
            <v>ST</v>
          </cell>
          <cell r="R228" t="str">
            <v>DENMARK</v>
          </cell>
          <cell r="S228" t="str">
            <v>6333</v>
          </cell>
        </row>
        <row r="229">
          <cell r="B229" t="str">
            <v>S025-002-001</v>
          </cell>
          <cell r="C229" t="str">
            <v>SPS DAPING ST KATANNING</v>
          </cell>
          <cell r="D229" t="str">
            <v>A- actual</v>
          </cell>
          <cell r="E229" t="str">
            <v>PS- pump station</v>
          </cell>
          <cell r="F229" t="str">
            <v>DAPING STREET</v>
          </cell>
          <cell r="G229" t="str">
            <v>1</v>
          </cell>
          <cell r="H229" t="str">
            <v>W- water corporation</v>
          </cell>
          <cell r="I229" t="str">
            <v>16940</v>
          </cell>
          <cell r="J229" t="str">
            <v>19660101</v>
          </cell>
          <cell r="K229" t="str">
            <v>117.565002788</v>
          </cell>
          <cell r="L229" t="str">
            <v>-33.6963857045</v>
          </cell>
          <cell r="M229" t="str">
            <v>L</v>
          </cell>
          <cell r="N229" t="str">
            <v>62</v>
          </cell>
          <cell r="O229" t="str">
            <v>DORE</v>
          </cell>
          <cell r="P229" t="str">
            <v>ST</v>
          </cell>
          <cell r="R229" t="str">
            <v>KATANNING</v>
          </cell>
          <cell r="S229" t="str">
            <v>6317</v>
          </cell>
        </row>
        <row r="230">
          <cell r="B230" t="str">
            <v>S025-002-002</v>
          </cell>
          <cell r="C230" t="str">
            <v>SPS BEAUFORT ST KATANNING</v>
          </cell>
          <cell r="D230" t="str">
            <v>A- actual</v>
          </cell>
          <cell r="E230" t="str">
            <v>PS- pump station</v>
          </cell>
          <cell r="F230" t="str">
            <v>BEAUFORT STREET</v>
          </cell>
          <cell r="G230" t="str">
            <v>2</v>
          </cell>
          <cell r="H230" t="str">
            <v>W- water corporation</v>
          </cell>
          <cell r="I230" t="str">
            <v>16941</v>
          </cell>
          <cell r="J230" t="str">
            <v>19720101</v>
          </cell>
          <cell r="K230" t="str">
            <v>117.559922424</v>
          </cell>
          <cell r="L230" t="str">
            <v>-33.6998342979</v>
          </cell>
          <cell r="M230" t="str">
            <v>L</v>
          </cell>
          <cell r="N230" t="str">
            <v>983</v>
          </cell>
          <cell r="O230" t="str">
            <v>BEAUFORT</v>
          </cell>
          <cell r="P230" t="str">
            <v>ST</v>
          </cell>
          <cell r="R230" t="str">
            <v>KATANNING</v>
          </cell>
          <cell r="S230" t="str">
            <v>6317</v>
          </cell>
        </row>
        <row r="231">
          <cell r="D231" t="str">
            <v>A- actual</v>
          </cell>
          <cell r="E231" t="str">
            <v>PS- pump station</v>
          </cell>
          <cell r="F231" t="str">
            <v>LOT 20 ZIMMERMAN ST</v>
          </cell>
          <cell r="H231" t="str">
            <v>P- private</v>
          </cell>
          <cell r="J231" t="str">
            <v>19920101</v>
          </cell>
          <cell r="K231" t="str">
            <v>117.346091247</v>
          </cell>
          <cell r="L231" t="str">
            <v>-34.965249969</v>
          </cell>
          <cell r="M231" t="str">
            <v>H</v>
          </cell>
          <cell r="N231" t="str">
            <v>133</v>
          </cell>
          <cell r="O231" t="str">
            <v>SOUTH COAST</v>
          </cell>
          <cell r="P231" t="str">
            <v>HWY</v>
          </cell>
          <cell r="R231" t="str">
            <v>DENMARK</v>
          </cell>
          <cell r="S231" t="str">
            <v>6333</v>
          </cell>
        </row>
        <row r="232">
          <cell r="B232" t="str">
            <v>S0044998</v>
          </cell>
          <cell r="C232" t="str">
            <v>SPS JOHN DORY COVE WANNANUP</v>
          </cell>
          <cell r="D232" t="str">
            <v>A- actual</v>
          </cell>
          <cell r="E232" t="str">
            <v>PS- pump station</v>
          </cell>
          <cell r="F232" t="str">
            <v>JOHN DORY COVE WWPS</v>
          </cell>
          <cell r="G232" t="str">
            <v>5</v>
          </cell>
          <cell r="H232" t="str">
            <v>W- water corporation</v>
          </cell>
          <cell r="I232" t="str">
            <v>52369</v>
          </cell>
          <cell r="J232" t="str">
            <v>19950324</v>
          </cell>
          <cell r="K232" t="str">
            <v>115.637435614</v>
          </cell>
          <cell r="L232" t="str">
            <v>-32.599994805</v>
          </cell>
          <cell r="M232" t="str">
            <v>H</v>
          </cell>
          <cell r="N232" t="str">
            <v>3</v>
          </cell>
          <cell r="O232" t="str">
            <v>JOHN DORY</v>
          </cell>
          <cell r="P232" t="str">
            <v>COVE</v>
          </cell>
          <cell r="R232" t="str">
            <v>WANNANUP</v>
          </cell>
          <cell r="S232" t="str">
            <v>6210</v>
          </cell>
        </row>
        <row r="233">
          <cell r="B233" t="str">
            <v>S0044474</v>
          </cell>
          <cell r="C233" t="str">
            <v>SPS HURFORD ST DUNSBOROUGH</v>
          </cell>
          <cell r="D233" t="str">
            <v>A- actual</v>
          </cell>
          <cell r="E233" t="str">
            <v>PS- pump station</v>
          </cell>
          <cell r="F233" t="str">
            <v>HURFORD ST</v>
          </cell>
          <cell r="G233" t="str">
            <v>3</v>
          </cell>
          <cell r="H233" t="str">
            <v>W- water corporation</v>
          </cell>
          <cell r="I233" t="str">
            <v>19736</v>
          </cell>
          <cell r="J233" t="str">
            <v>19880101</v>
          </cell>
          <cell r="K233" t="str">
            <v>115.103790561</v>
          </cell>
          <cell r="L233" t="str">
            <v>-33.5972024192</v>
          </cell>
          <cell r="M233" t="str">
            <v>H</v>
          </cell>
          <cell r="N233" t="str">
            <v>7</v>
          </cell>
          <cell r="O233" t="str">
            <v>HURFORD</v>
          </cell>
          <cell r="P233" t="str">
            <v>ST</v>
          </cell>
          <cell r="R233" t="str">
            <v>DUNSBOROUGH</v>
          </cell>
          <cell r="S233" t="str">
            <v>6281</v>
          </cell>
        </row>
        <row r="234">
          <cell r="B234" t="str">
            <v>S0022281</v>
          </cell>
          <cell r="C234" t="str">
            <v>SPS CHESTER PASS RD YAKAMIA</v>
          </cell>
          <cell r="D234" t="str">
            <v>A- actual</v>
          </cell>
          <cell r="E234" t="str">
            <v>PS- pump station</v>
          </cell>
          <cell r="F234" t="str">
            <v>CHESTER PASS RD</v>
          </cell>
          <cell r="G234" t="str">
            <v>10</v>
          </cell>
          <cell r="H234" t="str">
            <v>W- water corporation</v>
          </cell>
          <cell r="I234" t="str">
            <v>16919</v>
          </cell>
          <cell r="J234" t="str">
            <v>19800101</v>
          </cell>
          <cell r="K234" t="str">
            <v>117.872359694</v>
          </cell>
          <cell r="L234" t="str">
            <v>-34.9974331049</v>
          </cell>
          <cell r="M234" t="str">
            <v>H</v>
          </cell>
          <cell r="N234" t="str">
            <v>82</v>
          </cell>
          <cell r="O234" t="str">
            <v>CHESTER PASS</v>
          </cell>
          <cell r="P234" t="str">
            <v>RD</v>
          </cell>
          <cell r="R234" t="str">
            <v>YAKAMIA</v>
          </cell>
          <cell r="S234" t="str">
            <v>6330</v>
          </cell>
        </row>
        <row r="235">
          <cell r="D235" t="str">
            <v>N- not in use</v>
          </cell>
          <cell r="E235" t="str">
            <v>PS- pump station</v>
          </cell>
          <cell r="F235" t="str">
            <v>MUELLER STREET</v>
          </cell>
          <cell r="G235" t="str">
            <v>6</v>
          </cell>
          <cell r="H235" t="str">
            <v>W- water corporation</v>
          </cell>
          <cell r="I235" t="str">
            <v>16915</v>
          </cell>
          <cell r="J235" t="str">
            <v>19520101</v>
          </cell>
          <cell r="K235" t="str">
            <v>117.859548547</v>
          </cell>
          <cell r="L235" t="str">
            <v>-35.008432944</v>
          </cell>
          <cell r="M235" t="str">
            <v>H</v>
          </cell>
          <cell r="N235" t="str">
            <v>15</v>
          </cell>
          <cell r="O235" t="str">
            <v>MUELLER</v>
          </cell>
          <cell r="P235" t="str">
            <v>ST</v>
          </cell>
          <cell r="R235" t="str">
            <v>LOCKYER</v>
          </cell>
          <cell r="S235" t="str">
            <v>6330</v>
          </cell>
        </row>
        <row r="236">
          <cell r="B236" t="str">
            <v>S0022289</v>
          </cell>
          <cell r="C236" t="str">
            <v>SPS TROODE ST COLLINGWOOD PARK</v>
          </cell>
          <cell r="D236" t="str">
            <v>A- actual</v>
          </cell>
          <cell r="E236" t="str">
            <v>PS- pump station</v>
          </cell>
          <cell r="F236" t="str">
            <v>TROODE STREET</v>
          </cell>
          <cell r="G236" t="str">
            <v>11</v>
          </cell>
          <cell r="H236" t="str">
            <v>W- water corporation</v>
          </cell>
          <cell r="I236" t="str">
            <v>16921</v>
          </cell>
          <cell r="J236" t="str">
            <v>19810101</v>
          </cell>
          <cell r="K236" t="str">
            <v>117.917376847</v>
          </cell>
          <cell r="L236" t="str">
            <v>-35.001945016</v>
          </cell>
          <cell r="M236" t="str">
            <v>H</v>
          </cell>
          <cell r="N236" t="str">
            <v>59</v>
          </cell>
          <cell r="O236" t="str">
            <v>TROODE</v>
          </cell>
          <cell r="P236" t="str">
            <v>ST</v>
          </cell>
          <cell r="R236" t="str">
            <v>COLLINGWOOD PARK</v>
          </cell>
          <cell r="S236" t="str">
            <v>6330</v>
          </cell>
        </row>
        <row r="237">
          <cell r="D237" t="str">
            <v>N- not in use</v>
          </cell>
          <cell r="E237" t="str">
            <v>PS- pump station</v>
          </cell>
          <cell r="F237" t="str">
            <v>ALBANY</v>
          </cell>
          <cell r="G237" t="str">
            <v>16</v>
          </cell>
          <cell r="H237" t="str">
            <v>W- water corporation</v>
          </cell>
          <cell r="J237" t="str">
            <v>18000101</v>
          </cell>
          <cell r="K237" t="str">
            <v>117.875607956</v>
          </cell>
          <cell r="L237" t="str">
            <v>-35.0279836463</v>
          </cell>
          <cell r="M237" t="str">
            <v>H</v>
          </cell>
          <cell r="N237" t="str">
            <v>29</v>
          </cell>
          <cell r="O237" t="str">
            <v>FESTING</v>
          </cell>
          <cell r="P237" t="str">
            <v>ST</v>
          </cell>
          <cell r="R237" t="str">
            <v>ALBANY</v>
          </cell>
          <cell r="S237" t="str">
            <v>6330</v>
          </cell>
        </row>
        <row r="238">
          <cell r="B238" t="str">
            <v>S0022303</v>
          </cell>
          <cell r="C238" t="str">
            <v>SPS JEEDA CLOSE BAYONET HEAD</v>
          </cell>
          <cell r="D238" t="str">
            <v>A- actual</v>
          </cell>
          <cell r="E238" t="str">
            <v>PS- pump station</v>
          </cell>
          <cell r="F238" t="str">
            <v>JEEDA CLOSE</v>
          </cell>
          <cell r="G238" t="str">
            <v>13</v>
          </cell>
          <cell r="H238" t="str">
            <v>W- water corporation</v>
          </cell>
          <cell r="I238" t="str">
            <v>16920</v>
          </cell>
          <cell r="J238" t="str">
            <v>19800101</v>
          </cell>
          <cell r="K238" t="str">
            <v>117.944738303</v>
          </cell>
          <cell r="L238" t="str">
            <v>-34.976089041</v>
          </cell>
          <cell r="M238" t="str">
            <v>L</v>
          </cell>
          <cell r="N238" t="str">
            <v>7495</v>
          </cell>
          <cell r="O238" t="str">
            <v>JEEDA</v>
          </cell>
          <cell r="P238" t="str">
            <v>CL</v>
          </cell>
          <cell r="R238" t="str">
            <v>BAYONET HEAD</v>
          </cell>
          <cell r="S238" t="str">
            <v>6330</v>
          </cell>
        </row>
        <row r="239">
          <cell r="B239" t="str">
            <v>S0022394</v>
          </cell>
          <cell r="C239" t="str">
            <v>#SPS NORTH RD CENTENNIAL PARK</v>
          </cell>
          <cell r="D239" t="str">
            <v>N- not in use</v>
          </cell>
          <cell r="E239" t="str">
            <v>PS- pump station</v>
          </cell>
          <cell r="F239" t="str">
            <v>NORTH ROAD</v>
          </cell>
          <cell r="G239" t="str">
            <v>9</v>
          </cell>
          <cell r="H239" t="str">
            <v>W- water corporation</v>
          </cell>
          <cell r="I239" t="str">
            <v>16918</v>
          </cell>
          <cell r="J239" t="str">
            <v>19770101</v>
          </cell>
          <cell r="K239" t="str">
            <v>117.875453062</v>
          </cell>
          <cell r="L239" t="str">
            <v>-35.005898171</v>
          </cell>
          <cell r="M239" t="str">
            <v>H</v>
          </cell>
          <cell r="N239" t="str">
            <v>2</v>
          </cell>
          <cell r="O239" t="str">
            <v>BARNESBY</v>
          </cell>
          <cell r="P239" t="str">
            <v>DR</v>
          </cell>
          <cell r="R239" t="str">
            <v>YAKAMIA</v>
          </cell>
          <cell r="S239" t="str">
            <v>6330</v>
          </cell>
        </row>
        <row r="240">
          <cell r="D240" t="str">
            <v>N- not in use</v>
          </cell>
          <cell r="E240" t="str">
            <v>ES- ejector station</v>
          </cell>
          <cell r="F240" t="str">
            <v>ALBANY</v>
          </cell>
          <cell r="G240" t="str">
            <v>3</v>
          </cell>
          <cell r="H240" t="str">
            <v>W- water corporation</v>
          </cell>
          <cell r="J240" t="str">
            <v>18000101</v>
          </cell>
          <cell r="K240" t="str">
            <v>117.871116776</v>
          </cell>
          <cell r="L240" t="str">
            <v>-35.005833706</v>
          </cell>
          <cell r="M240" t="str">
            <v>H</v>
          </cell>
          <cell r="N240" t="str">
            <v>49</v>
          </cell>
          <cell r="O240" t="str">
            <v>LION</v>
          </cell>
          <cell r="P240" t="str">
            <v>ST</v>
          </cell>
          <cell r="R240" t="str">
            <v>CENTENNIAL PARK</v>
          </cell>
          <cell r="S240" t="str">
            <v>6330</v>
          </cell>
        </row>
        <row r="241">
          <cell r="B241" t="str">
            <v>S0022266</v>
          </cell>
          <cell r="C241" t="str">
            <v>SPS YORK ST ALBANY</v>
          </cell>
          <cell r="D241" t="str">
            <v>A- actual</v>
          </cell>
          <cell r="E241" t="str">
            <v>PS- pump station</v>
          </cell>
          <cell r="F241" t="str">
            <v>YORK STREET</v>
          </cell>
          <cell r="G241" t="str">
            <v>1</v>
          </cell>
          <cell r="H241" t="str">
            <v>W- water corporation</v>
          </cell>
          <cell r="I241" t="str">
            <v>16911</v>
          </cell>
          <cell r="J241" t="str">
            <v>19921120</v>
          </cell>
          <cell r="K241" t="str">
            <v>117.884059247</v>
          </cell>
          <cell r="L241" t="str">
            <v>-35.027652262</v>
          </cell>
          <cell r="M241" t="str">
            <v>H</v>
          </cell>
          <cell r="N241" t="str">
            <v>100</v>
          </cell>
          <cell r="O241" t="str">
            <v>YORK</v>
          </cell>
          <cell r="P241" t="str">
            <v>ST</v>
          </cell>
          <cell r="R241" t="str">
            <v>ALBANY</v>
          </cell>
          <cell r="S241" t="str">
            <v>6330</v>
          </cell>
        </row>
        <row r="242">
          <cell r="D242" t="str">
            <v>N- not in use</v>
          </cell>
          <cell r="E242" t="str">
            <v>PS- pump station</v>
          </cell>
          <cell r="H242" t="str">
            <v>W- water corporation</v>
          </cell>
          <cell r="J242" t="str">
            <v>18000101</v>
          </cell>
          <cell r="K242" t="str">
            <v>117.906644991</v>
          </cell>
          <cell r="L242" t="str">
            <v>-35.008272035</v>
          </cell>
          <cell r="M242" t="str">
            <v>H</v>
          </cell>
          <cell r="N242" t="str">
            <v>65</v>
          </cell>
          <cell r="O242" t="str">
            <v>DREW</v>
          </cell>
          <cell r="P242" t="str">
            <v>ST</v>
          </cell>
          <cell r="R242" t="str">
            <v>MIRA MAR</v>
          </cell>
          <cell r="S242" t="str">
            <v>6330</v>
          </cell>
        </row>
        <row r="243">
          <cell r="D243" t="str">
            <v>N- not in use</v>
          </cell>
          <cell r="E243" t="str">
            <v>ES- ejector station</v>
          </cell>
          <cell r="F243" t="str">
            <v>NO.2</v>
          </cell>
          <cell r="H243" t="str">
            <v>W- water corporation</v>
          </cell>
          <cell r="J243" t="str">
            <v>18000101</v>
          </cell>
          <cell r="K243" t="str">
            <v>117.848852293</v>
          </cell>
          <cell r="L243" t="str">
            <v>-35.0000446931</v>
          </cell>
          <cell r="M243" t="str">
            <v>L</v>
          </cell>
          <cell r="N243" t="str">
            <v>3</v>
          </cell>
          <cell r="O243" t="str">
            <v>JUNCTION</v>
          </cell>
          <cell r="P243" t="str">
            <v>ST</v>
          </cell>
          <cell r="R243" t="str">
            <v>MCKAIL</v>
          </cell>
          <cell r="S243" t="str">
            <v>6330</v>
          </cell>
        </row>
        <row r="244">
          <cell r="B244" t="str">
            <v>S0022386</v>
          </cell>
          <cell r="C244" t="str">
            <v>SPS LE GRANDE AVE ORANA</v>
          </cell>
          <cell r="D244" t="str">
            <v>A- actual</v>
          </cell>
          <cell r="E244" t="str">
            <v>PS- pump station</v>
          </cell>
          <cell r="F244" t="str">
            <v>LE GRANDE AV</v>
          </cell>
          <cell r="G244" t="str">
            <v>8</v>
          </cell>
          <cell r="H244" t="str">
            <v>W- water corporation</v>
          </cell>
          <cell r="I244" t="str">
            <v>16916</v>
          </cell>
          <cell r="J244" t="str">
            <v>19780101</v>
          </cell>
          <cell r="K244" t="str">
            <v>117.855928695</v>
          </cell>
          <cell r="L244" t="str">
            <v>-34.992322958</v>
          </cell>
          <cell r="M244" t="str">
            <v>H</v>
          </cell>
          <cell r="N244" t="str">
            <v>477</v>
          </cell>
          <cell r="O244" t="str">
            <v>ALBANY</v>
          </cell>
          <cell r="P244" t="str">
            <v>HWY</v>
          </cell>
          <cell r="R244" t="str">
            <v>ORANA</v>
          </cell>
          <cell r="S244" t="str">
            <v>6330</v>
          </cell>
        </row>
        <row r="245">
          <cell r="D245" t="str">
            <v>A- actual</v>
          </cell>
          <cell r="E245" t="str">
            <v>PS- pump station</v>
          </cell>
          <cell r="F245" t="str">
            <v>MIDDLETON BEACH CARAVAN PARK</v>
          </cell>
          <cell r="H245" t="str">
            <v>P- private</v>
          </cell>
          <cell r="J245" t="str">
            <v>19930728</v>
          </cell>
          <cell r="K245" t="str">
            <v>117.914927571</v>
          </cell>
          <cell r="L245" t="str">
            <v>-35.022192806</v>
          </cell>
          <cell r="M245" t="str">
            <v>H</v>
          </cell>
          <cell r="N245" t="str">
            <v>2</v>
          </cell>
          <cell r="O245" t="str">
            <v>MIDDLETON</v>
          </cell>
          <cell r="P245" t="str">
            <v>RD</v>
          </cell>
          <cell r="R245" t="str">
            <v>MIDDLETON BEACH</v>
          </cell>
          <cell r="S245" t="str">
            <v>6330</v>
          </cell>
        </row>
        <row r="246">
          <cell r="B246" t="str">
            <v>S0022358</v>
          </cell>
          <cell r="C246" t="str">
            <v>SPS GARDEN ST MIDDLETON BEACH</v>
          </cell>
          <cell r="D246" t="str">
            <v>A- actual</v>
          </cell>
          <cell r="E246" t="str">
            <v>PS- pump station</v>
          </cell>
          <cell r="F246" t="str">
            <v>GARDEN STREET</v>
          </cell>
          <cell r="G246" t="str">
            <v>4</v>
          </cell>
          <cell r="H246" t="str">
            <v>W- water corporation</v>
          </cell>
          <cell r="I246" t="str">
            <v>16913</v>
          </cell>
          <cell r="J246" t="str">
            <v>19640101</v>
          </cell>
          <cell r="K246" t="str">
            <v>117.911111055</v>
          </cell>
          <cell r="L246" t="str">
            <v>-35.0253250527</v>
          </cell>
          <cell r="M246" t="str">
            <v>H</v>
          </cell>
          <cell r="N246" t="str">
            <v>3</v>
          </cell>
          <cell r="O246" t="str">
            <v>GARDEN</v>
          </cell>
          <cell r="P246" t="str">
            <v>ST</v>
          </cell>
          <cell r="R246" t="str">
            <v>MIDDLETON BEACH</v>
          </cell>
          <cell r="S246" t="str">
            <v>6330</v>
          </cell>
        </row>
        <row r="247">
          <cell r="D247" t="str">
            <v>A- actual</v>
          </cell>
          <cell r="E247" t="str">
            <v>PS- pump station</v>
          </cell>
          <cell r="F247" t="str">
            <v>LOT 18 BARNESBY DR</v>
          </cell>
          <cell r="H247" t="str">
            <v>P- private</v>
          </cell>
          <cell r="J247" t="str">
            <v>19940101</v>
          </cell>
          <cell r="K247" t="str">
            <v>117.874173474</v>
          </cell>
          <cell r="L247" t="str">
            <v>-35.000254547</v>
          </cell>
          <cell r="M247" t="str">
            <v>H</v>
          </cell>
          <cell r="N247" t="str">
            <v>53</v>
          </cell>
          <cell r="O247" t="str">
            <v>BARNESBY</v>
          </cell>
          <cell r="P247" t="str">
            <v>DR</v>
          </cell>
          <cell r="R247" t="str">
            <v>YAKAMIA</v>
          </cell>
          <cell r="S247" t="str">
            <v>6330</v>
          </cell>
        </row>
        <row r="248">
          <cell r="B248" t="str">
            <v>S0022311</v>
          </cell>
          <cell r="C248" t="str">
            <v>SPS NORTH RD YAKAMIA</v>
          </cell>
          <cell r="D248" t="str">
            <v>A- actual</v>
          </cell>
          <cell r="E248" t="str">
            <v>PS- pump station</v>
          </cell>
          <cell r="F248" t="str">
            <v>NORTH ROAD (NEW)</v>
          </cell>
          <cell r="G248" t="str">
            <v>15</v>
          </cell>
          <cell r="H248" t="str">
            <v>W- water corporation</v>
          </cell>
          <cell r="I248" t="str">
            <v>52536</v>
          </cell>
          <cell r="J248" t="str">
            <v>19950401</v>
          </cell>
          <cell r="K248" t="str">
            <v>117.884133031</v>
          </cell>
          <cell r="L248" t="str">
            <v>-35.008327554</v>
          </cell>
          <cell r="M248" t="str">
            <v>H</v>
          </cell>
          <cell r="N248" t="str">
            <v>120</v>
          </cell>
          <cell r="O248" t="str">
            <v>NORTH</v>
          </cell>
          <cell r="P248" t="str">
            <v>RD</v>
          </cell>
          <cell r="R248" t="str">
            <v>YAKAMIA</v>
          </cell>
          <cell r="S248" t="str">
            <v>6330</v>
          </cell>
        </row>
        <row r="249">
          <cell r="B249" t="str">
            <v>S0022320</v>
          </cell>
          <cell r="C249" t="str">
            <v>SPS PORT RD ALBANY</v>
          </cell>
          <cell r="D249" t="str">
            <v>A- actual</v>
          </cell>
          <cell r="E249" t="str">
            <v>PS- pump station</v>
          </cell>
          <cell r="F249" t="str">
            <v>PORT ROAD</v>
          </cell>
          <cell r="G249" t="str">
            <v>16</v>
          </cell>
          <cell r="H249" t="str">
            <v>W- water corporation</v>
          </cell>
          <cell r="J249" t="str">
            <v>19950925</v>
          </cell>
          <cell r="K249" t="str">
            <v>117.879197102</v>
          </cell>
          <cell r="L249" t="str">
            <v>-35.028943847</v>
          </cell>
          <cell r="M249" t="str">
            <v>L</v>
          </cell>
          <cell r="N249" t="str">
            <v>1305</v>
          </cell>
          <cell r="O249" t="str">
            <v>AMITY</v>
          </cell>
          <cell r="P249" t="str">
            <v>QYS</v>
          </cell>
          <cell r="R249" t="str">
            <v>ALBANY</v>
          </cell>
          <cell r="S249" t="str">
            <v>6330</v>
          </cell>
        </row>
        <row r="250">
          <cell r="B250" t="str">
            <v>S0044098</v>
          </cell>
          <cell r="C250" t="str">
            <v>SPS OCEAN DR STH USHER</v>
          </cell>
          <cell r="D250" t="str">
            <v>A- actual</v>
          </cell>
          <cell r="E250" t="str">
            <v>PS- pump station</v>
          </cell>
          <cell r="F250" t="str">
            <v>OCEAN DR STH</v>
          </cell>
          <cell r="G250" t="str">
            <v>23</v>
          </cell>
          <cell r="H250" t="str">
            <v>W- water corporation</v>
          </cell>
          <cell r="I250" t="str">
            <v>18418</v>
          </cell>
          <cell r="J250" t="str">
            <v>19800101</v>
          </cell>
          <cell r="K250" t="str">
            <v>115.622914844</v>
          </cell>
          <cell r="L250" t="str">
            <v>-33.378617315</v>
          </cell>
          <cell r="M250" t="str">
            <v>L</v>
          </cell>
          <cell r="N250" t="str">
            <v>650</v>
          </cell>
          <cell r="O250" t="str">
            <v>OCEAN</v>
          </cell>
          <cell r="P250" t="str">
            <v>DR</v>
          </cell>
          <cell r="R250" t="str">
            <v>USHER</v>
          </cell>
          <cell r="S250" t="str">
            <v>6230</v>
          </cell>
        </row>
        <row r="251">
          <cell r="B251" t="str">
            <v>S0044046</v>
          </cell>
          <cell r="C251" t="str">
            <v>SPS DUNSTAN ST SOUTH BUNBURY</v>
          </cell>
          <cell r="D251" t="str">
            <v>A- actual</v>
          </cell>
          <cell r="E251" t="str">
            <v>PS- pump station</v>
          </cell>
          <cell r="F251" t="str">
            <v>DUNSTAN ST</v>
          </cell>
          <cell r="G251" t="str">
            <v>14</v>
          </cell>
          <cell r="H251" t="str">
            <v>W- water corporation</v>
          </cell>
          <cell r="I251" t="str">
            <v>18409</v>
          </cell>
          <cell r="J251" t="str">
            <v>19760101</v>
          </cell>
          <cell r="K251" t="str">
            <v>115.621465479</v>
          </cell>
          <cell r="L251" t="str">
            <v>-33.353865281</v>
          </cell>
          <cell r="M251" t="str">
            <v>L</v>
          </cell>
          <cell r="N251" t="str">
            <v>615</v>
          </cell>
          <cell r="O251" t="str">
            <v>DUNSTAN</v>
          </cell>
          <cell r="P251" t="str">
            <v>ST</v>
          </cell>
          <cell r="R251" t="str">
            <v>SOUTH BUNBURY</v>
          </cell>
          <cell r="S251" t="str">
            <v>6230</v>
          </cell>
        </row>
        <row r="252">
          <cell r="B252" t="str">
            <v>S0044089</v>
          </cell>
          <cell r="C252" t="str">
            <v>SPS MINDALONG CL STH BUNBURY</v>
          </cell>
          <cell r="D252" t="str">
            <v>A- actual</v>
          </cell>
          <cell r="E252" t="str">
            <v>PS- pump station</v>
          </cell>
          <cell r="F252" t="str">
            <v>MINDALONG CL</v>
          </cell>
          <cell r="G252" t="str">
            <v>29</v>
          </cell>
          <cell r="H252" t="str">
            <v>W- water corporation</v>
          </cell>
          <cell r="I252" t="str">
            <v>29087</v>
          </cell>
          <cell r="J252" t="str">
            <v>19910829</v>
          </cell>
          <cell r="K252" t="str">
            <v>115.622414471</v>
          </cell>
          <cell r="L252" t="str">
            <v>-33.35945456</v>
          </cell>
          <cell r="M252" t="str">
            <v>H</v>
          </cell>
          <cell r="N252" t="str">
            <v>54</v>
          </cell>
          <cell r="O252" t="str">
            <v>MINDALONG</v>
          </cell>
          <cell r="P252" t="str">
            <v>CL</v>
          </cell>
          <cell r="R252" t="str">
            <v>SOUTH BUNBURY</v>
          </cell>
          <cell r="S252" t="str">
            <v>6230</v>
          </cell>
        </row>
        <row r="253">
          <cell r="B253" t="str">
            <v>S0044117</v>
          </cell>
          <cell r="C253" t="str">
            <v>SPS RAMILLIES ST SOUTH BUNBURY</v>
          </cell>
          <cell r="D253" t="str">
            <v>A- actual</v>
          </cell>
          <cell r="E253" t="str">
            <v>TPS- temporary pump station</v>
          </cell>
          <cell r="F253" t="str">
            <v>RAMILLES ST</v>
          </cell>
          <cell r="H253" t="str">
            <v>W- water corporation</v>
          </cell>
          <cell r="J253" t="str">
            <v>19760101</v>
          </cell>
          <cell r="K253" t="str">
            <v>115.624294907</v>
          </cell>
          <cell r="L253" t="str">
            <v>-33.350154071</v>
          </cell>
          <cell r="M253" t="str">
            <v>H</v>
          </cell>
          <cell r="N253" t="str">
            <v>3</v>
          </cell>
          <cell r="O253" t="str">
            <v>RAMILLIES</v>
          </cell>
          <cell r="P253" t="str">
            <v>ST</v>
          </cell>
          <cell r="R253" t="str">
            <v>SOUTH BUNBURY</v>
          </cell>
          <cell r="S253" t="str">
            <v>6230</v>
          </cell>
        </row>
        <row r="254">
          <cell r="B254" t="str">
            <v>S0044080</v>
          </cell>
          <cell r="C254" t="str">
            <v>SPS MAIDEN PARK DR WITHERS</v>
          </cell>
          <cell r="D254" t="str">
            <v>A- actual</v>
          </cell>
          <cell r="E254" t="str">
            <v>PS- pump station</v>
          </cell>
          <cell r="F254" t="str">
            <v>MAIDEN PARK RD</v>
          </cell>
          <cell r="G254" t="str">
            <v>15</v>
          </cell>
          <cell r="H254" t="str">
            <v>W- water corporation</v>
          </cell>
          <cell r="I254" t="str">
            <v>18410</v>
          </cell>
          <cell r="J254" t="str">
            <v>19760101</v>
          </cell>
          <cell r="K254" t="str">
            <v>115.624466106</v>
          </cell>
          <cell r="L254" t="str">
            <v>-33.368049023</v>
          </cell>
          <cell r="M254" t="str">
            <v>L</v>
          </cell>
          <cell r="N254" t="str">
            <v>614</v>
          </cell>
          <cell r="O254" t="str">
            <v>MAIDEN PARK</v>
          </cell>
          <cell r="P254" t="str">
            <v>RD</v>
          </cell>
          <cell r="R254" t="str">
            <v>WITHERS</v>
          </cell>
          <cell r="S254" t="str">
            <v>6230</v>
          </cell>
        </row>
        <row r="255">
          <cell r="B255" t="str">
            <v>S0044356</v>
          </cell>
          <cell r="C255" t="str">
            <v>SPS SOUTHERN DR BUSSELTON</v>
          </cell>
          <cell r="D255" t="str">
            <v>A- actual</v>
          </cell>
          <cell r="E255" t="str">
            <v>PS- pump station</v>
          </cell>
          <cell r="F255" t="str">
            <v>SOUTHERN DR</v>
          </cell>
          <cell r="G255" t="str">
            <v>6</v>
          </cell>
          <cell r="H255" t="str">
            <v>W- water corporation</v>
          </cell>
          <cell r="I255" t="str">
            <v>18448</v>
          </cell>
          <cell r="J255" t="str">
            <v>19830101</v>
          </cell>
          <cell r="K255" t="str">
            <v>115.348081075</v>
          </cell>
          <cell r="L255" t="str">
            <v>-33.6576275523</v>
          </cell>
          <cell r="M255" t="str">
            <v>L</v>
          </cell>
          <cell r="N255" t="str">
            <v>353</v>
          </cell>
          <cell r="O255" t="str">
            <v>SOUTHERN</v>
          </cell>
          <cell r="P255" t="str">
            <v>DR</v>
          </cell>
          <cell r="R255" t="str">
            <v>BUSSELTON</v>
          </cell>
          <cell r="S255" t="str">
            <v>6280</v>
          </cell>
        </row>
        <row r="256">
          <cell r="D256" t="str">
            <v>N- not in use</v>
          </cell>
          <cell r="E256" t="str">
            <v>PS- pump station</v>
          </cell>
          <cell r="F256" t="str">
            <v>MILL RD</v>
          </cell>
          <cell r="G256" t="str">
            <v>5</v>
          </cell>
          <cell r="H256" t="str">
            <v>W- water corporation</v>
          </cell>
          <cell r="I256" t="str">
            <v>18447</v>
          </cell>
          <cell r="J256" t="str">
            <v>19830101</v>
          </cell>
          <cell r="K256" t="str">
            <v>115.320766265</v>
          </cell>
          <cell r="L256" t="str">
            <v>-33.6554453367</v>
          </cell>
          <cell r="M256" t="str">
            <v>L</v>
          </cell>
          <cell r="N256" t="str">
            <v>404</v>
          </cell>
          <cell r="O256" t="str">
            <v>MILL</v>
          </cell>
          <cell r="P256" t="str">
            <v>RD</v>
          </cell>
          <cell r="R256" t="str">
            <v>WEST BUSSELTON</v>
          </cell>
          <cell r="S256" t="str">
            <v>6280</v>
          </cell>
        </row>
        <row r="257">
          <cell r="B257" t="str">
            <v>S0044293</v>
          </cell>
          <cell r="C257" t="str">
            <v>SPS CENTURION WAY WEST BUSSELTON</v>
          </cell>
          <cell r="D257" t="str">
            <v>A- actual</v>
          </cell>
          <cell r="E257" t="str">
            <v>PS- pump station</v>
          </cell>
          <cell r="F257" t="str">
            <v>CENTURION WAY</v>
          </cell>
          <cell r="G257" t="str">
            <v>4</v>
          </cell>
          <cell r="H257" t="str">
            <v>W- water corporation</v>
          </cell>
          <cell r="I257" t="str">
            <v>18446</v>
          </cell>
          <cell r="J257" t="str">
            <v>19790101</v>
          </cell>
          <cell r="K257" t="str">
            <v>115.310639812</v>
          </cell>
          <cell r="L257" t="str">
            <v>-33.6627571831</v>
          </cell>
          <cell r="M257" t="str">
            <v>H</v>
          </cell>
          <cell r="N257" t="str">
            <v>5</v>
          </cell>
          <cell r="O257" t="str">
            <v>CENTURION</v>
          </cell>
          <cell r="P257" t="str">
            <v>WAY</v>
          </cell>
          <cell r="R257" t="str">
            <v>WEST BUSSELTON</v>
          </cell>
          <cell r="S257" t="str">
            <v>6280</v>
          </cell>
        </row>
        <row r="258">
          <cell r="B258" t="str">
            <v>S0044269</v>
          </cell>
          <cell r="C258" t="str">
            <v>SPS ANTHONY RD GEOGRAPHE</v>
          </cell>
          <cell r="D258" t="str">
            <v>A- actual</v>
          </cell>
          <cell r="E258" t="str">
            <v>PS- pump station</v>
          </cell>
          <cell r="F258" t="str">
            <v>ANTHONY RD</v>
          </cell>
          <cell r="G258" t="str">
            <v>3</v>
          </cell>
          <cell r="H258" t="str">
            <v>W- water corporation</v>
          </cell>
          <cell r="I258" t="str">
            <v>18445</v>
          </cell>
          <cell r="J258" t="str">
            <v>19790101</v>
          </cell>
          <cell r="K258" t="str">
            <v>115.380034076</v>
          </cell>
          <cell r="L258" t="str">
            <v>-33.636806937</v>
          </cell>
          <cell r="M258" t="str">
            <v>H</v>
          </cell>
          <cell r="N258" t="str">
            <v>4</v>
          </cell>
          <cell r="O258" t="str">
            <v>ANTHONY</v>
          </cell>
          <cell r="P258" t="str">
            <v>RD</v>
          </cell>
          <cell r="R258" t="str">
            <v>GEOGRAPHE</v>
          </cell>
          <cell r="S258" t="str">
            <v>6280</v>
          </cell>
        </row>
        <row r="259">
          <cell r="D259" t="str">
            <v>A- actual</v>
          </cell>
          <cell r="E259" t="str">
            <v>PS- pump station</v>
          </cell>
          <cell r="F259" t="str">
            <v>LOT 48 BUSSEL HWY</v>
          </cell>
          <cell r="H259" t="str">
            <v>P- private</v>
          </cell>
          <cell r="J259" t="str">
            <v>19000101</v>
          </cell>
          <cell r="K259" t="str">
            <v>115.332950561</v>
          </cell>
          <cell r="L259" t="str">
            <v>-33.655351937</v>
          </cell>
          <cell r="M259" t="str">
            <v>H</v>
          </cell>
          <cell r="N259" t="str">
            <v>55</v>
          </cell>
          <cell r="O259" t="str">
            <v>SEYMOUR</v>
          </cell>
          <cell r="P259" t="str">
            <v>ST</v>
          </cell>
          <cell r="R259" t="str">
            <v>WEST BUSSELTON</v>
          </cell>
          <cell r="S259" t="str">
            <v>6280</v>
          </cell>
        </row>
        <row r="260">
          <cell r="B260" t="str">
            <v>S0044343</v>
          </cell>
          <cell r="C260" t="str">
            <v>SPS PEAKER CT WEST BUSSELTON</v>
          </cell>
          <cell r="D260" t="str">
            <v>A- actual</v>
          </cell>
          <cell r="E260" t="str">
            <v>PS- pump station</v>
          </cell>
          <cell r="F260" t="str">
            <v>PEAKER CT</v>
          </cell>
          <cell r="G260" t="str">
            <v>7</v>
          </cell>
          <cell r="H260" t="str">
            <v>W- water corporation</v>
          </cell>
          <cell r="I260" t="str">
            <v>18449</v>
          </cell>
          <cell r="J260" t="str">
            <v>19840101</v>
          </cell>
          <cell r="K260" t="str">
            <v>115.337652994</v>
          </cell>
          <cell r="L260" t="str">
            <v>-33.6499402394</v>
          </cell>
          <cell r="M260" t="str">
            <v>H</v>
          </cell>
          <cell r="N260" t="str">
            <v>3</v>
          </cell>
          <cell r="O260" t="str">
            <v>PEAKER</v>
          </cell>
          <cell r="P260" t="str">
            <v>CT</v>
          </cell>
          <cell r="R260" t="str">
            <v>WEST BUSSELTON</v>
          </cell>
          <cell r="S260" t="str">
            <v>6280</v>
          </cell>
        </row>
        <row r="261">
          <cell r="B261" t="str">
            <v>S0044319</v>
          </cell>
          <cell r="C261" t="str">
            <v>SPS HOBSON ST GEOGRAPHE</v>
          </cell>
          <cell r="D261" t="str">
            <v>A- actual</v>
          </cell>
          <cell r="E261" t="str">
            <v>TPS- temporary pump station</v>
          </cell>
          <cell r="F261" t="str">
            <v>HOBSON ST</v>
          </cell>
          <cell r="H261" t="str">
            <v>W- water corporation</v>
          </cell>
          <cell r="J261" t="str">
            <v>19830101</v>
          </cell>
          <cell r="K261" t="str">
            <v>115.37137857</v>
          </cell>
          <cell r="L261" t="str">
            <v>-33.640687779</v>
          </cell>
          <cell r="M261" t="str">
            <v>H</v>
          </cell>
          <cell r="N261" t="str">
            <v>15</v>
          </cell>
          <cell r="O261" t="str">
            <v>HOBSON</v>
          </cell>
          <cell r="P261" t="str">
            <v>ST</v>
          </cell>
          <cell r="R261" t="str">
            <v>GEOGRAPHE</v>
          </cell>
          <cell r="S261" t="str">
            <v>6280</v>
          </cell>
        </row>
        <row r="262">
          <cell r="B262" t="str">
            <v>S0044264</v>
          </cell>
          <cell r="C262" t="str">
            <v>SPS ALAN ST BROADWATER</v>
          </cell>
          <cell r="D262" t="str">
            <v>A- actual</v>
          </cell>
          <cell r="E262" t="str">
            <v>PS- pump station</v>
          </cell>
          <cell r="F262" t="str">
            <v>ALAN ST</v>
          </cell>
          <cell r="G262" t="str">
            <v>2</v>
          </cell>
          <cell r="H262" t="str">
            <v>W- water corporation</v>
          </cell>
          <cell r="I262" t="str">
            <v>18444</v>
          </cell>
          <cell r="J262" t="str">
            <v>19830101</v>
          </cell>
          <cell r="K262" t="str">
            <v>115.287862886</v>
          </cell>
          <cell r="L262" t="str">
            <v>-33.6591449116</v>
          </cell>
          <cell r="M262" t="str">
            <v>L</v>
          </cell>
          <cell r="N262" t="str">
            <v>4677</v>
          </cell>
          <cell r="O262" t="str">
            <v>ALAN</v>
          </cell>
          <cell r="P262" t="str">
            <v>ST</v>
          </cell>
          <cell r="R262" t="str">
            <v>BROADWATER</v>
          </cell>
          <cell r="S262" t="str">
            <v>6280</v>
          </cell>
        </row>
        <row r="263">
          <cell r="B263" t="str">
            <v>S081-001-002-003</v>
          </cell>
          <cell r="C263" t="str">
            <v>PEEL TCE WWPS</v>
          </cell>
          <cell r="D263" t="str">
            <v>A- actual</v>
          </cell>
          <cell r="E263" t="str">
            <v>TPS- temporary pump station</v>
          </cell>
          <cell r="F263" t="str">
            <v>BUSSELTON MH 629</v>
          </cell>
          <cell r="H263" t="str">
            <v>W- water corporation</v>
          </cell>
          <cell r="I263" t="str">
            <v>51486</v>
          </cell>
          <cell r="J263" t="str">
            <v>19940315</v>
          </cell>
          <cell r="K263" t="str">
            <v>115.353577639</v>
          </cell>
          <cell r="L263" t="str">
            <v>-33.651680931</v>
          </cell>
          <cell r="M263" t="str">
            <v>H</v>
          </cell>
          <cell r="N263" t="str">
            <v>110</v>
          </cell>
          <cell r="O263" t="str">
            <v>PEEL</v>
          </cell>
          <cell r="P263" t="str">
            <v>TCE</v>
          </cell>
          <cell r="R263" t="str">
            <v>BUSSELTON</v>
          </cell>
          <cell r="S263" t="str">
            <v>6280</v>
          </cell>
        </row>
        <row r="264">
          <cell r="B264" t="str">
            <v>S0044298</v>
          </cell>
          <cell r="C264" t="str">
            <v>VPS CLYDEBANK AVE WEST BUSSELTON</v>
          </cell>
          <cell r="D264" t="str">
            <v>A- actual</v>
          </cell>
          <cell r="E264" t="str">
            <v>VPS- vacuum pump station</v>
          </cell>
          <cell r="F264" t="str">
            <v>CLYDEBANK AVE</v>
          </cell>
          <cell r="G264" t="str">
            <v>10</v>
          </cell>
          <cell r="H264" t="str">
            <v>W- water corporation</v>
          </cell>
          <cell r="I264" t="str">
            <v>56591</v>
          </cell>
          <cell r="J264" t="str">
            <v>19950928</v>
          </cell>
          <cell r="K264" t="str">
            <v>115.329923971</v>
          </cell>
          <cell r="L264" t="str">
            <v>-33.665556478</v>
          </cell>
          <cell r="M264" t="str">
            <v>H</v>
          </cell>
          <cell r="N264" t="str">
            <v>41</v>
          </cell>
          <cell r="O264" t="str">
            <v>CLYDEBANK</v>
          </cell>
          <cell r="P264" t="str">
            <v>AV</v>
          </cell>
          <cell r="R264" t="str">
            <v>WEST BUSSELTON</v>
          </cell>
          <cell r="S264" t="str">
            <v>6280</v>
          </cell>
        </row>
        <row r="265">
          <cell r="D265" t="str">
            <v>A- actual</v>
          </cell>
          <cell r="E265" t="str">
            <v>PS- pump station</v>
          </cell>
          <cell r="F265" t="str">
            <v>STERLLY ST</v>
          </cell>
          <cell r="H265" t="str">
            <v>P- private</v>
          </cell>
          <cell r="J265" t="str">
            <v>19951120</v>
          </cell>
          <cell r="K265" t="str">
            <v>115.349489489</v>
          </cell>
          <cell r="L265" t="str">
            <v>-33.6600594811</v>
          </cell>
          <cell r="M265" t="str">
            <v>H</v>
          </cell>
          <cell r="N265" t="str">
            <v>56</v>
          </cell>
          <cell r="O265" t="str">
            <v>STRELLY</v>
          </cell>
          <cell r="P265" t="str">
            <v>ST</v>
          </cell>
          <cell r="R265" t="str">
            <v>BUSSELTON</v>
          </cell>
          <cell r="S265" t="str">
            <v>6280</v>
          </cell>
        </row>
        <row r="266">
          <cell r="B266" t="str">
            <v>S0044305</v>
          </cell>
          <cell r="C266" t="str">
            <v>SPS COUNTRY RD BOVELL</v>
          </cell>
          <cell r="D266" t="str">
            <v>A- actual</v>
          </cell>
          <cell r="E266" t="str">
            <v>PS- pump station</v>
          </cell>
          <cell r="F266" t="str">
            <v>COUNTRY RD</v>
          </cell>
          <cell r="G266" t="str">
            <v>15</v>
          </cell>
          <cell r="H266" t="str">
            <v>W- water corporation</v>
          </cell>
          <cell r="I266" t="str">
            <v>80906</v>
          </cell>
          <cell r="J266" t="str">
            <v>19970923</v>
          </cell>
          <cell r="K266" t="str">
            <v>115.356012488</v>
          </cell>
          <cell r="L266" t="str">
            <v>-33.66547647</v>
          </cell>
          <cell r="M266" t="str">
            <v>H</v>
          </cell>
          <cell r="N266" t="str">
            <v>3</v>
          </cell>
          <cell r="O266" t="str">
            <v>COUNTRY</v>
          </cell>
          <cell r="P266" t="str">
            <v>RD</v>
          </cell>
          <cell r="R266" t="str">
            <v>BOVELL</v>
          </cell>
          <cell r="S266" t="str">
            <v>6280</v>
          </cell>
        </row>
        <row r="267">
          <cell r="B267" t="str">
            <v>S0044348</v>
          </cell>
          <cell r="C267" t="str">
            <v>VPS LAYMAN RD PORT GEOGRAPHE</v>
          </cell>
          <cell r="D267" t="str">
            <v>A- actual</v>
          </cell>
          <cell r="E267" t="str">
            <v>VPS- vacuum pump station</v>
          </cell>
          <cell r="F267" t="str">
            <v>PORT GEOGRAPHE</v>
          </cell>
          <cell r="G267" t="str">
            <v>12</v>
          </cell>
          <cell r="H267" t="str">
            <v>W- water corporation</v>
          </cell>
          <cell r="J267" t="str">
            <v>19961001</v>
          </cell>
          <cell r="K267" t="str">
            <v>115.390560752</v>
          </cell>
          <cell r="L267" t="str">
            <v>-33.642646966</v>
          </cell>
          <cell r="M267" t="str">
            <v>L</v>
          </cell>
          <cell r="N267" t="str">
            <v>1000</v>
          </cell>
          <cell r="O267" t="str">
            <v>LAYMAN</v>
          </cell>
          <cell r="P267" t="str">
            <v>RD</v>
          </cell>
          <cell r="R267" t="str">
            <v>GEOGRAPHE</v>
          </cell>
          <cell r="S267" t="str">
            <v>6280</v>
          </cell>
        </row>
        <row r="268">
          <cell r="B268" t="str">
            <v>S0044284</v>
          </cell>
          <cell r="C268" t="str">
            <v>SPS BUSSELL HWY WEST BROADWATER</v>
          </cell>
          <cell r="D268" t="str">
            <v>A- actual</v>
          </cell>
          <cell r="E268" t="str">
            <v>PS- pump station</v>
          </cell>
          <cell r="F268" t="str">
            <v>BUSSELL HWY WEST</v>
          </cell>
          <cell r="G268" t="str">
            <v>8</v>
          </cell>
          <cell r="H268" t="str">
            <v>W- water corporation</v>
          </cell>
          <cell r="I268" t="str">
            <v>23819</v>
          </cell>
          <cell r="J268" t="str">
            <v>19880101</v>
          </cell>
          <cell r="K268" t="str">
            <v>115.27458392</v>
          </cell>
          <cell r="L268" t="str">
            <v>-33.6600540159</v>
          </cell>
          <cell r="M268" t="str">
            <v>H</v>
          </cell>
          <cell r="N268" t="str">
            <v>591</v>
          </cell>
          <cell r="O268" t="str">
            <v>BUSSELL</v>
          </cell>
          <cell r="P268" t="str">
            <v>HWY</v>
          </cell>
          <cell r="R268" t="str">
            <v>BROADWATER</v>
          </cell>
          <cell r="S268" t="str">
            <v>6280</v>
          </cell>
        </row>
        <row r="269">
          <cell r="B269" t="str">
            <v>S0044493</v>
          </cell>
          <cell r="C269" t="str">
            <v>SPS VINCENT ST DUNSBOROUGH</v>
          </cell>
          <cell r="D269" t="str">
            <v>A- actual</v>
          </cell>
          <cell r="E269" t="str">
            <v>PS- pump station</v>
          </cell>
          <cell r="F269" t="str">
            <v>VINCENT ST</v>
          </cell>
          <cell r="G269" t="str">
            <v>2</v>
          </cell>
          <cell r="H269" t="str">
            <v>W- water corporation</v>
          </cell>
          <cell r="I269" t="str">
            <v>18455</v>
          </cell>
          <cell r="J269" t="str">
            <v>19830617</v>
          </cell>
          <cell r="K269" t="str">
            <v>115.104837507</v>
          </cell>
          <cell r="L269" t="str">
            <v>-33.6064909048</v>
          </cell>
          <cell r="M269" t="str">
            <v>L</v>
          </cell>
          <cell r="N269" t="str">
            <v>182</v>
          </cell>
          <cell r="O269" t="str">
            <v>VINCENT</v>
          </cell>
          <cell r="P269" t="str">
            <v>ST</v>
          </cell>
          <cell r="R269" t="str">
            <v>DUNSBOROUGH</v>
          </cell>
          <cell r="S269" t="str">
            <v>6281</v>
          </cell>
        </row>
        <row r="270">
          <cell r="B270" t="str">
            <v>S0044460</v>
          </cell>
          <cell r="C270" t="str">
            <v>SPS CHESTER WAY DUNSBOROUGH</v>
          </cell>
          <cell r="D270" t="str">
            <v>A- actual</v>
          </cell>
          <cell r="E270" t="str">
            <v>PS- pump station</v>
          </cell>
          <cell r="F270" t="str">
            <v>CHESTER WY</v>
          </cell>
          <cell r="G270" t="str">
            <v>1</v>
          </cell>
          <cell r="H270" t="str">
            <v>W- water corporation</v>
          </cell>
          <cell r="I270" t="str">
            <v>18454</v>
          </cell>
          <cell r="J270" t="str">
            <v>19820101</v>
          </cell>
          <cell r="K270" t="str">
            <v>115.110757915</v>
          </cell>
          <cell r="L270" t="str">
            <v>-33.6171177491</v>
          </cell>
          <cell r="M270" t="str">
            <v>L</v>
          </cell>
          <cell r="N270" t="str">
            <v>261</v>
          </cell>
          <cell r="O270" t="str">
            <v>CHESTER</v>
          </cell>
          <cell r="P270" t="str">
            <v>WAY</v>
          </cell>
          <cell r="R270" t="str">
            <v>DUNSBOROUGH</v>
          </cell>
          <cell r="S270" t="str">
            <v>6281</v>
          </cell>
        </row>
        <row r="271">
          <cell r="B271" t="str">
            <v>S0044484</v>
          </cell>
          <cell r="C271" t="str">
            <v>SPS SPINDRIFT COVE QUINDALUP</v>
          </cell>
          <cell r="D271" t="str">
            <v>A- actual</v>
          </cell>
          <cell r="E271" t="str">
            <v>PS- pump station</v>
          </cell>
          <cell r="F271" t="str">
            <v>SPINDRIFT COVE</v>
          </cell>
          <cell r="G271" t="str">
            <v>4</v>
          </cell>
          <cell r="H271" t="str">
            <v>W- water corporation</v>
          </cell>
          <cell r="I271" t="str">
            <v>18456</v>
          </cell>
          <cell r="J271" t="str">
            <v>19860724</v>
          </cell>
          <cell r="K271" t="str">
            <v>115.120231676</v>
          </cell>
          <cell r="L271" t="str">
            <v>-33.6243621726</v>
          </cell>
          <cell r="M271" t="str">
            <v>L</v>
          </cell>
          <cell r="N271" t="str">
            <v>28</v>
          </cell>
          <cell r="O271" t="str">
            <v>MARSHALL</v>
          </cell>
          <cell r="P271" t="str">
            <v>ST</v>
          </cell>
          <cell r="R271" t="str">
            <v>QUINDALUP</v>
          </cell>
          <cell r="S271" t="str">
            <v>6281</v>
          </cell>
        </row>
        <row r="272">
          <cell r="B272" t="str">
            <v>S0044480</v>
          </cell>
          <cell r="C272" t="str">
            <v>SPS LECAILLE CT DUNSBOROUGH</v>
          </cell>
          <cell r="D272" t="str">
            <v>A- actual</v>
          </cell>
          <cell r="E272" t="str">
            <v>PS- pump station</v>
          </cell>
          <cell r="F272" t="str">
            <v>LECAILLE CT</v>
          </cell>
          <cell r="G272" t="str">
            <v>6</v>
          </cell>
          <cell r="H272" t="str">
            <v>W- water corporation</v>
          </cell>
          <cell r="I272" t="str">
            <v>51691</v>
          </cell>
          <cell r="J272" t="str">
            <v>19950523</v>
          </cell>
          <cell r="K272" t="str">
            <v>115.107197577</v>
          </cell>
          <cell r="L272" t="str">
            <v>-33.6112773186</v>
          </cell>
          <cell r="M272" t="str">
            <v>H</v>
          </cell>
          <cell r="N272" t="str">
            <v>2</v>
          </cell>
          <cell r="O272" t="str">
            <v>LECAILLE</v>
          </cell>
          <cell r="P272" t="str">
            <v>CT</v>
          </cell>
          <cell r="R272" t="str">
            <v>DUNSBOROUGH</v>
          </cell>
          <cell r="S272" t="str">
            <v>6281</v>
          </cell>
        </row>
        <row r="273">
          <cell r="B273" t="str">
            <v>S0033671</v>
          </cell>
          <cell r="C273" t="str">
            <v>SPS DUNKLEY AV APPLECROSS</v>
          </cell>
          <cell r="D273" t="str">
            <v>A- actual</v>
          </cell>
          <cell r="E273" t="str">
            <v>PS- pump station</v>
          </cell>
          <cell r="F273" t="str">
            <v>DUNKLEY AVE</v>
          </cell>
          <cell r="G273" t="str">
            <v>4</v>
          </cell>
          <cell r="H273" t="str">
            <v>W- water corporation</v>
          </cell>
          <cell r="I273" t="str">
            <v>18023</v>
          </cell>
          <cell r="J273" t="str">
            <v>19721218</v>
          </cell>
          <cell r="K273" t="str">
            <v>115.825315227</v>
          </cell>
          <cell r="L273" t="str">
            <v>-32.025113339</v>
          </cell>
          <cell r="M273" t="str">
            <v>H</v>
          </cell>
          <cell r="N273" t="str">
            <v>17</v>
          </cell>
          <cell r="O273" t="str">
            <v>DUNKLEY</v>
          </cell>
          <cell r="P273" t="str">
            <v>AV</v>
          </cell>
          <cell r="R273" t="str">
            <v>APPLECROSS</v>
          </cell>
          <cell r="S273" t="str">
            <v>6153</v>
          </cell>
        </row>
        <row r="274">
          <cell r="B274" t="str">
            <v>S0033657</v>
          </cell>
          <cell r="C274" t="str">
            <v>SPS DEE RD APPLECROSS</v>
          </cell>
          <cell r="D274" t="str">
            <v>A- actual</v>
          </cell>
          <cell r="E274" t="str">
            <v>PS- pump station</v>
          </cell>
          <cell r="F274" t="str">
            <v>DEE RD</v>
          </cell>
          <cell r="G274" t="str">
            <v>5</v>
          </cell>
          <cell r="H274" t="str">
            <v>W- water corporation</v>
          </cell>
          <cell r="I274" t="str">
            <v>18024</v>
          </cell>
          <cell r="J274" t="str">
            <v>19740124</v>
          </cell>
          <cell r="K274" t="str">
            <v>115.829538201</v>
          </cell>
          <cell r="L274" t="str">
            <v>-32.011389653</v>
          </cell>
          <cell r="M274" t="str">
            <v>L</v>
          </cell>
          <cell r="N274" t="str">
            <v>9186</v>
          </cell>
          <cell r="O274" t="str">
            <v>FRASER</v>
          </cell>
          <cell r="P274" t="str">
            <v>RD</v>
          </cell>
          <cell r="R274" t="str">
            <v>APPLECROSS</v>
          </cell>
          <cell r="S274" t="str">
            <v>6153</v>
          </cell>
        </row>
        <row r="275">
          <cell r="B275" t="str">
            <v>S0033858</v>
          </cell>
          <cell r="C275" t="str">
            <v>SPS THE ESPLANADE NTH MT PLEASANT</v>
          </cell>
          <cell r="D275" t="str">
            <v>A- actual</v>
          </cell>
          <cell r="E275" t="str">
            <v>PS- pump station</v>
          </cell>
          <cell r="F275" t="str">
            <v>THE ESPLANADE NTH</v>
          </cell>
          <cell r="G275" t="str">
            <v>5</v>
          </cell>
          <cell r="H275" t="str">
            <v>W- water corporation</v>
          </cell>
          <cell r="I275" t="str">
            <v>18052</v>
          </cell>
          <cell r="J275" t="str">
            <v>19840124</v>
          </cell>
          <cell r="K275" t="str">
            <v>115.852760199</v>
          </cell>
          <cell r="L275" t="str">
            <v>-32.025893133</v>
          </cell>
          <cell r="M275" t="str">
            <v>L</v>
          </cell>
          <cell r="N275" t="str">
            <v>3413</v>
          </cell>
          <cell r="O275" t="str">
            <v>THE ESPLANADE</v>
          </cell>
          <cell r="R275" t="str">
            <v>MOUNT PLEASANT</v>
          </cell>
          <cell r="S275" t="str">
            <v>6153</v>
          </cell>
        </row>
        <row r="276">
          <cell r="B276" t="str">
            <v>S0034160</v>
          </cell>
          <cell r="C276" t="str">
            <v>SPS ROEBUCK DR SALTER POINT</v>
          </cell>
          <cell r="D276" t="str">
            <v>A- actual</v>
          </cell>
          <cell r="E276" t="str">
            <v>PS- pump station</v>
          </cell>
          <cell r="F276" t="str">
            <v>ROEBUCK DR</v>
          </cell>
          <cell r="G276" t="str">
            <v>10</v>
          </cell>
          <cell r="H276" t="str">
            <v>W- water corporation</v>
          </cell>
          <cell r="I276" t="str">
            <v>18124</v>
          </cell>
          <cell r="J276" t="str">
            <v>19750312</v>
          </cell>
          <cell r="K276" t="str">
            <v>115.865228867</v>
          </cell>
          <cell r="L276" t="str">
            <v>-32.0207025395</v>
          </cell>
          <cell r="M276" t="str">
            <v>L</v>
          </cell>
          <cell r="N276" t="str">
            <v>2614</v>
          </cell>
          <cell r="O276" t="str">
            <v>ROEBUCK</v>
          </cell>
          <cell r="P276" t="str">
            <v>DR</v>
          </cell>
          <cell r="R276" t="str">
            <v>SALTER POINT</v>
          </cell>
          <cell r="S276" t="str">
            <v>6152</v>
          </cell>
        </row>
        <row r="277">
          <cell r="B277" t="str">
            <v>S0034029</v>
          </cell>
          <cell r="C277" t="str">
            <v>SPS EDGEWATER RD SALTER POINT</v>
          </cell>
          <cell r="D277" t="str">
            <v>A- actual</v>
          </cell>
          <cell r="E277" t="str">
            <v>PS- pump station</v>
          </cell>
          <cell r="F277" t="str">
            <v>EDGEWATER RD</v>
          </cell>
          <cell r="G277" t="str">
            <v>12</v>
          </cell>
          <cell r="H277" t="str">
            <v>W- water corporation</v>
          </cell>
          <cell r="I277" t="str">
            <v>18126</v>
          </cell>
          <cell r="J277" t="str">
            <v>19790704</v>
          </cell>
          <cell r="K277" t="str">
            <v>115.858268798</v>
          </cell>
          <cell r="L277" t="str">
            <v>-32.021165072</v>
          </cell>
          <cell r="M277" t="str">
            <v>L</v>
          </cell>
          <cell r="N277" t="str">
            <v>3025</v>
          </cell>
          <cell r="O277" t="str">
            <v>ROEBUCK</v>
          </cell>
          <cell r="P277" t="str">
            <v>DR</v>
          </cell>
          <cell r="R277" t="str">
            <v>SALTER POINT</v>
          </cell>
          <cell r="S277" t="str">
            <v>6152</v>
          </cell>
        </row>
        <row r="278">
          <cell r="B278" t="str">
            <v>S0033833</v>
          </cell>
          <cell r="C278" t="str">
            <v>SPS ROOKWOOD ST MT PLEASANT</v>
          </cell>
          <cell r="D278" t="str">
            <v>A- actual</v>
          </cell>
          <cell r="E278" t="str">
            <v>PS- pump station</v>
          </cell>
          <cell r="F278" t="str">
            <v>ROOKWOOD ST</v>
          </cell>
          <cell r="G278" t="str">
            <v>1</v>
          </cell>
          <cell r="H278" t="str">
            <v>W- water corporation</v>
          </cell>
          <cell r="I278" t="str">
            <v>18102</v>
          </cell>
          <cell r="J278" t="str">
            <v>19810116</v>
          </cell>
          <cell r="K278" t="str">
            <v>115.850852328</v>
          </cell>
          <cell r="L278" t="str">
            <v>-32.01702463</v>
          </cell>
          <cell r="M278" t="str">
            <v>H</v>
          </cell>
          <cell r="N278" t="str">
            <v>36</v>
          </cell>
          <cell r="O278" t="str">
            <v>THE ESPLANADE</v>
          </cell>
          <cell r="R278" t="str">
            <v>MOUNT PLEASANT</v>
          </cell>
          <cell r="S278" t="str">
            <v>6153</v>
          </cell>
        </row>
        <row r="279">
          <cell r="B279" t="str">
            <v>S0034181</v>
          </cell>
          <cell r="C279" t="str">
            <v>SPS THELMA ST WEST COMO</v>
          </cell>
          <cell r="D279" t="str">
            <v>A- actual</v>
          </cell>
          <cell r="E279" t="str">
            <v>PS- pump station</v>
          </cell>
          <cell r="F279" t="str">
            <v>THELMA ST WEST</v>
          </cell>
          <cell r="G279" t="str">
            <v>1</v>
          </cell>
          <cell r="H279" t="str">
            <v>W- water corporation</v>
          </cell>
          <cell r="I279" t="str">
            <v>18115</v>
          </cell>
          <cell r="J279" t="str">
            <v>19380727</v>
          </cell>
          <cell r="K279" t="str">
            <v>115.855999095</v>
          </cell>
          <cell r="L279" t="str">
            <v>-31.9960808661</v>
          </cell>
          <cell r="M279" t="str">
            <v>H</v>
          </cell>
          <cell r="N279" t="str">
            <v>143</v>
          </cell>
          <cell r="O279" t="str">
            <v>MELVILLE</v>
          </cell>
          <cell r="P279" t="str">
            <v>PDE</v>
          </cell>
          <cell r="R279" t="str">
            <v>COMO</v>
          </cell>
          <cell r="S279" t="str">
            <v>6152</v>
          </cell>
        </row>
        <row r="280">
          <cell r="B280" t="str">
            <v>S0034106</v>
          </cell>
          <cell r="C280" t="str">
            <v>SPS JARMAN AV MANNING</v>
          </cell>
          <cell r="D280" t="str">
            <v>A- actual</v>
          </cell>
          <cell r="E280" t="str">
            <v>PS- pump station</v>
          </cell>
          <cell r="F280" t="str">
            <v>JARMAN AVE</v>
          </cell>
          <cell r="G280" t="str">
            <v>4</v>
          </cell>
          <cell r="H280" t="str">
            <v>W- water corporation</v>
          </cell>
          <cell r="I280" t="str">
            <v>18118</v>
          </cell>
          <cell r="J280" t="str">
            <v>19500501</v>
          </cell>
          <cell r="K280" t="str">
            <v>115.865946477</v>
          </cell>
          <cell r="L280" t="str">
            <v>-32.0140215275</v>
          </cell>
          <cell r="M280" t="str">
            <v>L</v>
          </cell>
          <cell r="N280" t="str">
            <v>3102</v>
          </cell>
          <cell r="O280" t="str">
            <v>JARMAN</v>
          </cell>
          <cell r="P280" t="str">
            <v>AV</v>
          </cell>
          <cell r="R280" t="str">
            <v>MANNING</v>
          </cell>
          <cell r="S280" t="str">
            <v>6152</v>
          </cell>
        </row>
        <row r="281">
          <cell r="B281" t="str">
            <v>S0034150</v>
          </cell>
          <cell r="C281" t="str">
            <v>SPS ROBERT ST COMO</v>
          </cell>
          <cell r="D281" t="str">
            <v>A- actual</v>
          </cell>
          <cell r="E281" t="str">
            <v>PS- pump station</v>
          </cell>
          <cell r="F281" t="str">
            <v>ROBERT ST</v>
          </cell>
          <cell r="G281" t="str">
            <v>13</v>
          </cell>
          <cell r="H281" t="str">
            <v>W- water corporation</v>
          </cell>
          <cell r="I281" t="str">
            <v>18127</v>
          </cell>
          <cell r="J281" t="str">
            <v>19790704</v>
          </cell>
          <cell r="K281" t="str">
            <v>115.857686539</v>
          </cell>
          <cell r="L281" t="str">
            <v>-32.0119171645</v>
          </cell>
          <cell r="M281" t="str">
            <v>L</v>
          </cell>
          <cell r="N281" t="str">
            <v>1</v>
          </cell>
          <cell r="O281" t="str">
            <v>ROBERT</v>
          </cell>
          <cell r="P281" t="str">
            <v>ST</v>
          </cell>
          <cell r="R281" t="str">
            <v>COMO</v>
          </cell>
          <cell r="S281" t="str">
            <v>6152</v>
          </cell>
        </row>
        <row r="282">
          <cell r="B282" t="str">
            <v>S0033987</v>
          </cell>
          <cell r="C282" t="str">
            <v>SPS BICKLEY ST COMO</v>
          </cell>
          <cell r="D282" t="str">
            <v>A- actual</v>
          </cell>
          <cell r="E282" t="str">
            <v>PS- pump station</v>
          </cell>
          <cell r="F282" t="str">
            <v>BICKLEY ST</v>
          </cell>
          <cell r="G282" t="str">
            <v>6</v>
          </cell>
          <cell r="H282" t="str">
            <v>W- water corporation</v>
          </cell>
          <cell r="I282" t="str">
            <v>18120</v>
          </cell>
          <cell r="J282" t="str">
            <v>19651101</v>
          </cell>
          <cell r="K282" t="str">
            <v>115.856105369</v>
          </cell>
          <cell r="L282" t="str">
            <v>-32.007954752</v>
          </cell>
          <cell r="M282" t="str">
            <v>H</v>
          </cell>
          <cell r="N282" t="str">
            <v>9</v>
          </cell>
          <cell r="O282" t="str">
            <v>CASSEY</v>
          </cell>
          <cell r="P282" t="str">
            <v>ST</v>
          </cell>
          <cell r="R282" t="str">
            <v>COMO</v>
          </cell>
          <cell r="S282" t="str">
            <v>6152</v>
          </cell>
        </row>
        <row r="283">
          <cell r="D283" t="str">
            <v>N- not in use</v>
          </cell>
          <cell r="E283" t="str">
            <v>PS- pump station</v>
          </cell>
          <cell r="F283" t="str">
            <v>CASSEY ST</v>
          </cell>
          <cell r="H283" t="str">
            <v>P- private</v>
          </cell>
          <cell r="J283" t="str">
            <v>19651101</v>
          </cell>
          <cell r="K283" t="str">
            <v>115.856105369</v>
          </cell>
          <cell r="L283" t="str">
            <v>-32.007954752</v>
          </cell>
          <cell r="M283" t="str">
            <v>H</v>
          </cell>
          <cell r="N283" t="str">
            <v>9</v>
          </cell>
          <cell r="O283" t="str">
            <v>CASSEY</v>
          </cell>
          <cell r="P283" t="str">
            <v>ST</v>
          </cell>
          <cell r="R283" t="str">
            <v>COMO</v>
          </cell>
          <cell r="S283" t="str">
            <v>6152</v>
          </cell>
        </row>
        <row r="284">
          <cell r="B284" t="str">
            <v>S0034017</v>
          </cell>
          <cell r="C284" t="str">
            <v>SPS CLYDESDALE ST COMO</v>
          </cell>
          <cell r="D284" t="str">
            <v>A- actual</v>
          </cell>
          <cell r="E284" t="str">
            <v>PS- pump station</v>
          </cell>
          <cell r="F284" t="str">
            <v>CLYDESDALE ST</v>
          </cell>
          <cell r="G284" t="str">
            <v>5</v>
          </cell>
          <cell r="H284" t="str">
            <v>W- water corporation</v>
          </cell>
          <cell r="I284" t="str">
            <v>18119</v>
          </cell>
          <cell r="J284" t="str">
            <v>19700625</v>
          </cell>
          <cell r="K284" t="str">
            <v>115.86148796</v>
          </cell>
          <cell r="L284" t="str">
            <v>-32.0072495632</v>
          </cell>
          <cell r="M284" t="str">
            <v>H</v>
          </cell>
          <cell r="N284" t="str">
            <v>15</v>
          </cell>
          <cell r="O284" t="str">
            <v>CLYDESDALE</v>
          </cell>
          <cell r="P284" t="str">
            <v>ST</v>
          </cell>
          <cell r="R284" t="str">
            <v>COMO</v>
          </cell>
          <cell r="S284" t="str">
            <v>6152</v>
          </cell>
        </row>
        <row r="285">
          <cell r="B285" t="str">
            <v>S0033614</v>
          </cell>
          <cell r="C285" t="str">
            <v>SPS CANNING BEACH RD APPLECROSS</v>
          </cell>
          <cell r="D285" t="str">
            <v>A- actual</v>
          </cell>
          <cell r="E285" t="str">
            <v>PS- pump station</v>
          </cell>
          <cell r="F285" t="str">
            <v>CANNING BEACH RD</v>
          </cell>
          <cell r="G285" t="str">
            <v>1</v>
          </cell>
          <cell r="H285" t="str">
            <v>W- water corporation</v>
          </cell>
          <cell r="I285" t="str">
            <v>18020</v>
          </cell>
          <cell r="J285" t="str">
            <v>19670619</v>
          </cell>
          <cell r="K285" t="str">
            <v>115.850101053</v>
          </cell>
          <cell r="L285" t="str">
            <v>-32.009884767</v>
          </cell>
          <cell r="M285" t="str">
            <v>H</v>
          </cell>
          <cell r="N285" t="str">
            <v>60</v>
          </cell>
          <cell r="O285" t="str">
            <v>CANNING BEACH</v>
          </cell>
          <cell r="P285" t="str">
            <v>RD</v>
          </cell>
          <cell r="R285" t="str">
            <v>APPLECROSS</v>
          </cell>
          <cell r="S285" t="str">
            <v>6153</v>
          </cell>
        </row>
        <row r="286">
          <cell r="B286" t="str">
            <v>S0033664</v>
          </cell>
          <cell r="C286" t="str">
            <v>SPS DUNCRAIG RD APPLECROSS</v>
          </cell>
          <cell r="D286" t="str">
            <v>A- actual</v>
          </cell>
          <cell r="E286" t="str">
            <v>PS- pump station</v>
          </cell>
          <cell r="F286" t="str">
            <v>DUNCRAIG RD</v>
          </cell>
          <cell r="G286" t="str">
            <v>3</v>
          </cell>
          <cell r="H286" t="str">
            <v>W- water corporation</v>
          </cell>
          <cell r="I286" t="str">
            <v>18022</v>
          </cell>
          <cell r="J286" t="str">
            <v>19680613</v>
          </cell>
          <cell r="K286" t="str">
            <v>115.841525425</v>
          </cell>
          <cell r="L286" t="str">
            <v>-32.006574428</v>
          </cell>
          <cell r="M286" t="str">
            <v>H</v>
          </cell>
          <cell r="N286" t="str">
            <v>37</v>
          </cell>
          <cell r="O286" t="str">
            <v>DUNCRAIG</v>
          </cell>
          <cell r="P286" t="str">
            <v>RD</v>
          </cell>
          <cell r="R286" t="str">
            <v>APPLECROSS</v>
          </cell>
          <cell r="S286" t="str">
            <v>6153</v>
          </cell>
        </row>
        <row r="287">
          <cell r="B287" t="str">
            <v>S0033851</v>
          </cell>
          <cell r="C287" t="str">
            <v>SPS SWEETMAN ST ARDROSS</v>
          </cell>
          <cell r="D287" t="str">
            <v>A- actual</v>
          </cell>
          <cell r="E287" t="str">
            <v>PS- pump station</v>
          </cell>
          <cell r="F287" t="str">
            <v>SWEETMAN ST</v>
          </cell>
          <cell r="G287" t="str">
            <v>3</v>
          </cell>
          <cell r="H287" t="str">
            <v>W- water corporation</v>
          </cell>
          <cell r="I287" t="str">
            <v>18050</v>
          </cell>
          <cell r="J287" t="str">
            <v>19810701</v>
          </cell>
          <cell r="K287" t="str">
            <v>115.840443015</v>
          </cell>
          <cell r="L287" t="str">
            <v>-32.0225256506</v>
          </cell>
          <cell r="M287" t="str">
            <v>H</v>
          </cell>
          <cell r="N287" t="str">
            <v>1</v>
          </cell>
          <cell r="O287" t="str">
            <v>SWEETMAN</v>
          </cell>
          <cell r="P287" t="str">
            <v>ST</v>
          </cell>
          <cell r="R287" t="str">
            <v>ARDROSS</v>
          </cell>
          <cell r="S287" t="str">
            <v>6153</v>
          </cell>
        </row>
        <row r="288">
          <cell r="B288" t="str">
            <v>S0033676</v>
          </cell>
          <cell r="C288" t="str">
            <v>SPS DUNVEGAN RD APPLECROSS</v>
          </cell>
          <cell r="D288" t="str">
            <v>A- actual</v>
          </cell>
          <cell r="E288" t="str">
            <v>PS- pump station</v>
          </cell>
          <cell r="F288" t="str">
            <v>DUNVEGAN RD</v>
          </cell>
          <cell r="G288" t="str">
            <v>2</v>
          </cell>
          <cell r="H288" t="str">
            <v>W- water corporation</v>
          </cell>
          <cell r="I288" t="str">
            <v>18021</v>
          </cell>
          <cell r="J288" t="str">
            <v>19680228</v>
          </cell>
          <cell r="K288" t="str">
            <v>115.84732714</v>
          </cell>
          <cell r="L288" t="str">
            <v>-32.0061928893</v>
          </cell>
          <cell r="M288" t="str">
            <v>L</v>
          </cell>
          <cell r="N288" t="str">
            <v>11311</v>
          </cell>
          <cell r="O288" t="str">
            <v>CANNING BEACH</v>
          </cell>
          <cell r="P288" t="str">
            <v>RD</v>
          </cell>
          <cell r="R288" t="str">
            <v>APPLECROSS</v>
          </cell>
          <cell r="S288" t="str">
            <v>6153</v>
          </cell>
        </row>
        <row r="289">
          <cell r="B289" t="str">
            <v>S0033868</v>
          </cell>
          <cell r="C289" t="str">
            <v>SPS THE STRAND APPLECROSS</v>
          </cell>
          <cell r="D289" t="str">
            <v>A- actual</v>
          </cell>
          <cell r="E289" t="str">
            <v>PS- pump station</v>
          </cell>
          <cell r="F289" t="str">
            <v>THE STRAND</v>
          </cell>
          <cell r="G289" t="str">
            <v>6</v>
          </cell>
          <cell r="H289" t="str">
            <v>W- water corporation</v>
          </cell>
          <cell r="I289" t="str">
            <v>18025</v>
          </cell>
          <cell r="J289" t="str">
            <v>19830114</v>
          </cell>
          <cell r="K289" t="str">
            <v>115.833891892</v>
          </cell>
          <cell r="L289" t="str">
            <v>-32.007315704</v>
          </cell>
          <cell r="M289" t="str">
            <v>L</v>
          </cell>
          <cell r="N289" t="str">
            <v>10586</v>
          </cell>
          <cell r="O289" t="str">
            <v>THE STRAND</v>
          </cell>
          <cell r="R289" t="str">
            <v>APPLECROSS</v>
          </cell>
          <cell r="S289" t="str">
            <v>6153</v>
          </cell>
        </row>
        <row r="290">
          <cell r="B290" t="str">
            <v>S0033054</v>
          </cell>
          <cell r="C290" t="str">
            <v>SPS MILES RD KEWDALE</v>
          </cell>
          <cell r="D290" t="str">
            <v>A- actual</v>
          </cell>
          <cell r="E290" t="str">
            <v>PS- pump station</v>
          </cell>
          <cell r="F290" t="str">
            <v>MILES RD</v>
          </cell>
          <cell r="G290" t="str">
            <v>2</v>
          </cell>
          <cell r="H290" t="str">
            <v>W- water corporation</v>
          </cell>
          <cell r="I290" t="str">
            <v>18082</v>
          </cell>
          <cell r="J290" t="str">
            <v>19750125</v>
          </cell>
          <cell r="K290" t="str">
            <v>115.955253332</v>
          </cell>
          <cell r="L290" t="str">
            <v>-31.9839870242</v>
          </cell>
          <cell r="M290" t="str">
            <v>H</v>
          </cell>
          <cell r="N290" t="str">
            <v>135</v>
          </cell>
          <cell r="O290" t="str">
            <v>KEWDALE</v>
          </cell>
          <cell r="P290" t="str">
            <v>RD</v>
          </cell>
          <cell r="R290" t="str">
            <v>KEWDALE</v>
          </cell>
          <cell r="S290" t="str">
            <v>6105</v>
          </cell>
        </row>
        <row r="291">
          <cell r="D291" t="str">
            <v>A- actual</v>
          </cell>
          <cell r="E291" t="str">
            <v>PS- pump station</v>
          </cell>
          <cell r="F291" t="str">
            <v>MURDOCH CT</v>
          </cell>
          <cell r="H291" t="str">
            <v>P- private</v>
          </cell>
          <cell r="J291" t="str">
            <v>19721207</v>
          </cell>
          <cell r="K291" t="str">
            <v>115.91842914</v>
          </cell>
          <cell r="L291" t="str">
            <v>-31.983424481</v>
          </cell>
          <cell r="M291" t="str">
            <v>H</v>
          </cell>
          <cell r="N291" t="str">
            <v>171</v>
          </cell>
          <cell r="O291" t="str">
            <v>BISHOPSGATE</v>
          </cell>
          <cell r="P291" t="str">
            <v>ST</v>
          </cell>
          <cell r="R291" t="str">
            <v>CARLISLE</v>
          </cell>
          <cell r="S291" t="str">
            <v>6101</v>
          </cell>
        </row>
        <row r="292">
          <cell r="B292" t="str">
            <v>S0033972</v>
          </cell>
          <cell r="C292" t="str">
            <v>SPS BEATTY AV EAST VICTORIA PARK</v>
          </cell>
          <cell r="D292" t="str">
            <v>A- actual</v>
          </cell>
          <cell r="E292" t="str">
            <v>PS- pump station</v>
          </cell>
          <cell r="F292" t="str">
            <v>BEATTY AVE</v>
          </cell>
          <cell r="G292" t="str">
            <v>14</v>
          </cell>
          <cell r="H292" t="str">
            <v>W- water corporation</v>
          </cell>
          <cell r="I292" t="str">
            <v>18154</v>
          </cell>
          <cell r="J292" t="str">
            <v>19521128</v>
          </cell>
          <cell r="K292" t="str">
            <v>115.911049748</v>
          </cell>
          <cell r="L292" t="str">
            <v>-31.982467888</v>
          </cell>
          <cell r="M292" t="str">
            <v>H</v>
          </cell>
          <cell r="N292" t="str">
            <v>78</v>
          </cell>
          <cell r="O292" t="str">
            <v>BEATTY</v>
          </cell>
          <cell r="P292" t="str">
            <v>AV</v>
          </cell>
          <cell r="R292" t="str">
            <v>EAST VICTORIA PARK</v>
          </cell>
          <cell r="S292" t="str">
            <v>6101</v>
          </cell>
        </row>
        <row r="293">
          <cell r="B293" t="str">
            <v>S0034188</v>
          </cell>
          <cell r="C293" t="str">
            <v>SPS WILLIS ST EAST VICTORIA PARK</v>
          </cell>
          <cell r="D293" t="str">
            <v>A- actual</v>
          </cell>
          <cell r="E293" t="str">
            <v>PS- pump station</v>
          </cell>
          <cell r="F293" t="str">
            <v>WILLIS ST</v>
          </cell>
          <cell r="G293" t="str">
            <v>18</v>
          </cell>
          <cell r="H293" t="str">
            <v>W- water corporation</v>
          </cell>
          <cell r="I293" t="str">
            <v>18158</v>
          </cell>
          <cell r="J293" t="str">
            <v>19481210</v>
          </cell>
          <cell r="K293" t="str">
            <v>115.905090976</v>
          </cell>
          <cell r="L293" t="str">
            <v>-31.988924895</v>
          </cell>
          <cell r="M293" t="str">
            <v>H</v>
          </cell>
          <cell r="N293" t="str">
            <v>6</v>
          </cell>
          <cell r="O293" t="str">
            <v>WILLIS</v>
          </cell>
          <cell r="P293" t="str">
            <v>ST</v>
          </cell>
          <cell r="R293" t="str">
            <v>EAST VICTORIA PARK</v>
          </cell>
          <cell r="S293" t="str">
            <v>6101</v>
          </cell>
        </row>
        <row r="294">
          <cell r="B294" t="str">
            <v>S0033994</v>
          </cell>
          <cell r="C294" t="str">
            <v>SPS BISHOPSGATE ST CARLISLE</v>
          </cell>
          <cell r="D294" t="str">
            <v>A- actual</v>
          </cell>
          <cell r="E294" t="str">
            <v>PS- pump station</v>
          </cell>
          <cell r="F294" t="str">
            <v>BISHOPSGATE ST</v>
          </cell>
          <cell r="G294" t="str">
            <v>4</v>
          </cell>
          <cell r="H294" t="str">
            <v>W- water corporation</v>
          </cell>
          <cell r="I294" t="str">
            <v>18144</v>
          </cell>
          <cell r="J294" t="str">
            <v>19721207</v>
          </cell>
          <cell r="K294" t="str">
            <v>115.912240654</v>
          </cell>
          <cell r="L294" t="str">
            <v>-31.978129818</v>
          </cell>
          <cell r="M294" t="str">
            <v>H</v>
          </cell>
          <cell r="N294" t="str">
            <v>89</v>
          </cell>
          <cell r="O294" t="str">
            <v>BISHOPSGATE</v>
          </cell>
          <cell r="P294" t="str">
            <v>ST</v>
          </cell>
          <cell r="R294" t="str">
            <v>CARLISLE</v>
          </cell>
          <cell r="S294" t="str">
            <v>6101</v>
          </cell>
        </row>
        <row r="295">
          <cell r="B295" t="str">
            <v>S0034008</v>
          </cell>
          <cell r="C295" t="str">
            <v>SPS CARNARVON ST EAST VICTORIA PARK</v>
          </cell>
          <cell r="D295" t="str">
            <v>A- actual</v>
          </cell>
          <cell r="E295" t="str">
            <v>PS- pump station</v>
          </cell>
          <cell r="F295" t="str">
            <v>CARNARVON ST</v>
          </cell>
          <cell r="G295" t="str">
            <v>13</v>
          </cell>
          <cell r="H295" t="str">
            <v>W- water corporation</v>
          </cell>
          <cell r="I295" t="str">
            <v>18153</v>
          </cell>
          <cell r="J295" t="str">
            <v>19520708</v>
          </cell>
          <cell r="K295" t="str">
            <v>115.905674829</v>
          </cell>
          <cell r="L295" t="str">
            <v>-31.978709501</v>
          </cell>
          <cell r="M295" t="str">
            <v>H</v>
          </cell>
          <cell r="N295" t="str">
            <v>22</v>
          </cell>
          <cell r="O295" t="str">
            <v>CARNARVON</v>
          </cell>
          <cell r="P295" t="str">
            <v>ST</v>
          </cell>
          <cell r="R295" t="str">
            <v>EAST VICTORIA PARK</v>
          </cell>
          <cell r="S295" t="str">
            <v>6101</v>
          </cell>
        </row>
        <row r="296">
          <cell r="B296" t="str">
            <v>S0034118</v>
          </cell>
          <cell r="C296" t="str">
            <v>SPS MARCHAMLEY ST CARLISLE</v>
          </cell>
          <cell r="D296" t="str">
            <v>A- actual</v>
          </cell>
          <cell r="E296" t="str">
            <v>PS- pump station</v>
          </cell>
          <cell r="F296" t="str">
            <v>MARCHAMLEY ST</v>
          </cell>
          <cell r="G296" t="str">
            <v>3</v>
          </cell>
          <cell r="H296" t="str">
            <v>W- water corporation</v>
          </cell>
          <cell r="I296" t="str">
            <v>18045</v>
          </cell>
          <cell r="J296" t="str">
            <v>19750723</v>
          </cell>
          <cell r="K296" t="str">
            <v>115.914646544</v>
          </cell>
          <cell r="L296" t="str">
            <v>-31.970573258</v>
          </cell>
          <cell r="M296" t="str">
            <v>H</v>
          </cell>
          <cell r="N296" t="str">
            <v>7</v>
          </cell>
          <cell r="O296" t="str">
            <v>MARCHAMLEY</v>
          </cell>
          <cell r="P296" t="str">
            <v>ST</v>
          </cell>
          <cell r="R296" t="str">
            <v>CARLISLE</v>
          </cell>
          <cell r="S296" t="str">
            <v>6101</v>
          </cell>
        </row>
        <row r="297">
          <cell r="D297" t="str">
            <v>A- actual</v>
          </cell>
          <cell r="E297" t="str">
            <v>PS- pump station</v>
          </cell>
          <cell r="F297" t="str">
            <v>SOMERSBY RD</v>
          </cell>
          <cell r="H297" t="str">
            <v>P- private</v>
          </cell>
          <cell r="J297" t="str">
            <v>19000101</v>
          </cell>
          <cell r="K297" t="str">
            <v>115.939935441</v>
          </cell>
          <cell r="L297" t="str">
            <v>-31.987265024</v>
          </cell>
          <cell r="M297" t="str">
            <v>L</v>
          </cell>
          <cell r="N297" t="str">
            <v>96</v>
          </cell>
          <cell r="O297" t="str">
            <v>DIVISION</v>
          </cell>
          <cell r="P297" t="str">
            <v>ST</v>
          </cell>
          <cell r="R297" t="str">
            <v>WELSHPOOL</v>
          </cell>
          <cell r="S297" t="str">
            <v>6106</v>
          </cell>
        </row>
        <row r="298">
          <cell r="D298" t="str">
            <v>A- actual</v>
          </cell>
          <cell r="E298" t="str">
            <v>PS- pump station</v>
          </cell>
          <cell r="F298" t="str">
            <v>COCA COLA</v>
          </cell>
          <cell r="H298" t="str">
            <v>P- private</v>
          </cell>
          <cell r="J298" t="str">
            <v>19820101</v>
          </cell>
          <cell r="K298" t="str">
            <v>115.95015352</v>
          </cell>
          <cell r="L298" t="str">
            <v>-31.981449522</v>
          </cell>
          <cell r="M298" t="str">
            <v>H</v>
          </cell>
          <cell r="N298" t="str">
            <v>19</v>
          </cell>
          <cell r="O298" t="str">
            <v>MILES</v>
          </cell>
          <cell r="P298" t="str">
            <v>RD</v>
          </cell>
          <cell r="R298" t="str">
            <v>KEWDALE</v>
          </cell>
          <cell r="S298" t="str">
            <v>6105</v>
          </cell>
        </row>
        <row r="299">
          <cell r="B299" t="str">
            <v>S0033073</v>
          </cell>
          <cell r="C299" t="str">
            <v>SPS PILBARA ST WELSHPOOL</v>
          </cell>
          <cell r="D299" t="str">
            <v>N- not in use</v>
          </cell>
          <cell r="E299" t="str">
            <v>PS- pump station</v>
          </cell>
          <cell r="F299" t="str">
            <v>PILBARA ST</v>
          </cell>
          <cell r="G299" t="str">
            <v>1</v>
          </cell>
          <cell r="H299" t="str">
            <v>W- water corporation</v>
          </cell>
          <cell r="I299" t="str">
            <v>18081</v>
          </cell>
          <cell r="J299" t="str">
            <v>19710722</v>
          </cell>
          <cell r="K299" t="str">
            <v>115.945155836</v>
          </cell>
          <cell r="L299" t="str">
            <v>-31.990010946</v>
          </cell>
          <cell r="M299" t="str">
            <v>H</v>
          </cell>
          <cell r="N299" t="str">
            <v>91</v>
          </cell>
          <cell r="O299" t="str">
            <v>PILBARA</v>
          </cell>
          <cell r="P299" t="str">
            <v>ST</v>
          </cell>
          <cell r="R299" t="str">
            <v>WELSHPOOL</v>
          </cell>
          <cell r="S299" t="str">
            <v>6106</v>
          </cell>
        </row>
        <row r="300">
          <cell r="D300" t="str">
            <v>A- actual</v>
          </cell>
          <cell r="E300" t="str">
            <v>PS- pump station</v>
          </cell>
          <cell r="F300" t="str">
            <v>PRESIDENT-GABRIEL</v>
          </cell>
          <cell r="H300" t="str">
            <v>P- private</v>
          </cell>
          <cell r="J300" t="str">
            <v>19871112</v>
          </cell>
          <cell r="K300" t="str">
            <v>115.939035187</v>
          </cell>
          <cell r="L300" t="str">
            <v>-31.975815373</v>
          </cell>
          <cell r="M300" t="str">
            <v>H</v>
          </cell>
          <cell r="N300" t="str">
            <v>2</v>
          </cell>
          <cell r="O300" t="str">
            <v>SCOTT</v>
          </cell>
          <cell r="P300" t="str">
            <v>ST</v>
          </cell>
          <cell r="R300" t="str">
            <v>KEWDALE</v>
          </cell>
          <cell r="S300" t="str">
            <v>6105</v>
          </cell>
        </row>
        <row r="301">
          <cell r="B301" t="str">
            <v>S0034113</v>
          </cell>
          <cell r="C301" t="str">
            <v>SPS KNUTSFORD AV KEWDALE</v>
          </cell>
          <cell r="D301" t="str">
            <v>A- actual</v>
          </cell>
          <cell r="E301" t="str">
            <v>PS- pump station</v>
          </cell>
          <cell r="F301" t="str">
            <v>KNUTSFORD AVE</v>
          </cell>
          <cell r="G301" t="str">
            <v>5</v>
          </cell>
          <cell r="H301" t="str">
            <v>W- water corporation</v>
          </cell>
          <cell r="I301" t="str">
            <v>52788</v>
          </cell>
          <cell r="J301" t="str">
            <v>19940802</v>
          </cell>
          <cell r="K301" t="str">
            <v>115.936998114</v>
          </cell>
          <cell r="L301" t="str">
            <v>-31.971121989</v>
          </cell>
          <cell r="M301" t="str">
            <v>H</v>
          </cell>
          <cell r="N301" t="str">
            <v>323</v>
          </cell>
          <cell r="O301" t="str">
            <v>KNUTSFORD</v>
          </cell>
          <cell r="P301" t="str">
            <v>AV</v>
          </cell>
          <cell r="R301" t="str">
            <v>KEWDALE</v>
          </cell>
          <cell r="S301" t="str">
            <v>6105</v>
          </cell>
        </row>
        <row r="302">
          <cell r="B302" t="str">
            <v>S0033977</v>
          </cell>
          <cell r="C302" t="str">
            <v>SPS BEATTY AV STH EAST VIC PARK</v>
          </cell>
          <cell r="D302" t="str">
            <v>A- actual</v>
          </cell>
          <cell r="E302" t="str">
            <v>PS- pump station</v>
          </cell>
          <cell r="F302" t="str">
            <v>BEATTY AVE STH</v>
          </cell>
          <cell r="G302" t="str">
            <v>20</v>
          </cell>
          <cell r="H302" t="str">
            <v>W- water corporation</v>
          </cell>
          <cell r="I302" t="str">
            <v>56559</v>
          </cell>
          <cell r="J302" t="str">
            <v>19950703</v>
          </cell>
          <cell r="K302" t="str">
            <v>115.913343068</v>
          </cell>
          <cell r="L302" t="str">
            <v>-31.986411392</v>
          </cell>
          <cell r="M302" t="str">
            <v>H</v>
          </cell>
          <cell r="N302" t="str">
            <v>121</v>
          </cell>
          <cell r="O302" t="str">
            <v>BEATTY</v>
          </cell>
          <cell r="P302" t="str">
            <v>AV</v>
          </cell>
          <cell r="R302" t="str">
            <v>EAST VICTORIA PARK</v>
          </cell>
          <cell r="S302" t="str">
            <v>6101</v>
          </cell>
        </row>
        <row r="303">
          <cell r="B303" t="str">
            <v>S0034039</v>
          </cell>
          <cell r="C303" t="str">
            <v>SPS MACEY CL RIVERVALE</v>
          </cell>
          <cell r="D303" t="str">
            <v>A- actual</v>
          </cell>
          <cell r="E303" t="str">
            <v>PS- pump station</v>
          </cell>
          <cell r="F303" t="str">
            <v>MACEY CL</v>
          </cell>
          <cell r="G303" t="str">
            <v>062-01</v>
          </cell>
          <cell r="H303" t="str">
            <v>W- water corporation</v>
          </cell>
          <cell r="I303" t="str">
            <v>18113</v>
          </cell>
          <cell r="J303" t="str">
            <v>19741223</v>
          </cell>
          <cell r="K303" t="str">
            <v>115.912386341</v>
          </cell>
          <cell r="L303" t="str">
            <v>-31.9594489722</v>
          </cell>
          <cell r="M303" t="str">
            <v>H</v>
          </cell>
          <cell r="N303" t="str">
            <v>1</v>
          </cell>
          <cell r="O303" t="str">
            <v>MACEY</v>
          </cell>
          <cell r="P303" t="str">
            <v>CL</v>
          </cell>
          <cell r="R303" t="str">
            <v>RIVERVALE</v>
          </cell>
          <cell r="S303" t="str">
            <v>6103</v>
          </cell>
        </row>
        <row r="304">
          <cell r="B304" t="str">
            <v>S0034155</v>
          </cell>
          <cell r="C304" t="str">
            <v>SPS ROBINSON AV CLOVERDALE</v>
          </cell>
          <cell r="D304" t="str">
            <v>A- actual</v>
          </cell>
          <cell r="E304" t="str">
            <v>PS- pump station</v>
          </cell>
          <cell r="F304" t="str">
            <v>ROBINSON AVE</v>
          </cell>
          <cell r="G304" t="str">
            <v>2</v>
          </cell>
          <cell r="H304" t="str">
            <v>W- water corporation</v>
          </cell>
          <cell r="I304" t="str">
            <v>18042</v>
          </cell>
          <cell r="J304" t="str">
            <v>19690217</v>
          </cell>
          <cell r="K304" t="str">
            <v>115.934558846</v>
          </cell>
          <cell r="L304" t="str">
            <v>-31.9636144276</v>
          </cell>
          <cell r="M304" t="str">
            <v>L</v>
          </cell>
          <cell r="N304" t="str">
            <v>10</v>
          </cell>
          <cell r="O304" t="str">
            <v>WRIGHT</v>
          </cell>
          <cell r="P304" t="str">
            <v>ST</v>
          </cell>
          <cell r="R304" t="str">
            <v>CLOVERDALE</v>
          </cell>
          <cell r="S304" t="str">
            <v>6105</v>
          </cell>
        </row>
        <row r="305">
          <cell r="B305" t="str">
            <v>S0034193</v>
          </cell>
          <cell r="C305" t="str">
            <v>SPS WRIGHT ST CLOVERDALE</v>
          </cell>
          <cell r="D305" t="str">
            <v>A- actual</v>
          </cell>
          <cell r="E305" t="str">
            <v>PS- pump station</v>
          </cell>
          <cell r="F305" t="str">
            <v>WRIGHT ST</v>
          </cell>
          <cell r="G305" t="str">
            <v>4</v>
          </cell>
          <cell r="H305" t="str">
            <v>W- water corporation</v>
          </cell>
          <cell r="I305" t="str">
            <v>18044</v>
          </cell>
          <cell r="J305" t="str">
            <v>19840818</v>
          </cell>
          <cell r="K305" t="str">
            <v>115.938999882</v>
          </cell>
          <cell r="L305" t="str">
            <v>-31.9600096733</v>
          </cell>
          <cell r="M305" t="str">
            <v>H</v>
          </cell>
          <cell r="N305" t="str">
            <v>294</v>
          </cell>
          <cell r="O305" t="str">
            <v>WRIGHT</v>
          </cell>
          <cell r="P305" t="str">
            <v>ST</v>
          </cell>
          <cell r="R305" t="str">
            <v>CLOVERDALE</v>
          </cell>
          <cell r="S305" t="str">
            <v>6105</v>
          </cell>
        </row>
        <row r="306">
          <cell r="B306" t="str">
            <v>S0033945</v>
          </cell>
          <cell r="C306" t="str">
            <v>SPS ABERNETHY RD ASCOT</v>
          </cell>
          <cell r="D306" t="str">
            <v>A- actual</v>
          </cell>
          <cell r="E306" t="str">
            <v>PS- pump station</v>
          </cell>
          <cell r="F306" t="str">
            <v>ABERNETHY RD</v>
          </cell>
          <cell r="G306" t="str">
            <v>2</v>
          </cell>
          <cell r="H306" t="str">
            <v>W- water corporation</v>
          </cell>
          <cell r="I306" t="str">
            <v>18109</v>
          </cell>
          <cell r="J306" t="str">
            <v>19750101</v>
          </cell>
          <cell r="K306" t="str">
            <v>115.918613909</v>
          </cell>
          <cell r="L306" t="str">
            <v>-31.947075234</v>
          </cell>
          <cell r="M306" t="str">
            <v>L</v>
          </cell>
          <cell r="N306" t="str">
            <v>633</v>
          </cell>
          <cell r="O306" t="str">
            <v>GREAT EASTERN</v>
          </cell>
          <cell r="P306" t="str">
            <v>HWY</v>
          </cell>
          <cell r="R306" t="str">
            <v>ASCOT</v>
          </cell>
          <cell r="S306" t="str">
            <v>6104</v>
          </cell>
        </row>
        <row r="307">
          <cell r="B307" t="str">
            <v>S0034130</v>
          </cell>
          <cell r="C307" t="str">
            <v>SPS MIDGLEY ST LATHLAIN</v>
          </cell>
          <cell r="D307" t="str">
            <v>A- actual</v>
          </cell>
          <cell r="E307" t="str">
            <v>PS- pump station</v>
          </cell>
          <cell r="F307" t="str">
            <v>MIDGLEY ST</v>
          </cell>
          <cell r="G307" t="str">
            <v>2</v>
          </cell>
          <cell r="H307" t="str">
            <v>W- water corporation</v>
          </cell>
          <cell r="I307" t="str">
            <v>18114</v>
          </cell>
          <cell r="J307" t="str">
            <v>19790928</v>
          </cell>
          <cell r="K307" t="str">
            <v>115.908401606</v>
          </cell>
          <cell r="L307" t="str">
            <v>-31.965452449</v>
          </cell>
          <cell r="M307" t="str">
            <v>H</v>
          </cell>
          <cell r="N307" t="str">
            <v>42</v>
          </cell>
          <cell r="O307" t="str">
            <v>MIDGLEY</v>
          </cell>
          <cell r="P307" t="str">
            <v>ST</v>
          </cell>
          <cell r="R307" t="str">
            <v>LATHLAIN</v>
          </cell>
          <cell r="S307" t="str">
            <v>6100</v>
          </cell>
        </row>
        <row r="308">
          <cell r="B308" t="str">
            <v>S0034046</v>
          </cell>
          <cell r="C308" t="str">
            <v>SPS FRANCISCO ST BELMONT</v>
          </cell>
          <cell r="D308" t="str">
            <v>A- actual</v>
          </cell>
          <cell r="E308" t="str">
            <v>PS- pump station</v>
          </cell>
          <cell r="F308" t="str">
            <v>FRANCISCO ST</v>
          </cell>
          <cell r="G308" t="str">
            <v>1</v>
          </cell>
          <cell r="H308" t="str">
            <v>W- water corporation</v>
          </cell>
          <cell r="I308" t="str">
            <v>18041</v>
          </cell>
          <cell r="J308" t="str">
            <v>20020924</v>
          </cell>
          <cell r="K308" t="str">
            <v>115.922094055</v>
          </cell>
          <cell r="L308" t="str">
            <v>-31.9545350151</v>
          </cell>
          <cell r="M308" t="str">
            <v>H</v>
          </cell>
          <cell r="N308" t="str">
            <v>131</v>
          </cell>
          <cell r="O308" t="str">
            <v>FRANCISCO</v>
          </cell>
          <cell r="P308" t="str">
            <v>ST</v>
          </cell>
          <cell r="R308" t="str">
            <v>BELMONT</v>
          </cell>
          <cell r="S308" t="str">
            <v>6104</v>
          </cell>
        </row>
        <row r="309">
          <cell r="D309" t="str">
            <v>N- not in use</v>
          </cell>
          <cell r="E309" t="str">
            <v>PS- pump station</v>
          </cell>
          <cell r="F309" t="str">
            <v>PERTH</v>
          </cell>
          <cell r="H309" t="str">
            <v>P- private</v>
          </cell>
          <cell r="J309" t="str">
            <v>19911201</v>
          </cell>
          <cell r="K309" t="str">
            <v>115.911859274</v>
          </cell>
          <cell r="L309" t="str">
            <v>-31.9470536865</v>
          </cell>
          <cell r="M309" t="str">
            <v>H</v>
          </cell>
          <cell r="N309" t="str">
            <v>61</v>
          </cell>
          <cell r="O309" t="str">
            <v>TRANBY</v>
          </cell>
          <cell r="P309" t="str">
            <v>RD</v>
          </cell>
          <cell r="R309" t="str">
            <v>MAYLANDS</v>
          </cell>
          <cell r="S309" t="str">
            <v>6051</v>
          </cell>
        </row>
        <row r="310">
          <cell r="D310" t="str">
            <v>N- not in use</v>
          </cell>
          <cell r="E310" t="str">
            <v>PS- pump station</v>
          </cell>
          <cell r="F310" t="str">
            <v>TWO PINES HOSPITAL</v>
          </cell>
          <cell r="H310" t="str">
            <v>P- private</v>
          </cell>
          <cell r="J310" t="str">
            <v>19870801</v>
          </cell>
          <cell r="K310" t="str">
            <v>115.913121434</v>
          </cell>
          <cell r="L310" t="str">
            <v>-31.946828503</v>
          </cell>
          <cell r="M310" t="str">
            <v>H</v>
          </cell>
          <cell r="N310" t="str">
            <v>3</v>
          </cell>
          <cell r="O310" t="str">
            <v>HARDEY</v>
          </cell>
          <cell r="P310" t="str">
            <v>RD</v>
          </cell>
          <cell r="R310" t="str">
            <v>MAYLANDS</v>
          </cell>
          <cell r="S310" t="str">
            <v>6051</v>
          </cell>
        </row>
        <row r="311">
          <cell r="D311" t="str">
            <v>A- actual</v>
          </cell>
          <cell r="E311" t="str">
            <v>PS- pump station</v>
          </cell>
          <cell r="F311" t="str">
            <v>PENINSULA RD</v>
          </cell>
          <cell r="H311" t="str">
            <v>P- private</v>
          </cell>
          <cell r="J311" t="str">
            <v>19931101</v>
          </cell>
          <cell r="K311" t="str">
            <v>115.911210921</v>
          </cell>
          <cell r="L311" t="str">
            <v>-31.946839713</v>
          </cell>
          <cell r="M311" t="str">
            <v>H</v>
          </cell>
          <cell r="N311" t="str">
            <v>45</v>
          </cell>
          <cell r="O311" t="str">
            <v>TRANBY</v>
          </cell>
          <cell r="P311" t="str">
            <v>RD</v>
          </cell>
          <cell r="R311" t="str">
            <v>MAYLANDS</v>
          </cell>
          <cell r="S311" t="str">
            <v>6051</v>
          </cell>
        </row>
        <row r="312">
          <cell r="D312" t="str">
            <v>A- actual</v>
          </cell>
          <cell r="E312" t="str">
            <v>PS- pump station</v>
          </cell>
          <cell r="F312" t="str">
            <v>POLICE ACADEMY</v>
          </cell>
          <cell r="H312" t="str">
            <v>P- private</v>
          </cell>
          <cell r="J312" t="str">
            <v>19960701</v>
          </cell>
          <cell r="K312" t="str">
            <v>115.906687335</v>
          </cell>
          <cell r="L312" t="str">
            <v>-31.949606155</v>
          </cell>
          <cell r="M312" t="str">
            <v>H</v>
          </cell>
          <cell r="N312" t="str">
            <v>1</v>
          </cell>
          <cell r="O312" t="str">
            <v>CLARKSON</v>
          </cell>
          <cell r="P312" t="str">
            <v>RD</v>
          </cell>
          <cell r="R312" t="str">
            <v>MAYLANDS</v>
          </cell>
          <cell r="S312" t="str">
            <v>6051</v>
          </cell>
        </row>
        <row r="313">
          <cell r="B313" t="str">
            <v>S0034079</v>
          </cell>
          <cell r="C313" t="str">
            <v>SPS HERTFORD ST EAST VICTORIA PARK</v>
          </cell>
          <cell r="D313" t="str">
            <v>A- actual</v>
          </cell>
          <cell r="E313" t="str">
            <v>PS- pump station</v>
          </cell>
          <cell r="F313" t="str">
            <v>HERTFORD ST</v>
          </cell>
          <cell r="G313" t="str">
            <v>3</v>
          </cell>
          <cell r="H313" t="str">
            <v>W- water corporation</v>
          </cell>
          <cell r="I313" t="str">
            <v>18143</v>
          </cell>
          <cell r="J313" t="str">
            <v>19511215</v>
          </cell>
          <cell r="K313" t="str">
            <v>115.892133995</v>
          </cell>
          <cell r="L313" t="str">
            <v>-31.992256985</v>
          </cell>
          <cell r="M313" t="str">
            <v>H</v>
          </cell>
          <cell r="N313" t="str">
            <v>27</v>
          </cell>
          <cell r="O313" t="str">
            <v>HERTFORD</v>
          </cell>
          <cell r="P313" t="str">
            <v>ST</v>
          </cell>
          <cell r="R313" t="str">
            <v>EAST VICTORIA PARK</v>
          </cell>
          <cell r="S313" t="str">
            <v>6101</v>
          </cell>
        </row>
        <row r="314">
          <cell r="B314" t="str">
            <v>S0032980</v>
          </cell>
          <cell r="C314" t="str">
            <v>SPS FARNHAM ST BENTLEY</v>
          </cell>
          <cell r="D314" t="str">
            <v>A- actual</v>
          </cell>
          <cell r="E314" t="str">
            <v>PS- pump station</v>
          </cell>
          <cell r="F314" t="str">
            <v>FARNHAM ST</v>
          </cell>
          <cell r="G314" t="str">
            <v>6</v>
          </cell>
          <cell r="H314" t="str">
            <v>W- water corporation</v>
          </cell>
          <cell r="I314" t="str">
            <v>18146</v>
          </cell>
          <cell r="J314" t="str">
            <v>19570220</v>
          </cell>
          <cell r="K314" t="str">
            <v>115.899733405</v>
          </cell>
          <cell r="L314" t="str">
            <v>-32.012712905</v>
          </cell>
          <cell r="M314" t="str">
            <v>H</v>
          </cell>
          <cell r="N314" t="str">
            <v>32</v>
          </cell>
          <cell r="O314" t="str">
            <v>FARNHAM</v>
          </cell>
          <cell r="P314" t="str">
            <v>ST</v>
          </cell>
          <cell r="R314" t="str">
            <v>BENTLEY</v>
          </cell>
          <cell r="S314" t="str">
            <v>6102</v>
          </cell>
        </row>
        <row r="315">
          <cell r="B315" t="str">
            <v>S0033004</v>
          </cell>
          <cell r="C315" t="str">
            <v>SPS HAYMAN RD KENSINGTON</v>
          </cell>
          <cell r="D315" t="str">
            <v>A- actual</v>
          </cell>
          <cell r="E315" t="str">
            <v>PS- pump station</v>
          </cell>
          <cell r="F315" t="str">
            <v>HAYMAN RD</v>
          </cell>
          <cell r="G315" t="str">
            <v>3</v>
          </cell>
          <cell r="H315" t="str">
            <v>W- water corporation</v>
          </cell>
          <cell r="I315" t="str">
            <v>18066</v>
          </cell>
          <cell r="J315" t="str">
            <v>19851112</v>
          </cell>
          <cell r="K315" t="str">
            <v>115.885842434</v>
          </cell>
          <cell r="L315" t="str">
            <v>-31.997558657</v>
          </cell>
          <cell r="M315" t="str">
            <v>L</v>
          </cell>
          <cell r="N315" t="str">
            <v>3470</v>
          </cell>
          <cell r="O315" t="str">
            <v>HAYMAN</v>
          </cell>
          <cell r="P315" t="str">
            <v>RD</v>
          </cell>
          <cell r="R315" t="str">
            <v>KENSINGTON</v>
          </cell>
          <cell r="S315" t="str">
            <v>6151</v>
          </cell>
        </row>
        <row r="316">
          <cell r="D316" t="str">
            <v>A- actual</v>
          </cell>
          <cell r="E316" t="str">
            <v>PS- pump station</v>
          </cell>
          <cell r="F316" t="str">
            <v>MODILLION AVE NORTH</v>
          </cell>
          <cell r="H316" t="str">
            <v>P- private</v>
          </cell>
          <cell r="J316" t="str">
            <v>19901023</v>
          </cell>
          <cell r="K316" t="str">
            <v>115.890014161</v>
          </cell>
          <cell r="L316" t="str">
            <v>-32.029106553</v>
          </cell>
          <cell r="M316" t="str">
            <v>H</v>
          </cell>
          <cell r="N316" t="str">
            <v>36</v>
          </cell>
          <cell r="O316" t="str">
            <v>MODILLION</v>
          </cell>
          <cell r="P316" t="str">
            <v>AV</v>
          </cell>
          <cell r="Q316" t="str">
            <v>N</v>
          </cell>
          <cell r="R316" t="str">
            <v>SHELLEY</v>
          </cell>
          <cell r="S316" t="str">
            <v>6148</v>
          </cell>
        </row>
        <row r="317">
          <cell r="D317" t="str">
            <v>A- actual</v>
          </cell>
          <cell r="E317" t="str">
            <v>PS- pump station</v>
          </cell>
          <cell r="F317" t="str">
            <v>L884 BARBICAN</v>
          </cell>
          <cell r="H317" t="str">
            <v>P- private</v>
          </cell>
          <cell r="J317" t="str">
            <v>19900409</v>
          </cell>
          <cell r="K317" t="str">
            <v>115.890816292</v>
          </cell>
          <cell r="L317" t="str">
            <v>-32.027528397</v>
          </cell>
          <cell r="M317" t="str">
            <v>H</v>
          </cell>
          <cell r="N317" t="str">
            <v>60</v>
          </cell>
          <cell r="O317" t="str">
            <v>BARBICAN</v>
          </cell>
          <cell r="P317" t="str">
            <v>ST</v>
          </cell>
          <cell r="Q317" t="str">
            <v>W</v>
          </cell>
          <cell r="R317" t="str">
            <v>SHELLEY</v>
          </cell>
          <cell r="S317" t="str">
            <v>6148</v>
          </cell>
        </row>
        <row r="318">
          <cell r="D318" t="str">
            <v>A- actual</v>
          </cell>
          <cell r="E318" t="str">
            <v>PS- pump station</v>
          </cell>
          <cell r="F318" t="str">
            <v>L280 PARKHILL</v>
          </cell>
          <cell r="G318" t="str">
            <v>1</v>
          </cell>
          <cell r="H318" t="str">
            <v>P- private</v>
          </cell>
          <cell r="J318" t="str">
            <v>19920401</v>
          </cell>
          <cell r="K318" t="str">
            <v>115.899811468</v>
          </cell>
          <cell r="L318" t="str">
            <v>-32.0144657764</v>
          </cell>
          <cell r="M318" t="str">
            <v>H</v>
          </cell>
          <cell r="N318" t="str">
            <v>29</v>
          </cell>
          <cell r="O318" t="str">
            <v>PARKHILL</v>
          </cell>
          <cell r="P318" t="str">
            <v>WAY</v>
          </cell>
          <cell r="R318" t="str">
            <v>WILSON</v>
          </cell>
          <cell r="S318" t="str">
            <v>6107</v>
          </cell>
        </row>
        <row r="319">
          <cell r="B319" t="str">
            <v>S0034218</v>
          </cell>
          <cell r="C319" t="str">
            <v>SPS BERYL AV SHELLEY</v>
          </cell>
          <cell r="D319" t="str">
            <v>A- actual</v>
          </cell>
          <cell r="E319" t="str">
            <v>PS- pump station</v>
          </cell>
          <cell r="F319" t="str">
            <v>BERYL AVE</v>
          </cell>
          <cell r="G319" t="str">
            <v>10</v>
          </cell>
          <cell r="H319" t="str">
            <v>W- water corporation</v>
          </cell>
          <cell r="I319" t="str">
            <v>42051</v>
          </cell>
          <cell r="J319" t="str">
            <v>19941012</v>
          </cell>
          <cell r="K319" t="str">
            <v>115.886951221</v>
          </cell>
          <cell r="L319" t="str">
            <v>-32.025110698</v>
          </cell>
          <cell r="M319" t="str">
            <v>H</v>
          </cell>
          <cell r="N319" t="str">
            <v>2</v>
          </cell>
          <cell r="O319" t="str">
            <v>BERYL</v>
          </cell>
          <cell r="P319" t="str">
            <v>AV</v>
          </cell>
          <cell r="R319" t="str">
            <v>SHELLEY</v>
          </cell>
          <cell r="S319" t="str">
            <v>6148</v>
          </cell>
        </row>
        <row r="320">
          <cell r="B320" t="str">
            <v>S0034053</v>
          </cell>
          <cell r="C320" t="str">
            <v>SPS GOSS AV KARAWARA</v>
          </cell>
          <cell r="D320" t="str">
            <v>A- actual</v>
          </cell>
          <cell r="E320" t="str">
            <v>PS- pump station</v>
          </cell>
          <cell r="F320" t="str">
            <v>GOSS AVE</v>
          </cell>
          <cell r="G320" t="str">
            <v>11</v>
          </cell>
          <cell r="H320" t="str">
            <v>W- water corporation</v>
          </cell>
          <cell r="I320" t="str">
            <v>18125</v>
          </cell>
          <cell r="J320" t="str">
            <v>19530101</v>
          </cell>
          <cell r="K320" t="str">
            <v>115.873547204</v>
          </cell>
          <cell r="L320" t="str">
            <v>-32.0107599062</v>
          </cell>
          <cell r="M320" t="str">
            <v>L</v>
          </cell>
          <cell r="N320" t="str">
            <v>1</v>
          </cell>
          <cell r="O320" t="str">
            <v>MANNING</v>
          </cell>
          <cell r="P320" t="str">
            <v>RD</v>
          </cell>
          <cell r="R320" t="str">
            <v>KARAWARA</v>
          </cell>
          <cell r="S320" t="str">
            <v>6152</v>
          </cell>
        </row>
        <row r="321">
          <cell r="B321" t="str">
            <v>S0033047</v>
          </cell>
          <cell r="C321" t="str">
            <v>SPS MANNING RD WEST KARAWARA</v>
          </cell>
          <cell r="D321" t="str">
            <v>A- actual</v>
          </cell>
          <cell r="E321" t="str">
            <v>PS- pump station</v>
          </cell>
          <cell r="F321" t="str">
            <v>MANNING RD WEST</v>
          </cell>
          <cell r="G321" t="str">
            <v>1</v>
          </cell>
          <cell r="H321" t="str">
            <v>W- water corporation</v>
          </cell>
          <cell r="I321" t="str">
            <v>18064</v>
          </cell>
          <cell r="J321" t="str">
            <v>19710214</v>
          </cell>
          <cell r="K321" t="str">
            <v>115.879135626</v>
          </cell>
          <cell r="L321" t="str">
            <v>-32.0116233234</v>
          </cell>
          <cell r="M321" t="str">
            <v>L</v>
          </cell>
          <cell r="N321" t="str">
            <v>5</v>
          </cell>
          <cell r="O321" t="str">
            <v>MANNING</v>
          </cell>
          <cell r="P321" t="str">
            <v>RD</v>
          </cell>
          <cell r="R321" t="str">
            <v>KARAWARA</v>
          </cell>
          <cell r="S321" t="str">
            <v>6152</v>
          </cell>
        </row>
        <row r="322">
          <cell r="B322" t="str">
            <v>S0033690</v>
          </cell>
          <cell r="C322" t="str">
            <v>SPS FIFTH AV ROSSMOYNE</v>
          </cell>
          <cell r="D322" t="str">
            <v>A- actual</v>
          </cell>
          <cell r="E322" t="str">
            <v>PS- pump station</v>
          </cell>
          <cell r="F322" t="str">
            <v>FIFTH AVE</v>
          </cell>
          <cell r="G322" t="str">
            <v>8</v>
          </cell>
          <cell r="H322" t="str">
            <v>W- water corporation</v>
          </cell>
          <cell r="I322" t="str">
            <v>18036</v>
          </cell>
          <cell r="J322" t="str">
            <v>19820915</v>
          </cell>
          <cell r="K322" t="str">
            <v>115.87336991</v>
          </cell>
          <cell r="L322" t="str">
            <v>-32.0322099181</v>
          </cell>
          <cell r="M322" t="str">
            <v>L</v>
          </cell>
          <cell r="N322" t="str">
            <v>3265</v>
          </cell>
          <cell r="O322" t="str">
            <v>RIVERTON</v>
          </cell>
          <cell r="P322" t="str">
            <v>DR</v>
          </cell>
          <cell r="Q322" t="str">
            <v>W</v>
          </cell>
          <cell r="R322" t="str">
            <v>ROSSMOYNE</v>
          </cell>
          <cell r="S322" t="str">
            <v>6148</v>
          </cell>
        </row>
        <row r="323">
          <cell r="B323" t="str">
            <v>S0033982</v>
          </cell>
          <cell r="C323" t="str">
            <v>SPS BESSELL AV COMO</v>
          </cell>
          <cell r="D323" t="str">
            <v>A- actual</v>
          </cell>
          <cell r="E323" t="str">
            <v>PS- pump station</v>
          </cell>
          <cell r="F323" t="str">
            <v>BESSELL AVE</v>
          </cell>
          <cell r="G323" t="str">
            <v>1</v>
          </cell>
          <cell r="H323" t="str">
            <v>W- water corporation</v>
          </cell>
          <cell r="I323" t="str">
            <v>18067</v>
          </cell>
          <cell r="J323" t="str">
            <v>19490501</v>
          </cell>
          <cell r="K323" t="str">
            <v>115.880178212</v>
          </cell>
          <cell r="L323" t="str">
            <v>-31.992671094</v>
          </cell>
          <cell r="M323" t="str">
            <v>H</v>
          </cell>
          <cell r="N323" t="str">
            <v>108</v>
          </cell>
          <cell r="O323" t="str">
            <v>BESSELL</v>
          </cell>
          <cell r="P323" t="str">
            <v>AV</v>
          </cell>
          <cell r="R323" t="str">
            <v>COMO</v>
          </cell>
          <cell r="S323" t="str">
            <v>6152</v>
          </cell>
        </row>
        <row r="324">
          <cell r="B324" t="str">
            <v>S0034167</v>
          </cell>
          <cell r="C324" t="str">
            <v>SPS SAUNDERS ST COMO</v>
          </cell>
          <cell r="D324" t="str">
            <v>A- actual</v>
          </cell>
          <cell r="E324" t="str">
            <v>PS- pump station</v>
          </cell>
          <cell r="F324" t="str">
            <v>SAUNDERS ST</v>
          </cell>
          <cell r="G324" t="str">
            <v>8</v>
          </cell>
          <cell r="H324" t="str">
            <v>W- water corporation</v>
          </cell>
          <cell r="I324" t="str">
            <v>18122</v>
          </cell>
          <cell r="J324" t="str">
            <v>19860624</v>
          </cell>
          <cell r="K324" t="str">
            <v>115.869340505</v>
          </cell>
          <cell r="L324" t="str">
            <v>-32.001175984</v>
          </cell>
          <cell r="M324" t="str">
            <v>L</v>
          </cell>
          <cell r="N324" t="str">
            <v>2461</v>
          </cell>
          <cell r="O324" t="str">
            <v>SAUNDERS</v>
          </cell>
          <cell r="P324" t="str">
            <v>ST</v>
          </cell>
          <cell r="R324" t="str">
            <v>COMO</v>
          </cell>
          <cell r="S324" t="str">
            <v>6152</v>
          </cell>
        </row>
        <row r="325">
          <cell r="B325" t="str">
            <v>S0033016</v>
          </cell>
          <cell r="C325" t="str">
            <v>SPS KILKENNY CIR WATERFORD</v>
          </cell>
          <cell r="D325" t="str">
            <v>A- actual</v>
          </cell>
          <cell r="E325" t="str">
            <v>PS- pump station</v>
          </cell>
          <cell r="F325" t="str">
            <v>KILKENNY CIR</v>
          </cell>
          <cell r="G325" t="str">
            <v>2</v>
          </cell>
          <cell r="H325" t="str">
            <v>W- water corporation</v>
          </cell>
          <cell r="I325" t="str">
            <v>18065</v>
          </cell>
          <cell r="J325" t="str">
            <v>19800101</v>
          </cell>
          <cell r="K325" t="str">
            <v>115.882225563</v>
          </cell>
          <cell r="L325" t="str">
            <v>-32.0176599641</v>
          </cell>
          <cell r="M325" t="str">
            <v>H</v>
          </cell>
          <cell r="N325" t="str">
            <v>60</v>
          </cell>
          <cell r="O325" t="str">
            <v>KILKENNY</v>
          </cell>
          <cell r="P325" t="str">
            <v>CIR</v>
          </cell>
          <cell r="R325" t="str">
            <v>WATERFORD</v>
          </cell>
          <cell r="S325" t="str">
            <v>6152</v>
          </cell>
        </row>
        <row r="326">
          <cell r="B326" t="str">
            <v>S0034099</v>
          </cell>
          <cell r="C326" t="str">
            <v>SPS HOWARD PDE SALTER POINT</v>
          </cell>
          <cell r="D326" t="str">
            <v>A- actual</v>
          </cell>
          <cell r="E326" t="str">
            <v>PS- pump station</v>
          </cell>
          <cell r="F326" t="str">
            <v>HOWARD PDE</v>
          </cell>
          <cell r="G326" t="str">
            <v>9</v>
          </cell>
          <cell r="H326" t="str">
            <v>W- water corporation</v>
          </cell>
          <cell r="I326" t="str">
            <v>18123</v>
          </cell>
          <cell r="J326" t="str">
            <v>19730101</v>
          </cell>
          <cell r="K326" t="str">
            <v>115.875216582</v>
          </cell>
          <cell r="L326" t="str">
            <v>-32.0238542956</v>
          </cell>
          <cell r="M326" t="str">
            <v>L</v>
          </cell>
          <cell r="N326" t="str">
            <v>3607</v>
          </cell>
          <cell r="O326" t="str">
            <v>SALTER POINT</v>
          </cell>
          <cell r="P326" t="str">
            <v>PDE</v>
          </cell>
          <cell r="R326" t="str">
            <v>SALTER POINT</v>
          </cell>
          <cell r="S326" t="str">
            <v>6152</v>
          </cell>
        </row>
        <row r="327">
          <cell r="B327" t="str">
            <v>S0034058</v>
          </cell>
          <cell r="C327" t="str">
            <v>SPS GRIFFIN CR MANNING</v>
          </cell>
          <cell r="D327" t="str">
            <v>A- actual</v>
          </cell>
          <cell r="E327" t="str">
            <v>PS- pump station</v>
          </cell>
          <cell r="F327" t="str">
            <v>GRIFFIN CR</v>
          </cell>
          <cell r="G327" t="str">
            <v>7</v>
          </cell>
          <cell r="H327" t="str">
            <v>W- water corporation</v>
          </cell>
          <cell r="I327" t="str">
            <v>18121</v>
          </cell>
          <cell r="J327" t="str">
            <v>19550101</v>
          </cell>
          <cell r="K327" t="str">
            <v>115.874291943</v>
          </cell>
          <cell r="L327" t="str">
            <v>-32.0167136403</v>
          </cell>
          <cell r="M327" t="str">
            <v>L</v>
          </cell>
          <cell r="N327" t="str">
            <v>2026</v>
          </cell>
          <cell r="O327" t="str">
            <v>CHALLENGER</v>
          </cell>
          <cell r="P327" t="str">
            <v>AV</v>
          </cell>
          <cell r="R327" t="str">
            <v>MANNING</v>
          </cell>
          <cell r="S327" t="str">
            <v>6152</v>
          </cell>
        </row>
        <row r="328">
          <cell r="B328" t="str">
            <v>S0033735</v>
          </cell>
          <cell r="C328" t="str">
            <v>SPS KAROONDA RD BRENTWOOD</v>
          </cell>
          <cell r="D328" t="str">
            <v>A- actual</v>
          </cell>
          <cell r="E328" t="str">
            <v>PS- pump station</v>
          </cell>
          <cell r="F328" t="str">
            <v>KAROONDA RD</v>
          </cell>
          <cell r="G328" t="str">
            <v>2</v>
          </cell>
          <cell r="H328" t="str">
            <v>W- water corporation</v>
          </cell>
          <cell r="I328" t="str">
            <v>18049</v>
          </cell>
          <cell r="J328" t="str">
            <v>19750218</v>
          </cell>
          <cell r="K328" t="str">
            <v>115.845000099</v>
          </cell>
          <cell r="L328" t="str">
            <v>-32.039497351</v>
          </cell>
          <cell r="M328" t="str">
            <v>L</v>
          </cell>
          <cell r="N328" t="str">
            <v>2551</v>
          </cell>
          <cell r="O328" t="str">
            <v>SICKLEMORE</v>
          </cell>
          <cell r="P328" t="str">
            <v>ST</v>
          </cell>
          <cell r="R328" t="str">
            <v>BRENTWOOD</v>
          </cell>
          <cell r="S328" t="str">
            <v>6153</v>
          </cell>
        </row>
        <row r="329">
          <cell r="B329" t="str">
            <v>S0033581</v>
          </cell>
          <cell r="C329" t="str">
            <v>SPS ALDRIDGE RD BOORAGOON</v>
          </cell>
          <cell r="D329" t="str">
            <v>A- actual</v>
          </cell>
          <cell r="E329" t="str">
            <v>PS- pump station</v>
          </cell>
          <cell r="F329" t="str">
            <v>ALDRIDGE RD</v>
          </cell>
          <cell r="G329" t="str">
            <v>014-01</v>
          </cell>
          <cell r="H329" t="str">
            <v>W- water corporation</v>
          </cell>
          <cell r="I329" t="str">
            <v>18048</v>
          </cell>
          <cell r="J329" t="str">
            <v>19740101</v>
          </cell>
          <cell r="K329" t="str">
            <v>115.842027786</v>
          </cell>
          <cell r="L329" t="str">
            <v>-32.043181499</v>
          </cell>
          <cell r="M329" t="str">
            <v>H</v>
          </cell>
          <cell r="N329" t="str">
            <v>55</v>
          </cell>
          <cell r="O329" t="str">
            <v>ALDRIDGE</v>
          </cell>
          <cell r="P329" t="str">
            <v>RD</v>
          </cell>
          <cell r="R329" t="str">
            <v>BOORAGOON</v>
          </cell>
          <cell r="S329" t="str">
            <v>6154</v>
          </cell>
        </row>
        <row r="330">
          <cell r="D330" t="str">
            <v>A- actual</v>
          </cell>
          <cell r="E330" t="str">
            <v>PS- pump station</v>
          </cell>
          <cell r="F330" t="str">
            <v>MURDOCH CAMPUS</v>
          </cell>
          <cell r="H330" t="str">
            <v>P- private</v>
          </cell>
          <cell r="J330" t="str">
            <v>19881130</v>
          </cell>
          <cell r="K330" t="str">
            <v>115.84371464</v>
          </cell>
          <cell r="L330" t="str">
            <v>-32.0717562</v>
          </cell>
          <cell r="M330" t="str">
            <v>H</v>
          </cell>
          <cell r="N330" t="str">
            <v>120</v>
          </cell>
          <cell r="O330" t="str">
            <v>MURDOCH</v>
          </cell>
          <cell r="P330" t="str">
            <v>DR</v>
          </cell>
          <cell r="R330" t="str">
            <v>MURDOCH</v>
          </cell>
          <cell r="S330" t="str">
            <v>6150</v>
          </cell>
        </row>
        <row r="331">
          <cell r="B331" t="str">
            <v>S0033781</v>
          </cell>
          <cell r="C331" t="str">
            <v>SPS MARSENGO RD BATEMAN</v>
          </cell>
          <cell r="D331" t="str">
            <v>A- actual</v>
          </cell>
          <cell r="E331" t="str">
            <v>PS- pump station</v>
          </cell>
          <cell r="F331" t="str">
            <v>MARSENGO RD</v>
          </cell>
          <cell r="G331" t="str">
            <v>6</v>
          </cell>
          <cell r="H331" t="str">
            <v>W- water corporation</v>
          </cell>
          <cell r="I331" t="str">
            <v>18034</v>
          </cell>
          <cell r="J331" t="str">
            <v>19760101</v>
          </cell>
          <cell r="K331" t="str">
            <v>115.847842776</v>
          </cell>
          <cell r="L331" t="str">
            <v>-32.059729179</v>
          </cell>
          <cell r="M331" t="str">
            <v>H</v>
          </cell>
          <cell r="N331" t="str">
            <v>38</v>
          </cell>
          <cell r="O331" t="str">
            <v>MARSENGO</v>
          </cell>
          <cell r="P331" t="str">
            <v>RD</v>
          </cell>
          <cell r="R331" t="str">
            <v>BATEMAN</v>
          </cell>
          <cell r="S331" t="str">
            <v>6150</v>
          </cell>
        </row>
        <row r="332">
          <cell r="D332" t="str">
            <v>N- not in use</v>
          </cell>
          <cell r="E332" t="str">
            <v>PS- pump station</v>
          </cell>
          <cell r="F332" t="str">
            <v>BOORAGOON TEMPORARY</v>
          </cell>
          <cell r="G332" t="str">
            <v>2</v>
          </cell>
          <cell r="H332" t="str">
            <v>W- water corporation</v>
          </cell>
          <cell r="I332" t="str">
            <v>18054</v>
          </cell>
          <cell r="J332" t="str">
            <v>18000101</v>
          </cell>
          <cell r="K332" t="str">
            <v>115.844042109</v>
          </cell>
          <cell r="L332" t="str">
            <v>-32.049444171</v>
          </cell>
          <cell r="M332" t="str">
            <v>H</v>
          </cell>
          <cell r="N332" t="str">
            <v>20</v>
          </cell>
          <cell r="O332" t="str">
            <v>DEAN</v>
          </cell>
          <cell r="P332" t="str">
            <v>RD</v>
          </cell>
          <cell r="R332" t="str">
            <v>BATEMAN</v>
          </cell>
          <cell r="S332" t="str">
            <v>6150</v>
          </cell>
        </row>
        <row r="333">
          <cell r="B333" t="str">
            <v>S0033469</v>
          </cell>
          <cell r="C333" t="str">
            <v>SPS MASTERS ST KENWICK</v>
          </cell>
          <cell r="D333" t="str">
            <v>A- actual</v>
          </cell>
          <cell r="E333" t="str">
            <v>PS- pump station</v>
          </cell>
          <cell r="F333" t="str">
            <v>MASTERS ST</v>
          </cell>
          <cell r="G333" t="str">
            <v>2</v>
          </cell>
          <cell r="H333" t="str">
            <v>W- water corporation</v>
          </cell>
          <cell r="I333" t="str">
            <v>18201</v>
          </cell>
          <cell r="J333" t="str">
            <v>19740801</v>
          </cell>
          <cell r="K333" t="str">
            <v>115.985862328</v>
          </cell>
          <cell r="L333" t="str">
            <v>-32.0320357654</v>
          </cell>
          <cell r="M333" t="str">
            <v>H</v>
          </cell>
          <cell r="N333" t="str">
            <v>3</v>
          </cell>
          <cell r="O333" t="str">
            <v>MASTERS</v>
          </cell>
          <cell r="P333" t="str">
            <v>ST</v>
          </cell>
          <cell r="R333" t="str">
            <v>KENWICK</v>
          </cell>
          <cell r="S333" t="str">
            <v>6107</v>
          </cell>
        </row>
        <row r="334">
          <cell r="B334" t="str">
            <v>S0033097</v>
          </cell>
          <cell r="C334" t="str">
            <v>SPS ST JOHN RD WATTLE GROVE</v>
          </cell>
          <cell r="D334" t="str">
            <v>A- actual</v>
          </cell>
          <cell r="E334" t="str">
            <v>PS- pump station</v>
          </cell>
          <cell r="F334" t="str">
            <v>ST JOHN RD</v>
          </cell>
          <cell r="G334" t="str">
            <v>6</v>
          </cell>
          <cell r="H334" t="str">
            <v>W- water corporation</v>
          </cell>
          <cell r="I334" t="str">
            <v>18007</v>
          </cell>
          <cell r="J334" t="str">
            <v>19790627</v>
          </cell>
          <cell r="K334" t="str">
            <v>115.98589826</v>
          </cell>
          <cell r="L334" t="str">
            <v>-31.994040011</v>
          </cell>
          <cell r="M334" t="str">
            <v>H</v>
          </cell>
          <cell r="N334" t="str">
            <v>25</v>
          </cell>
          <cell r="O334" t="str">
            <v>ST JOHN</v>
          </cell>
          <cell r="P334" t="str">
            <v>RD</v>
          </cell>
          <cell r="R334" t="str">
            <v>WATTLE GROVE</v>
          </cell>
          <cell r="S334" t="str">
            <v>6107</v>
          </cell>
        </row>
        <row r="335">
          <cell r="D335" t="str">
            <v>N- not in use</v>
          </cell>
          <cell r="E335" t="str">
            <v>PS- pump station</v>
          </cell>
          <cell r="F335" t="str">
            <v>LOT 2 EDINBURGH</v>
          </cell>
          <cell r="H335" t="str">
            <v>P- private</v>
          </cell>
          <cell r="J335" t="str">
            <v>19891214</v>
          </cell>
          <cell r="K335" t="str">
            <v>116.010686443</v>
          </cell>
          <cell r="L335" t="str">
            <v>-31.995719651</v>
          </cell>
          <cell r="M335" t="str">
            <v>H</v>
          </cell>
          <cell r="N335" t="str">
            <v>54</v>
          </cell>
          <cell r="O335" t="str">
            <v>EDINBURGH</v>
          </cell>
          <cell r="P335" t="str">
            <v>RD</v>
          </cell>
          <cell r="R335" t="str">
            <v>FORRESTFIELD</v>
          </cell>
          <cell r="S335" t="str">
            <v>6058</v>
          </cell>
        </row>
        <row r="336">
          <cell r="D336" t="str">
            <v>A- actual</v>
          </cell>
          <cell r="E336" t="str">
            <v>PS- pump station</v>
          </cell>
          <cell r="F336" t="str">
            <v>MCDONALDS RESTAURANT</v>
          </cell>
          <cell r="H336" t="str">
            <v>P- private</v>
          </cell>
          <cell r="J336" t="str">
            <v>19810324</v>
          </cell>
          <cell r="K336" t="str">
            <v>115.819136116</v>
          </cell>
          <cell r="L336" t="str">
            <v>-32.045351188</v>
          </cell>
          <cell r="M336" t="str">
            <v>H</v>
          </cell>
          <cell r="N336" t="str">
            <v>9</v>
          </cell>
          <cell r="O336" t="str">
            <v>MARSHALL</v>
          </cell>
          <cell r="P336" t="str">
            <v>RD</v>
          </cell>
          <cell r="R336" t="str">
            <v>MYAREE</v>
          </cell>
          <cell r="S336" t="str">
            <v>6154</v>
          </cell>
        </row>
        <row r="337">
          <cell r="B337" t="str">
            <v>S0033683</v>
          </cell>
          <cell r="C337" t="str">
            <v>SPS FARRINGTON RD NORTH LAKE</v>
          </cell>
          <cell r="D337" t="str">
            <v>A- actual</v>
          </cell>
          <cell r="E337" t="str">
            <v>PS- pump station</v>
          </cell>
          <cell r="F337" t="str">
            <v>FARRINGTON RD</v>
          </cell>
          <cell r="G337" t="str">
            <v>1</v>
          </cell>
          <cell r="H337" t="str">
            <v>W- water corporation</v>
          </cell>
          <cell r="I337" t="str">
            <v>18076</v>
          </cell>
          <cell r="J337" t="str">
            <v>19750101</v>
          </cell>
          <cell r="K337" t="str">
            <v>115.822621922</v>
          </cell>
          <cell r="L337" t="str">
            <v>-32.073711202</v>
          </cell>
          <cell r="M337" t="str">
            <v>H</v>
          </cell>
          <cell r="N337" t="str">
            <v>1</v>
          </cell>
          <cell r="O337" t="str">
            <v>STONE</v>
          </cell>
          <cell r="P337" t="str">
            <v>CT</v>
          </cell>
          <cell r="R337" t="str">
            <v>KARDINYA</v>
          </cell>
          <cell r="S337" t="str">
            <v>6163</v>
          </cell>
        </row>
        <row r="338">
          <cell r="D338" t="str">
            <v>N- not in use</v>
          </cell>
          <cell r="E338" t="str">
            <v>PS- pump station</v>
          </cell>
          <cell r="F338" t="str">
            <v>KARDINYA TEMPORARY</v>
          </cell>
          <cell r="H338" t="str">
            <v>W- water corporation</v>
          </cell>
          <cell r="I338" t="str">
            <v>18080</v>
          </cell>
          <cell r="J338" t="str">
            <v>19820331</v>
          </cell>
          <cell r="K338" t="str">
            <v>115.818053366</v>
          </cell>
          <cell r="L338" t="str">
            <v>-32.07793082</v>
          </cell>
          <cell r="M338" t="str">
            <v>H</v>
          </cell>
          <cell r="N338" t="str">
            <v>41</v>
          </cell>
          <cell r="O338" t="str">
            <v>MONACO</v>
          </cell>
          <cell r="P338" t="str">
            <v>AV</v>
          </cell>
          <cell r="R338" t="str">
            <v>NORTH LAKE</v>
          </cell>
          <cell r="S338" t="str">
            <v>6163</v>
          </cell>
        </row>
        <row r="339">
          <cell r="B339" t="str">
            <v>S0033768</v>
          </cell>
          <cell r="C339" t="str">
            <v>SPS MARMION ST EAST BOORAGOON</v>
          </cell>
          <cell r="D339" t="str">
            <v>A- actual</v>
          </cell>
          <cell r="E339" t="str">
            <v>PS- pump station</v>
          </cell>
          <cell r="F339" t="str">
            <v>MARMION ST EAST</v>
          </cell>
          <cell r="G339" t="str">
            <v>4</v>
          </cell>
          <cell r="H339" t="str">
            <v>W- water corporation</v>
          </cell>
          <cell r="I339" t="str">
            <v>18051</v>
          </cell>
          <cell r="J339" t="str">
            <v>19780101</v>
          </cell>
          <cell r="K339" t="str">
            <v>115.830475048</v>
          </cell>
          <cell r="L339" t="str">
            <v>-32.038312052</v>
          </cell>
          <cell r="M339" t="str">
            <v>H</v>
          </cell>
          <cell r="N339" t="str">
            <v>525</v>
          </cell>
          <cell r="O339" t="str">
            <v>MARMION</v>
          </cell>
          <cell r="P339" t="str">
            <v>ST</v>
          </cell>
          <cell r="R339" t="str">
            <v>BOORAGOON</v>
          </cell>
          <cell r="S339" t="str">
            <v>6154</v>
          </cell>
        </row>
        <row r="340">
          <cell r="B340" t="str">
            <v>S0033880</v>
          </cell>
          <cell r="C340" t="str">
            <v>SPS WINTHROP DR WINTHROP</v>
          </cell>
          <cell r="D340" t="str">
            <v>A- actual</v>
          </cell>
          <cell r="E340" t="str">
            <v>PS- pump station</v>
          </cell>
          <cell r="F340" t="str">
            <v>WINTHROP DR</v>
          </cell>
          <cell r="G340" t="str">
            <v>6</v>
          </cell>
          <cell r="H340" t="str">
            <v>W- water corporation</v>
          </cell>
          <cell r="I340" t="str">
            <v>18053</v>
          </cell>
          <cell r="J340" t="str">
            <v>19851204</v>
          </cell>
          <cell r="K340" t="str">
            <v>115.825152006</v>
          </cell>
          <cell r="L340" t="str">
            <v>-32.053300432</v>
          </cell>
          <cell r="M340" t="str">
            <v>H</v>
          </cell>
          <cell r="N340" t="str">
            <v>56</v>
          </cell>
          <cell r="O340" t="str">
            <v>WINTHROP</v>
          </cell>
          <cell r="P340" t="str">
            <v>DR</v>
          </cell>
          <cell r="R340" t="str">
            <v>WINTHROP</v>
          </cell>
          <cell r="S340" t="str">
            <v>6150</v>
          </cell>
        </row>
        <row r="341">
          <cell r="D341" t="str">
            <v>A- actual</v>
          </cell>
          <cell r="E341" t="str">
            <v>PS- pump station</v>
          </cell>
          <cell r="F341" t="str">
            <v>RETIREMENT VILLAGE</v>
          </cell>
          <cell r="H341" t="str">
            <v>P- private</v>
          </cell>
          <cell r="J341" t="str">
            <v>19820620</v>
          </cell>
          <cell r="K341" t="str">
            <v>115.815297894</v>
          </cell>
          <cell r="L341" t="str">
            <v>-32.0372666206</v>
          </cell>
          <cell r="M341" t="str">
            <v>H</v>
          </cell>
          <cell r="N341" t="str">
            <v>51</v>
          </cell>
          <cell r="O341" t="str">
            <v>NORTH LAKE</v>
          </cell>
          <cell r="P341" t="str">
            <v>RD</v>
          </cell>
          <cell r="R341" t="str">
            <v>MYAREE</v>
          </cell>
          <cell r="S341" t="str">
            <v>6154</v>
          </cell>
        </row>
        <row r="342">
          <cell r="D342" t="str">
            <v>A- actual</v>
          </cell>
          <cell r="E342" t="str">
            <v>PS- pump station</v>
          </cell>
          <cell r="F342" t="str">
            <v>MC DOWELL ST</v>
          </cell>
          <cell r="H342" t="str">
            <v>P- private</v>
          </cell>
          <cell r="J342" t="str">
            <v>19960718</v>
          </cell>
          <cell r="K342" t="str">
            <v>115.966937197</v>
          </cell>
          <cell r="L342" t="str">
            <v>-31.995735975</v>
          </cell>
          <cell r="M342" t="str">
            <v>H</v>
          </cell>
          <cell r="N342" t="str">
            <v>39</v>
          </cell>
          <cell r="O342" t="str">
            <v>MCDOWELL</v>
          </cell>
          <cell r="P342" t="str">
            <v>ST</v>
          </cell>
          <cell r="R342" t="str">
            <v>WELSHPOOL</v>
          </cell>
          <cell r="S342" t="str">
            <v>6106</v>
          </cell>
        </row>
        <row r="343">
          <cell r="B343" t="str">
            <v>S0032964</v>
          </cell>
          <cell r="C343" t="str">
            <v>SPS CHISHOLM CR KEWDALE</v>
          </cell>
          <cell r="D343" t="str">
            <v>A- actual</v>
          </cell>
          <cell r="E343" t="str">
            <v>PS- pump station</v>
          </cell>
          <cell r="F343" t="str">
            <v>CHISHOLM CR TEMP</v>
          </cell>
          <cell r="G343" t="str">
            <v>96</v>
          </cell>
          <cell r="H343" t="str">
            <v>W- water corporation</v>
          </cell>
          <cell r="I343" t="str">
            <v>44795</v>
          </cell>
          <cell r="J343" t="str">
            <v>19911217</v>
          </cell>
          <cell r="K343" t="str">
            <v>115.980461692</v>
          </cell>
          <cell r="L343" t="str">
            <v>-31.992577131</v>
          </cell>
          <cell r="M343" t="str">
            <v>H</v>
          </cell>
          <cell r="N343" t="str">
            <v>121</v>
          </cell>
          <cell r="O343" t="str">
            <v>CHISHOLM</v>
          </cell>
          <cell r="P343" t="str">
            <v>CR</v>
          </cell>
          <cell r="R343" t="str">
            <v>KEWDALE</v>
          </cell>
          <cell r="S343" t="str">
            <v>6105</v>
          </cell>
        </row>
        <row r="344">
          <cell r="D344" t="str">
            <v>N- not in use</v>
          </cell>
          <cell r="E344" t="str">
            <v>PS- pump station</v>
          </cell>
          <cell r="F344" t="str">
            <v>HIGHWAY MOTEL</v>
          </cell>
          <cell r="H344" t="str">
            <v>P- private</v>
          </cell>
          <cell r="J344" t="str">
            <v>19780207</v>
          </cell>
          <cell r="K344" t="str">
            <v>115.924142754</v>
          </cell>
          <cell r="L344" t="str">
            <v>-32.008904284</v>
          </cell>
          <cell r="M344" t="str">
            <v>H</v>
          </cell>
          <cell r="N344" t="str">
            <v>1223</v>
          </cell>
          <cell r="O344" t="str">
            <v>ALBANY</v>
          </cell>
          <cell r="P344" t="str">
            <v>HWY</v>
          </cell>
          <cell r="R344" t="str">
            <v>BENTLEY</v>
          </cell>
          <cell r="S344" t="str">
            <v>6102</v>
          </cell>
        </row>
        <row r="345">
          <cell r="D345" t="str">
            <v>A- actual</v>
          </cell>
          <cell r="E345" t="str">
            <v>unknown</v>
          </cell>
          <cell r="F345" t="str">
            <v>BENTLEY HOSPITAL</v>
          </cell>
          <cell r="H345" t="str">
            <v>P- private</v>
          </cell>
          <cell r="J345" t="str">
            <v>19660414</v>
          </cell>
          <cell r="K345" t="str">
            <v>115.927564612</v>
          </cell>
          <cell r="L345" t="str">
            <v>-32.0055366776</v>
          </cell>
          <cell r="M345" t="str">
            <v>H</v>
          </cell>
          <cell r="N345" t="str">
            <v>18</v>
          </cell>
          <cell r="O345" t="str">
            <v>MILLS</v>
          </cell>
          <cell r="P345" t="str">
            <v>ST</v>
          </cell>
          <cell r="R345" t="str">
            <v>BENTLEY</v>
          </cell>
          <cell r="S345" t="str">
            <v>6102</v>
          </cell>
        </row>
        <row r="346">
          <cell r="D346" t="str">
            <v>A- actual</v>
          </cell>
          <cell r="E346" t="str">
            <v>PS- pump station</v>
          </cell>
          <cell r="F346" t="str">
            <v>MASTERS DAIRY</v>
          </cell>
          <cell r="H346" t="str">
            <v>P- private</v>
          </cell>
          <cell r="J346" t="str">
            <v>19660414</v>
          </cell>
          <cell r="K346" t="str">
            <v>115.928805155</v>
          </cell>
          <cell r="L346" t="str">
            <v>-31.998244693</v>
          </cell>
          <cell r="M346" t="str">
            <v>H</v>
          </cell>
          <cell r="N346" t="str">
            <v>50</v>
          </cell>
          <cell r="O346" t="str">
            <v>RAILWAY</v>
          </cell>
          <cell r="P346" t="str">
            <v>PDE</v>
          </cell>
          <cell r="R346" t="str">
            <v>WELSHPOOL</v>
          </cell>
          <cell r="S346" t="str">
            <v>6106</v>
          </cell>
        </row>
        <row r="347">
          <cell r="B347" t="str">
            <v>S0032997</v>
          </cell>
          <cell r="C347" t="str">
            <v>SPS GRANT PL BENTLEY</v>
          </cell>
          <cell r="D347" t="str">
            <v>A- actual</v>
          </cell>
          <cell r="E347" t="str">
            <v>PS- pump station</v>
          </cell>
          <cell r="F347" t="str">
            <v>GRANT PL</v>
          </cell>
          <cell r="G347" t="str">
            <v>12</v>
          </cell>
          <cell r="H347" t="str">
            <v>W- water corporation</v>
          </cell>
          <cell r="I347" t="str">
            <v>18152</v>
          </cell>
          <cell r="J347" t="str">
            <v>19760119</v>
          </cell>
          <cell r="K347" t="str">
            <v>115.91992453</v>
          </cell>
          <cell r="L347" t="str">
            <v>-32.007570252</v>
          </cell>
          <cell r="M347" t="str">
            <v>H</v>
          </cell>
          <cell r="N347" t="str">
            <v>29</v>
          </cell>
          <cell r="O347" t="str">
            <v>MITCHELL</v>
          </cell>
          <cell r="P347" t="str">
            <v>ST</v>
          </cell>
          <cell r="R347" t="str">
            <v>BENTLEY</v>
          </cell>
          <cell r="S347" t="str">
            <v>6102</v>
          </cell>
        </row>
        <row r="348">
          <cell r="B348" t="str">
            <v>S0033116</v>
          </cell>
          <cell r="C348" t="str">
            <v>SPS TOMLINSON ST WELSHPOOL</v>
          </cell>
          <cell r="D348" t="str">
            <v>A- actual</v>
          </cell>
          <cell r="E348" t="str">
            <v>ES- ejector station</v>
          </cell>
          <cell r="F348" t="str">
            <v>TOMLINSON ST</v>
          </cell>
          <cell r="H348" t="str">
            <v>W- water corporation</v>
          </cell>
          <cell r="I348" t="str">
            <v>18083</v>
          </cell>
          <cell r="J348" t="str">
            <v>19520522</v>
          </cell>
          <cell r="K348" t="str">
            <v>115.928993821</v>
          </cell>
          <cell r="L348" t="str">
            <v>-31.990689123</v>
          </cell>
          <cell r="M348" t="str">
            <v>H</v>
          </cell>
          <cell r="N348" t="str">
            <v>14</v>
          </cell>
          <cell r="O348" t="str">
            <v>KATHLEEN</v>
          </cell>
          <cell r="P348" t="str">
            <v>ST</v>
          </cell>
          <cell r="R348" t="str">
            <v>WELSHPOOL</v>
          </cell>
          <cell r="S348" t="str">
            <v>6106</v>
          </cell>
        </row>
        <row r="349">
          <cell r="B349" t="str">
            <v>S0033128</v>
          </cell>
          <cell r="C349" t="str">
            <v>SPS RAILWAY PDE WELSHPOOL</v>
          </cell>
          <cell r="D349" t="str">
            <v>A- actual</v>
          </cell>
          <cell r="E349" t="str">
            <v>PS- pump station</v>
          </cell>
          <cell r="F349" t="str">
            <v>RAILWAY PDE</v>
          </cell>
          <cell r="G349" t="str">
            <v>2</v>
          </cell>
          <cell r="H349" t="str">
            <v>W- water corporation</v>
          </cell>
          <cell r="I349" t="str">
            <v>18142</v>
          </cell>
          <cell r="J349" t="str">
            <v>19490501</v>
          </cell>
          <cell r="K349" t="str">
            <v>115.923673275</v>
          </cell>
          <cell r="L349" t="str">
            <v>-31.994487311</v>
          </cell>
          <cell r="M349" t="str">
            <v>H</v>
          </cell>
          <cell r="N349" t="str">
            <v>69</v>
          </cell>
          <cell r="O349" t="str">
            <v>WELSHPOOL</v>
          </cell>
          <cell r="P349" t="str">
            <v>RD</v>
          </cell>
          <cell r="R349" t="str">
            <v>WELSHPOOL</v>
          </cell>
          <cell r="S349" t="str">
            <v>6106</v>
          </cell>
        </row>
        <row r="350">
          <cell r="D350" t="str">
            <v>A- actual</v>
          </cell>
          <cell r="E350" t="str">
            <v>PS- pump station</v>
          </cell>
          <cell r="F350" t="str">
            <v>CANNINGTON HIGH SCHOOL</v>
          </cell>
          <cell r="H350" t="str">
            <v>P- private</v>
          </cell>
          <cell r="J350" t="str">
            <v>19650315</v>
          </cell>
          <cell r="K350" t="str">
            <v>115.942305196</v>
          </cell>
          <cell r="L350" t="str">
            <v>-32.01247925</v>
          </cell>
          <cell r="M350" t="str">
            <v>H</v>
          </cell>
          <cell r="N350" t="str">
            <v>275</v>
          </cell>
          <cell r="O350" t="str">
            <v>SEVENOAKS</v>
          </cell>
          <cell r="P350" t="str">
            <v>ST</v>
          </cell>
          <cell r="R350" t="str">
            <v>CANNINGTON</v>
          </cell>
          <cell r="S350" t="str">
            <v>6107</v>
          </cell>
        </row>
        <row r="351">
          <cell r="B351" t="str">
            <v>S0033040</v>
          </cell>
          <cell r="C351" t="str">
            <v>SPS MANNING RD EAST BENTLEY</v>
          </cell>
          <cell r="D351" t="str">
            <v>A- actual</v>
          </cell>
          <cell r="E351" t="str">
            <v>PS- pump station</v>
          </cell>
          <cell r="F351" t="str">
            <v>MANNING RD EAST</v>
          </cell>
          <cell r="G351" t="str">
            <v>9</v>
          </cell>
          <cell r="H351" t="str">
            <v>W- water corporation</v>
          </cell>
          <cell r="I351" t="str">
            <v>18149</v>
          </cell>
          <cell r="J351" t="str">
            <v>19740813</v>
          </cell>
          <cell r="K351" t="str">
            <v>115.911147862</v>
          </cell>
          <cell r="L351" t="str">
            <v>-32.012362977</v>
          </cell>
          <cell r="M351" t="str">
            <v>H</v>
          </cell>
          <cell r="N351" t="str">
            <v>117</v>
          </cell>
          <cell r="O351" t="str">
            <v>MANNING</v>
          </cell>
          <cell r="P351" t="str">
            <v>RD</v>
          </cell>
          <cell r="R351" t="str">
            <v>BENTLEY</v>
          </cell>
          <cell r="S351" t="str">
            <v>6102</v>
          </cell>
        </row>
        <row r="352">
          <cell r="B352" t="str">
            <v>S0033066</v>
          </cell>
          <cell r="C352" t="str">
            <v>SPS PALMERSTON ST ST JAMES</v>
          </cell>
          <cell r="D352" t="str">
            <v>A- actual</v>
          </cell>
          <cell r="E352" t="str">
            <v>PS- pump station</v>
          </cell>
          <cell r="F352" t="str">
            <v>PALMERSTON ST</v>
          </cell>
          <cell r="G352" t="str">
            <v>8</v>
          </cell>
          <cell r="H352" t="str">
            <v>W- water corporation</v>
          </cell>
          <cell r="I352" t="str">
            <v>18148</v>
          </cell>
          <cell r="J352" t="str">
            <v>19790201</v>
          </cell>
          <cell r="K352" t="str">
            <v>115.912321221</v>
          </cell>
          <cell r="L352" t="str">
            <v>-32.004360424</v>
          </cell>
          <cell r="M352" t="str">
            <v>H</v>
          </cell>
          <cell r="N352" t="str">
            <v>35</v>
          </cell>
          <cell r="O352" t="str">
            <v>CHAPMAN</v>
          </cell>
          <cell r="P352" t="str">
            <v>RD</v>
          </cell>
          <cell r="R352" t="str">
            <v>ST JAMES</v>
          </cell>
          <cell r="S352" t="str">
            <v>6102</v>
          </cell>
        </row>
        <row r="353">
          <cell r="B353" t="str">
            <v>S0032955</v>
          </cell>
          <cell r="C353" t="str">
            <v>SPS BONE ST ST JAMES</v>
          </cell>
          <cell r="D353" t="str">
            <v>A- actual</v>
          </cell>
          <cell r="E353" t="str">
            <v>PS- pump station</v>
          </cell>
          <cell r="F353" t="str">
            <v>BONE ST</v>
          </cell>
          <cell r="G353" t="str">
            <v>5</v>
          </cell>
          <cell r="H353" t="str">
            <v>W- water corporation</v>
          </cell>
          <cell r="I353" t="str">
            <v>18145</v>
          </cell>
          <cell r="J353" t="str">
            <v>19550913</v>
          </cell>
          <cell r="K353" t="str">
            <v>115.907257281</v>
          </cell>
          <cell r="L353" t="str">
            <v>-32.0013729273</v>
          </cell>
          <cell r="M353" t="str">
            <v>H</v>
          </cell>
          <cell r="N353" t="str">
            <v>27</v>
          </cell>
          <cell r="O353" t="str">
            <v>BONE</v>
          </cell>
          <cell r="P353" t="str">
            <v>ST</v>
          </cell>
          <cell r="R353" t="str">
            <v>ST JAMES</v>
          </cell>
          <cell r="S353" t="str">
            <v>6102</v>
          </cell>
        </row>
        <row r="354">
          <cell r="B354" t="str">
            <v>S0033009</v>
          </cell>
          <cell r="C354" t="str">
            <v>SPS HILL VIEW TCE ST JAMES</v>
          </cell>
          <cell r="D354" t="str">
            <v>A- actual</v>
          </cell>
          <cell r="E354" t="str">
            <v>PS- pump station</v>
          </cell>
          <cell r="F354" t="str">
            <v>HILL VIEW TCE</v>
          </cell>
          <cell r="G354" t="str">
            <v>7</v>
          </cell>
          <cell r="H354" t="str">
            <v>W- water corporation</v>
          </cell>
          <cell r="I354" t="str">
            <v>18147</v>
          </cell>
          <cell r="J354" t="str">
            <v>19610811</v>
          </cell>
          <cell r="K354" t="str">
            <v>115.902687</v>
          </cell>
          <cell r="L354" t="str">
            <v>-32.00398335</v>
          </cell>
          <cell r="M354" t="str">
            <v>H</v>
          </cell>
          <cell r="N354" t="str">
            <v>136</v>
          </cell>
          <cell r="O354" t="str">
            <v>HILL VIEW</v>
          </cell>
          <cell r="P354" t="str">
            <v>TCE</v>
          </cell>
          <cell r="R354" t="str">
            <v>ST JAMES</v>
          </cell>
          <cell r="S354" t="str">
            <v>6102</v>
          </cell>
        </row>
        <row r="355">
          <cell r="B355" t="str">
            <v>S0033109</v>
          </cell>
          <cell r="C355" t="str">
            <v>SPS TENNANT ST ST JAMES</v>
          </cell>
          <cell r="D355" t="str">
            <v>A- actual</v>
          </cell>
          <cell r="E355" t="str">
            <v>PS- pump station</v>
          </cell>
          <cell r="F355" t="str">
            <v>TENNANT ST</v>
          </cell>
          <cell r="G355" t="str">
            <v>11</v>
          </cell>
          <cell r="H355" t="str">
            <v>W- water corporation</v>
          </cell>
          <cell r="I355" t="str">
            <v>18151</v>
          </cell>
          <cell r="J355" t="str">
            <v>19760220</v>
          </cell>
          <cell r="K355" t="str">
            <v>115.916906865</v>
          </cell>
          <cell r="L355" t="str">
            <v>-31.996281657</v>
          </cell>
          <cell r="M355" t="str">
            <v>H</v>
          </cell>
          <cell r="N355" t="str">
            <v>23</v>
          </cell>
          <cell r="O355" t="str">
            <v>ELLAM</v>
          </cell>
          <cell r="P355" t="str">
            <v>ST</v>
          </cell>
          <cell r="R355" t="str">
            <v>ST JAMES</v>
          </cell>
          <cell r="S355" t="str">
            <v>6102</v>
          </cell>
        </row>
        <row r="356">
          <cell r="B356" t="str">
            <v>S0034145</v>
          </cell>
          <cell r="C356" t="str">
            <v>SPS PATRICIA ST EAST VICTORIA PARK</v>
          </cell>
          <cell r="D356" t="str">
            <v>A- actual</v>
          </cell>
          <cell r="E356" t="str">
            <v>PS- pump station</v>
          </cell>
          <cell r="F356" t="str">
            <v>PATRICIA ST</v>
          </cell>
          <cell r="G356" t="str">
            <v>15</v>
          </cell>
          <cell r="H356" t="str">
            <v>W- water corporation</v>
          </cell>
          <cell r="I356" t="str">
            <v>18155</v>
          </cell>
          <cell r="J356" t="str">
            <v>19811001</v>
          </cell>
          <cell r="K356" t="str">
            <v>115.907627013</v>
          </cell>
          <cell r="L356" t="str">
            <v>-31.9909349452</v>
          </cell>
          <cell r="M356" t="str">
            <v>H</v>
          </cell>
          <cell r="N356" t="str">
            <v>1</v>
          </cell>
          <cell r="O356" t="str">
            <v>PATRICIA</v>
          </cell>
          <cell r="P356" t="str">
            <v>ST</v>
          </cell>
          <cell r="R356" t="str">
            <v>EAST VICTORIA PARK</v>
          </cell>
          <cell r="S356" t="str">
            <v>6101</v>
          </cell>
        </row>
        <row r="357">
          <cell r="D357" t="str">
            <v>A- actual</v>
          </cell>
          <cell r="E357" t="str">
            <v>PS- pump station</v>
          </cell>
          <cell r="F357" t="str">
            <v>WELSHPOOL TRADE CENTRE</v>
          </cell>
          <cell r="H357" t="str">
            <v>P- private</v>
          </cell>
          <cell r="J357" t="str">
            <v>19710702</v>
          </cell>
          <cell r="K357" t="str">
            <v>115.928440373</v>
          </cell>
          <cell r="L357" t="str">
            <v>-31.99360555</v>
          </cell>
          <cell r="M357" t="str">
            <v>H</v>
          </cell>
          <cell r="N357" t="str">
            <v>108</v>
          </cell>
          <cell r="O357" t="str">
            <v>WELSHPOOL</v>
          </cell>
          <cell r="P357" t="str">
            <v>RD</v>
          </cell>
          <cell r="R357" t="str">
            <v>WELSHPOOL</v>
          </cell>
          <cell r="S357" t="str">
            <v>6106</v>
          </cell>
        </row>
        <row r="358">
          <cell r="B358" t="str">
            <v>S0033035</v>
          </cell>
          <cell r="C358" t="str">
            <v>SPS LUYER AV EAST CANNINGTON</v>
          </cell>
          <cell r="D358" t="str">
            <v>A- actual</v>
          </cell>
          <cell r="E358" t="str">
            <v>PS- pump station</v>
          </cell>
          <cell r="F358" t="str">
            <v>LUYER AVE</v>
          </cell>
          <cell r="G358" t="str">
            <v>3</v>
          </cell>
          <cell r="H358" t="str">
            <v>W- water corporation</v>
          </cell>
          <cell r="I358" t="str">
            <v>18060</v>
          </cell>
          <cell r="J358" t="str">
            <v>19730331</v>
          </cell>
          <cell r="K358" t="str">
            <v>115.969411006</v>
          </cell>
          <cell r="L358" t="str">
            <v>-32.007688278</v>
          </cell>
          <cell r="M358" t="str">
            <v>H</v>
          </cell>
          <cell r="N358" t="str">
            <v>94</v>
          </cell>
          <cell r="O358" t="str">
            <v>LUYER</v>
          </cell>
          <cell r="P358" t="str">
            <v>AV</v>
          </cell>
          <cell r="R358" t="str">
            <v>EAST CANNINGTON</v>
          </cell>
          <cell r="S358" t="str">
            <v>6107</v>
          </cell>
        </row>
        <row r="359">
          <cell r="B359" t="str">
            <v>S0034424</v>
          </cell>
          <cell r="C359" t="str">
            <v>SPS RIVERMOOR LOOP RIVERTON</v>
          </cell>
          <cell r="D359" t="str">
            <v>A- actual</v>
          </cell>
          <cell r="E359" t="str">
            <v>PS- pump station</v>
          </cell>
          <cell r="F359" t="str">
            <v>RIVERMOOR LP</v>
          </cell>
          <cell r="G359" t="str">
            <v>4</v>
          </cell>
          <cell r="H359" t="str">
            <v>W- water corporation</v>
          </cell>
          <cell r="I359" t="str">
            <v>18166</v>
          </cell>
          <cell r="J359" t="str">
            <v>19800218</v>
          </cell>
          <cell r="K359" t="str">
            <v>115.903971565</v>
          </cell>
          <cell r="L359" t="str">
            <v>-32.034494536</v>
          </cell>
          <cell r="M359" t="str">
            <v>H</v>
          </cell>
          <cell r="N359" t="str">
            <v>28</v>
          </cell>
          <cell r="O359" t="str">
            <v>RIVERMOOR</v>
          </cell>
          <cell r="P359" t="str">
            <v>LOOP</v>
          </cell>
          <cell r="R359" t="str">
            <v>RIVERTON</v>
          </cell>
          <cell r="S359" t="str">
            <v>6148</v>
          </cell>
        </row>
        <row r="360">
          <cell r="B360" t="str">
            <v>S0033092</v>
          </cell>
          <cell r="C360" t="str">
            <v>SPS ROCHESTER AV BECKENHAM</v>
          </cell>
          <cell r="D360" t="str">
            <v>A- actual</v>
          </cell>
          <cell r="E360" t="str">
            <v>PS- pump station</v>
          </cell>
          <cell r="F360" t="str">
            <v>ROCHESTER AVE</v>
          </cell>
          <cell r="G360" t="str">
            <v>4</v>
          </cell>
          <cell r="H360" t="str">
            <v>W- water corporation</v>
          </cell>
          <cell r="I360" t="str">
            <v>42524</v>
          </cell>
          <cell r="J360" t="str">
            <v>19881118</v>
          </cell>
          <cell r="K360" t="str">
            <v>115.966999667</v>
          </cell>
          <cell r="L360" t="str">
            <v>-32.029724922</v>
          </cell>
          <cell r="M360" t="str">
            <v>L</v>
          </cell>
          <cell r="N360" t="str">
            <v>144</v>
          </cell>
          <cell r="O360" t="str">
            <v>ROCHESTER</v>
          </cell>
          <cell r="P360" t="str">
            <v>AV</v>
          </cell>
          <cell r="R360" t="str">
            <v>BECKENHAM</v>
          </cell>
          <cell r="S360" t="str">
            <v>6107</v>
          </cell>
        </row>
        <row r="361">
          <cell r="B361" t="str">
            <v>S0034464</v>
          </cell>
          <cell r="C361" t="str">
            <v>SPS WILLCOCK ST FERNDALE</v>
          </cell>
          <cell r="D361" t="str">
            <v>A- actual</v>
          </cell>
          <cell r="E361" t="str">
            <v>PS- pump station</v>
          </cell>
          <cell r="F361" t="str">
            <v>WILLCOCK ST</v>
          </cell>
          <cell r="G361" t="str">
            <v>10</v>
          </cell>
          <cell r="H361" t="str">
            <v>W- water corporation</v>
          </cell>
          <cell r="I361" t="str">
            <v>18094</v>
          </cell>
          <cell r="J361" t="str">
            <v>19741201</v>
          </cell>
          <cell r="K361" t="str">
            <v>115.927320754</v>
          </cell>
          <cell r="L361" t="str">
            <v>-32.027683674</v>
          </cell>
          <cell r="M361" t="str">
            <v>H</v>
          </cell>
          <cell r="N361" t="str">
            <v>33</v>
          </cell>
          <cell r="O361" t="str">
            <v>WILLCOCK</v>
          </cell>
          <cell r="P361" t="str">
            <v>ST</v>
          </cell>
          <cell r="R361" t="str">
            <v>FERNDALE</v>
          </cell>
          <cell r="S361" t="str">
            <v>6148</v>
          </cell>
        </row>
        <row r="362">
          <cell r="B362" t="str">
            <v>S0034305</v>
          </cell>
          <cell r="C362" t="str">
            <v>SPS GLEN CT FERNDALE</v>
          </cell>
          <cell r="D362" t="str">
            <v>A- actual</v>
          </cell>
          <cell r="E362" t="str">
            <v>PS- pump station</v>
          </cell>
          <cell r="F362" t="str">
            <v>GLEN CT</v>
          </cell>
          <cell r="G362" t="str">
            <v>13</v>
          </cell>
          <cell r="H362" t="str">
            <v>W- water corporation</v>
          </cell>
          <cell r="I362" t="str">
            <v>18097</v>
          </cell>
          <cell r="J362" t="str">
            <v>19780501</v>
          </cell>
          <cell r="K362" t="str">
            <v>115.919967311</v>
          </cell>
          <cell r="L362" t="str">
            <v>-32.027539922</v>
          </cell>
          <cell r="M362" t="str">
            <v>H</v>
          </cell>
          <cell r="N362" t="str">
            <v>3</v>
          </cell>
          <cell r="O362" t="str">
            <v>GLEN</v>
          </cell>
          <cell r="P362" t="str">
            <v>CT</v>
          </cell>
          <cell r="R362" t="str">
            <v>FERNDALE</v>
          </cell>
          <cell r="S362" t="str">
            <v>6148</v>
          </cell>
        </row>
        <row r="363">
          <cell r="B363" t="str">
            <v>S0034270</v>
          </cell>
          <cell r="C363" t="str">
            <v>SPS CONISTON WY FERNDALE</v>
          </cell>
          <cell r="D363" t="str">
            <v>A- actual</v>
          </cell>
          <cell r="E363" t="str">
            <v>PS- pump station</v>
          </cell>
          <cell r="F363" t="str">
            <v>CONISTON WY</v>
          </cell>
          <cell r="G363" t="str">
            <v>6</v>
          </cell>
          <cell r="H363" t="str">
            <v>W- water corporation</v>
          </cell>
          <cell r="I363" t="str">
            <v>18090</v>
          </cell>
          <cell r="J363" t="str">
            <v>19710809</v>
          </cell>
          <cell r="K363" t="str">
            <v>115.918785319</v>
          </cell>
          <cell r="L363" t="str">
            <v>-32.032024223</v>
          </cell>
          <cell r="M363" t="str">
            <v>H</v>
          </cell>
          <cell r="N363" t="str">
            <v>57</v>
          </cell>
          <cell r="O363" t="str">
            <v>CONISTON</v>
          </cell>
          <cell r="P363" t="str">
            <v>WAY</v>
          </cell>
          <cell r="R363" t="str">
            <v>FERNDALE</v>
          </cell>
          <cell r="S363" t="str">
            <v>6148</v>
          </cell>
        </row>
        <row r="364">
          <cell r="B364" t="str">
            <v>S0033080</v>
          </cell>
          <cell r="C364" t="str">
            <v>SPS RICHMOND ST CANNINGTON</v>
          </cell>
          <cell r="D364" t="str">
            <v>A- actual</v>
          </cell>
          <cell r="E364" t="str">
            <v>PS- pump station</v>
          </cell>
          <cell r="F364" t="str">
            <v>RICHMOND ST</v>
          </cell>
          <cell r="G364" t="str">
            <v>3</v>
          </cell>
          <cell r="H364" t="str">
            <v>W- water corporation</v>
          </cell>
          <cell r="I364" t="str">
            <v>18006</v>
          </cell>
          <cell r="J364" t="str">
            <v>19780101</v>
          </cell>
          <cell r="K364" t="str">
            <v>115.934064906</v>
          </cell>
          <cell r="L364" t="str">
            <v>-32.019939725</v>
          </cell>
          <cell r="M364" t="str">
            <v>H</v>
          </cell>
          <cell r="N364" t="str">
            <v>14</v>
          </cell>
          <cell r="O364" t="str">
            <v>RICHMOND</v>
          </cell>
          <cell r="P364" t="str">
            <v>ST</v>
          </cell>
          <cell r="R364" t="str">
            <v>CANNINGTON</v>
          </cell>
          <cell r="S364" t="str">
            <v>6107</v>
          </cell>
        </row>
        <row r="365">
          <cell r="B365" t="str">
            <v>S0034242</v>
          </cell>
          <cell r="C365" t="str">
            <v>SPS CAMSELL WY FERNDALE</v>
          </cell>
          <cell r="D365" t="str">
            <v>A- actual</v>
          </cell>
          <cell r="E365" t="str">
            <v>PS- pump station</v>
          </cell>
          <cell r="F365" t="str">
            <v>CAMSELL WY</v>
          </cell>
          <cell r="H365" t="str">
            <v>W- water corporation</v>
          </cell>
          <cell r="I365" t="str">
            <v>18092</v>
          </cell>
          <cell r="J365" t="str">
            <v>19740101</v>
          </cell>
          <cell r="K365" t="str">
            <v>115.933411593</v>
          </cell>
          <cell r="L365" t="str">
            <v>-32.024396861</v>
          </cell>
          <cell r="M365" t="str">
            <v>H</v>
          </cell>
          <cell r="N365" t="str">
            <v>25</v>
          </cell>
          <cell r="O365" t="str">
            <v>CAMSELL</v>
          </cell>
          <cell r="P365" t="str">
            <v>WAY</v>
          </cell>
          <cell r="R365" t="str">
            <v>FERNDALE</v>
          </cell>
          <cell r="S365" t="str">
            <v>6148</v>
          </cell>
        </row>
        <row r="366">
          <cell r="B366" t="str">
            <v>S0033121</v>
          </cell>
          <cell r="C366" t="str">
            <v>SPS WEIR CR BECKENHAM</v>
          </cell>
          <cell r="D366" t="str">
            <v>A- actual</v>
          </cell>
          <cell r="E366" t="str">
            <v>PS- pump station</v>
          </cell>
          <cell r="F366" t="str">
            <v>WEIR CR</v>
          </cell>
          <cell r="G366" t="str">
            <v>2</v>
          </cell>
          <cell r="H366" t="str">
            <v>W- water corporation</v>
          </cell>
          <cell r="I366" t="str">
            <v>18058</v>
          </cell>
          <cell r="J366" t="str">
            <v>19720908</v>
          </cell>
          <cell r="K366" t="str">
            <v>115.967622923</v>
          </cell>
          <cell r="L366" t="str">
            <v>-32.0199604796</v>
          </cell>
          <cell r="M366" t="str">
            <v>L</v>
          </cell>
          <cell r="N366" t="str">
            <v>290</v>
          </cell>
          <cell r="O366" t="str">
            <v>WEIR</v>
          </cell>
          <cell r="P366" t="str">
            <v>CR</v>
          </cell>
          <cell r="R366" t="str">
            <v>BECKENHAM</v>
          </cell>
          <cell r="S366" t="str">
            <v>6107</v>
          </cell>
        </row>
        <row r="367">
          <cell r="B367" t="str">
            <v>S0033028</v>
          </cell>
          <cell r="C367" t="str">
            <v>SPS LUNAR WY BECKENHAM</v>
          </cell>
          <cell r="D367" t="str">
            <v>A- actual</v>
          </cell>
          <cell r="E367" t="str">
            <v>PS- pump station</v>
          </cell>
          <cell r="F367" t="str">
            <v>LUNAR WY</v>
          </cell>
          <cell r="G367" t="str">
            <v>1</v>
          </cell>
          <cell r="H367" t="str">
            <v>W- water corporation</v>
          </cell>
          <cell r="I367" t="str">
            <v>18057</v>
          </cell>
          <cell r="J367" t="str">
            <v>19700201</v>
          </cell>
          <cell r="K367" t="str">
            <v>115.96899875</v>
          </cell>
          <cell r="L367" t="str">
            <v>-32.0151844279</v>
          </cell>
          <cell r="M367" t="str">
            <v>L</v>
          </cell>
          <cell r="N367" t="str">
            <v>182</v>
          </cell>
          <cell r="O367" t="str">
            <v>LUNAR</v>
          </cell>
          <cell r="P367" t="str">
            <v>WAY</v>
          </cell>
          <cell r="R367" t="str">
            <v>BECKENHAM</v>
          </cell>
          <cell r="S367" t="str">
            <v>6107</v>
          </cell>
        </row>
        <row r="368">
          <cell r="D368" t="str">
            <v>A- actual</v>
          </cell>
          <cell r="E368" t="str">
            <v>PS- pump station</v>
          </cell>
          <cell r="F368" t="str">
            <v>EAST KENWICK PRIMARY SCHOOL</v>
          </cell>
          <cell r="H368" t="str">
            <v>P- private</v>
          </cell>
          <cell r="J368" t="str">
            <v>19840808</v>
          </cell>
          <cell r="K368" t="str">
            <v>115.980644533</v>
          </cell>
          <cell r="L368" t="str">
            <v>-32.0327631</v>
          </cell>
          <cell r="M368" t="str">
            <v>H</v>
          </cell>
          <cell r="N368" t="str">
            <v>14</v>
          </cell>
          <cell r="O368" t="str">
            <v>DUKETON</v>
          </cell>
          <cell r="P368" t="str">
            <v>WAY</v>
          </cell>
          <cell r="R368" t="str">
            <v>KENWICK</v>
          </cell>
          <cell r="S368" t="str">
            <v>6107</v>
          </cell>
        </row>
        <row r="369">
          <cell r="D369" t="str">
            <v>A- actual</v>
          </cell>
          <cell r="E369" t="str">
            <v>PS- pump station</v>
          </cell>
          <cell r="F369" t="str">
            <v>CHRISTIAN HIGH SCHOOL</v>
          </cell>
          <cell r="H369" t="str">
            <v>P- private</v>
          </cell>
          <cell r="J369" t="str">
            <v>19781127</v>
          </cell>
          <cell r="K369" t="str">
            <v>115.979602499</v>
          </cell>
          <cell r="L369" t="str">
            <v>-32.031727492</v>
          </cell>
          <cell r="M369" t="str">
            <v>H</v>
          </cell>
          <cell r="N369" t="str">
            <v>96</v>
          </cell>
          <cell r="O369" t="str">
            <v>KENWICK</v>
          </cell>
          <cell r="P369" t="str">
            <v>RD</v>
          </cell>
          <cell r="R369" t="str">
            <v>KENWICK</v>
          </cell>
          <cell r="S369" t="str">
            <v>6107</v>
          </cell>
        </row>
        <row r="370">
          <cell r="D370" t="str">
            <v>N- not in use</v>
          </cell>
          <cell r="E370" t="str">
            <v>PS- pump station</v>
          </cell>
          <cell r="F370" t="str">
            <v>L17 WILLIAM ST</v>
          </cell>
          <cell r="G370" t="str">
            <v>2</v>
          </cell>
          <cell r="H370" t="str">
            <v>P- private</v>
          </cell>
          <cell r="J370" t="str">
            <v>19890518</v>
          </cell>
          <cell r="K370" t="str">
            <v>115.948426364</v>
          </cell>
          <cell r="L370" t="str">
            <v>-32.0269034427</v>
          </cell>
          <cell r="M370" t="str">
            <v>H</v>
          </cell>
          <cell r="N370" t="str">
            <v>1500</v>
          </cell>
          <cell r="O370" t="str">
            <v>ALBANY</v>
          </cell>
          <cell r="P370" t="str">
            <v>HWY</v>
          </cell>
          <cell r="R370" t="str">
            <v>BECKENHAM</v>
          </cell>
          <cell r="S370" t="str">
            <v>6107</v>
          </cell>
        </row>
        <row r="371">
          <cell r="B371" t="str">
            <v>S0034431</v>
          </cell>
          <cell r="C371" t="str">
            <v>SPS RUBY AV LANGFORD</v>
          </cell>
          <cell r="D371" t="str">
            <v>A- actual</v>
          </cell>
          <cell r="E371" t="str">
            <v>PS- pump station</v>
          </cell>
          <cell r="F371" t="str">
            <v>RUBY AVE</v>
          </cell>
          <cell r="G371" t="str">
            <v>9</v>
          </cell>
          <cell r="H371" t="str">
            <v>W- water corporation</v>
          </cell>
          <cell r="I371" t="str">
            <v>18093</v>
          </cell>
          <cell r="J371" t="str">
            <v>19840523</v>
          </cell>
          <cell r="K371" t="str">
            <v>115.940685397</v>
          </cell>
          <cell r="L371" t="str">
            <v>-32.033960235</v>
          </cell>
          <cell r="M371" t="str">
            <v>H</v>
          </cell>
          <cell r="N371" t="str">
            <v>3</v>
          </cell>
          <cell r="O371" t="str">
            <v>RUBY</v>
          </cell>
          <cell r="P371" t="str">
            <v>AV</v>
          </cell>
          <cell r="R371" t="str">
            <v>LANGFORD</v>
          </cell>
          <cell r="S371" t="str">
            <v>6147</v>
          </cell>
        </row>
        <row r="372">
          <cell r="D372" t="str">
            <v>A- actual</v>
          </cell>
          <cell r="E372" t="str">
            <v>PS- pump station</v>
          </cell>
          <cell r="F372" t="str">
            <v>NICHOLSON RD</v>
          </cell>
          <cell r="H372" t="str">
            <v>P- private</v>
          </cell>
          <cell r="J372" t="str">
            <v>19720418</v>
          </cell>
          <cell r="K372" t="str">
            <v>115.938471202</v>
          </cell>
          <cell r="L372" t="str">
            <v>-32.032292525</v>
          </cell>
          <cell r="M372" t="str">
            <v>H</v>
          </cell>
          <cell r="N372" t="str">
            <v>11</v>
          </cell>
          <cell r="O372" t="str">
            <v>GRIFFIN</v>
          </cell>
          <cell r="P372" t="str">
            <v>CL</v>
          </cell>
          <cell r="R372" t="str">
            <v>LANGFORD</v>
          </cell>
          <cell r="S372" t="str">
            <v>6147</v>
          </cell>
        </row>
        <row r="373">
          <cell r="B373" t="str">
            <v>S0034284</v>
          </cell>
          <cell r="C373" t="str">
            <v>SPS EASTFIELD CT FERNDALE</v>
          </cell>
          <cell r="D373" t="str">
            <v>A- actual</v>
          </cell>
          <cell r="E373" t="str">
            <v>PS- pump station</v>
          </cell>
          <cell r="F373" t="str">
            <v>EASTFIELD CT</v>
          </cell>
          <cell r="G373" t="str">
            <v>3</v>
          </cell>
          <cell r="H373" t="str">
            <v>W- water corporation</v>
          </cell>
          <cell r="I373" t="str">
            <v>18087</v>
          </cell>
          <cell r="J373" t="str">
            <v>19720418</v>
          </cell>
          <cell r="K373" t="str">
            <v>115.936586241</v>
          </cell>
          <cell r="L373" t="str">
            <v>-32.029602015</v>
          </cell>
          <cell r="M373" t="str">
            <v>L</v>
          </cell>
          <cell r="N373" t="str">
            <v>5</v>
          </cell>
          <cell r="O373" t="str">
            <v>EASTFIELD</v>
          </cell>
          <cell r="P373" t="str">
            <v>CT</v>
          </cell>
          <cell r="R373" t="str">
            <v>FERNDALE</v>
          </cell>
          <cell r="S373" t="str">
            <v>6148</v>
          </cell>
        </row>
        <row r="374">
          <cell r="D374" t="str">
            <v>N- not in use</v>
          </cell>
          <cell r="E374" t="str">
            <v>PS- pump station</v>
          </cell>
          <cell r="F374" t="str">
            <v>WILLIAM ST</v>
          </cell>
          <cell r="G374" t="str">
            <v>1</v>
          </cell>
          <cell r="H374" t="str">
            <v>P- private</v>
          </cell>
          <cell r="J374" t="str">
            <v>19890518</v>
          </cell>
          <cell r="K374" t="str">
            <v>115.947904102</v>
          </cell>
          <cell r="L374" t="str">
            <v>-32.0260283265</v>
          </cell>
          <cell r="M374" t="str">
            <v>H</v>
          </cell>
          <cell r="N374" t="str">
            <v>1490</v>
          </cell>
          <cell r="O374" t="str">
            <v>ALBANY</v>
          </cell>
          <cell r="P374" t="str">
            <v>HWY</v>
          </cell>
          <cell r="R374" t="str">
            <v>BECKENHAM</v>
          </cell>
          <cell r="S374" t="str">
            <v>6107</v>
          </cell>
        </row>
        <row r="375">
          <cell r="B375" t="str">
            <v>S0032987</v>
          </cell>
          <cell r="C375" t="str">
            <v>SPS FERN RD WILSON</v>
          </cell>
          <cell r="D375" t="str">
            <v>A- actual</v>
          </cell>
          <cell r="E375" t="str">
            <v>PS- pump station</v>
          </cell>
          <cell r="F375" t="str">
            <v>FERN RD</v>
          </cell>
          <cell r="G375" t="str">
            <v>3</v>
          </cell>
          <cell r="H375" t="str">
            <v>W- water corporation</v>
          </cell>
          <cell r="I375" t="str">
            <v>18059</v>
          </cell>
          <cell r="J375" t="str">
            <v>19840830</v>
          </cell>
          <cell r="K375" t="str">
            <v>115.909891962</v>
          </cell>
          <cell r="L375" t="str">
            <v>-32.024493859</v>
          </cell>
          <cell r="M375" t="str">
            <v>H</v>
          </cell>
          <cell r="N375" t="str">
            <v>160</v>
          </cell>
          <cell r="O375" t="str">
            <v>FERN</v>
          </cell>
          <cell r="P375" t="str">
            <v>RD</v>
          </cell>
          <cell r="R375" t="str">
            <v>WILSON</v>
          </cell>
          <cell r="S375" t="str">
            <v>6107</v>
          </cell>
        </row>
        <row r="376">
          <cell r="D376" t="str">
            <v>A- actual</v>
          </cell>
          <cell r="E376" t="str">
            <v>PS- pump station</v>
          </cell>
          <cell r="F376" t="str">
            <v>LOT 67 HOPKINSON</v>
          </cell>
          <cell r="H376" t="str">
            <v>P- private</v>
          </cell>
          <cell r="J376" t="str">
            <v>19860318</v>
          </cell>
          <cell r="K376" t="str">
            <v>115.909974288</v>
          </cell>
          <cell r="L376" t="str">
            <v>-32.0172657</v>
          </cell>
          <cell r="M376" t="str">
            <v>H</v>
          </cell>
          <cell r="N376" t="str">
            <v>65</v>
          </cell>
          <cell r="O376" t="str">
            <v>ARMSTRONG</v>
          </cell>
          <cell r="P376" t="str">
            <v>RD</v>
          </cell>
          <cell r="R376" t="str">
            <v>WILSON</v>
          </cell>
          <cell r="S376" t="str">
            <v>6107</v>
          </cell>
        </row>
        <row r="377">
          <cell r="D377" t="str">
            <v>A- actual</v>
          </cell>
          <cell r="E377" t="str">
            <v>PS- pump station</v>
          </cell>
          <cell r="F377" t="str">
            <v>BOANS DISTRIBUTION CENTRE</v>
          </cell>
          <cell r="H377" t="str">
            <v>P- private</v>
          </cell>
          <cell r="J377" t="str">
            <v>19861209</v>
          </cell>
          <cell r="K377" t="str">
            <v>115.94120383</v>
          </cell>
          <cell r="L377" t="str">
            <v>-32.016124878</v>
          </cell>
          <cell r="M377" t="str">
            <v>H</v>
          </cell>
          <cell r="N377" t="str">
            <v>6</v>
          </cell>
          <cell r="O377" t="str">
            <v>CAROUSEL</v>
          </cell>
          <cell r="P377" t="str">
            <v>RD</v>
          </cell>
          <cell r="R377" t="str">
            <v>CANNINGTON</v>
          </cell>
          <cell r="S377" t="str">
            <v>6107</v>
          </cell>
        </row>
        <row r="378">
          <cell r="D378" t="str">
            <v>A- actual</v>
          </cell>
          <cell r="E378" t="str">
            <v>unknown</v>
          </cell>
          <cell r="F378" t="str">
            <v>CECIL AVE SKATING RINK</v>
          </cell>
          <cell r="H378" t="str">
            <v>P- private</v>
          </cell>
          <cell r="J378" t="str">
            <v>19810825</v>
          </cell>
          <cell r="K378" t="str">
            <v>115.938795064</v>
          </cell>
          <cell r="L378" t="str">
            <v>-32.015197153</v>
          </cell>
          <cell r="M378" t="str">
            <v>H</v>
          </cell>
          <cell r="N378" t="str">
            <v>36</v>
          </cell>
          <cell r="O378" t="str">
            <v>CECIL</v>
          </cell>
          <cell r="P378" t="str">
            <v>AV</v>
          </cell>
          <cell r="R378" t="str">
            <v>CANNINGTON</v>
          </cell>
          <cell r="S378" t="str">
            <v>6107</v>
          </cell>
        </row>
        <row r="379">
          <cell r="B379" t="str">
            <v>S0034298</v>
          </cell>
          <cell r="C379" t="str">
            <v>SPS FLEETWOOD RD LYNWOOD</v>
          </cell>
          <cell r="D379" t="str">
            <v>A- actual</v>
          </cell>
          <cell r="E379" t="str">
            <v>PS- pump station</v>
          </cell>
          <cell r="F379" t="str">
            <v>FLEETWOOD RD</v>
          </cell>
          <cell r="G379" t="str">
            <v>2</v>
          </cell>
          <cell r="H379" t="str">
            <v>W- water corporation</v>
          </cell>
          <cell r="I379" t="str">
            <v>18086</v>
          </cell>
          <cell r="J379" t="str">
            <v>19711104</v>
          </cell>
          <cell r="K379" t="str">
            <v>115.930065297</v>
          </cell>
          <cell r="L379" t="str">
            <v>-32.034472541</v>
          </cell>
          <cell r="M379" t="str">
            <v>L</v>
          </cell>
          <cell r="N379" t="str">
            <v>2382</v>
          </cell>
          <cell r="O379" t="str">
            <v>FLEETWOOD</v>
          </cell>
          <cell r="P379" t="str">
            <v>RD</v>
          </cell>
          <cell r="R379" t="str">
            <v>LYNWOOD</v>
          </cell>
          <cell r="S379" t="str">
            <v>6147</v>
          </cell>
        </row>
        <row r="380">
          <cell r="B380" t="str">
            <v>S0033023</v>
          </cell>
          <cell r="C380" t="str">
            <v>SPS LAKE ST CANNINGTON</v>
          </cell>
          <cell r="D380" t="str">
            <v>A- actual</v>
          </cell>
          <cell r="E380" t="str">
            <v>PS- pump station</v>
          </cell>
          <cell r="F380" t="str">
            <v>LAKE ST</v>
          </cell>
          <cell r="G380" t="str">
            <v>6</v>
          </cell>
          <cell r="H380" t="str">
            <v>W- water corporation</v>
          </cell>
          <cell r="I380" t="str">
            <v>42616</v>
          </cell>
          <cell r="J380" t="str">
            <v>19920301</v>
          </cell>
          <cell r="K380" t="str">
            <v>115.943078286</v>
          </cell>
          <cell r="L380" t="str">
            <v>-32.01516841</v>
          </cell>
          <cell r="M380" t="str">
            <v>H</v>
          </cell>
          <cell r="N380" t="str">
            <v>16</v>
          </cell>
          <cell r="O380" t="str">
            <v>LAKE</v>
          </cell>
          <cell r="P380" t="str">
            <v>ST</v>
          </cell>
          <cell r="R380" t="str">
            <v>CANNINGTON</v>
          </cell>
          <cell r="S380" t="str">
            <v>6107</v>
          </cell>
        </row>
        <row r="381">
          <cell r="B381" t="str">
            <v>S0034277</v>
          </cell>
          <cell r="C381" t="str">
            <v>SPS COULSON WY CANNING VALE</v>
          </cell>
          <cell r="D381" t="str">
            <v>A- actual</v>
          </cell>
          <cell r="E381" t="str">
            <v>PS- pump station</v>
          </cell>
          <cell r="F381" t="str">
            <v>COULSON WY</v>
          </cell>
          <cell r="G381" t="str">
            <v>1</v>
          </cell>
          <cell r="H381" t="str">
            <v>W- water corporation</v>
          </cell>
          <cell r="I381" t="str">
            <v>18061</v>
          </cell>
          <cell r="J381" t="str">
            <v>19780523</v>
          </cell>
          <cell r="K381" t="str">
            <v>115.930960823</v>
          </cell>
          <cell r="L381" t="str">
            <v>-32.057765884</v>
          </cell>
          <cell r="M381" t="str">
            <v>H</v>
          </cell>
          <cell r="N381" t="str">
            <v>23</v>
          </cell>
          <cell r="O381" t="str">
            <v>COULSON</v>
          </cell>
          <cell r="P381" t="str">
            <v>WAY</v>
          </cell>
          <cell r="R381" t="str">
            <v>CANNING VALE</v>
          </cell>
          <cell r="S381" t="str">
            <v>6155</v>
          </cell>
        </row>
        <row r="382">
          <cell r="B382" t="str">
            <v>S0034319</v>
          </cell>
          <cell r="C382" t="str">
            <v>SPS HIGH RD FERNDALE</v>
          </cell>
          <cell r="D382" t="str">
            <v>A- actual</v>
          </cell>
          <cell r="E382" t="str">
            <v>PS- pump station</v>
          </cell>
          <cell r="F382" t="str">
            <v>HIGH RD</v>
          </cell>
          <cell r="G382" t="str">
            <v>14</v>
          </cell>
          <cell r="H382" t="str">
            <v>W- water corporation</v>
          </cell>
          <cell r="I382" t="str">
            <v>18098</v>
          </cell>
          <cell r="J382" t="str">
            <v>19741022</v>
          </cell>
          <cell r="K382" t="str">
            <v>115.917232011</v>
          </cell>
          <cell r="L382" t="str">
            <v>-32.039455301</v>
          </cell>
          <cell r="M382" t="str">
            <v>L</v>
          </cell>
          <cell r="N382" t="str">
            <v>445</v>
          </cell>
          <cell r="O382" t="str">
            <v>HIGH</v>
          </cell>
          <cell r="P382" t="str">
            <v>RD</v>
          </cell>
          <cell r="R382" t="str">
            <v>FERNDALE</v>
          </cell>
          <cell r="S382" t="str">
            <v>6148</v>
          </cell>
        </row>
        <row r="383">
          <cell r="B383" t="str">
            <v>S0034418</v>
          </cell>
          <cell r="C383" t="str">
            <v>SPS PURLEY CR LYNWOOD</v>
          </cell>
          <cell r="D383" t="str">
            <v>A- actual</v>
          </cell>
          <cell r="E383" t="str">
            <v>PS- pump station</v>
          </cell>
          <cell r="F383" t="str">
            <v>PURLEY CR</v>
          </cell>
          <cell r="G383" t="str">
            <v>1</v>
          </cell>
          <cell r="H383" t="str">
            <v>W- water corporation</v>
          </cell>
          <cell r="I383" t="str">
            <v>43519</v>
          </cell>
          <cell r="J383" t="str">
            <v>19700625</v>
          </cell>
          <cell r="K383" t="str">
            <v>115.926949857</v>
          </cell>
          <cell r="L383" t="str">
            <v>-32.039446165</v>
          </cell>
          <cell r="M383" t="str">
            <v>L</v>
          </cell>
          <cell r="N383" t="str">
            <v>2464</v>
          </cell>
          <cell r="O383" t="str">
            <v>PURLEY</v>
          </cell>
          <cell r="P383" t="str">
            <v>CR</v>
          </cell>
          <cell r="R383" t="str">
            <v>LYNWOOD</v>
          </cell>
          <cell r="S383" t="str">
            <v>6147</v>
          </cell>
        </row>
        <row r="384">
          <cell r="B384" t="str">
            <v>S0034341</v>
          </cell>
          <cell r="C384" t="str">
            <v>#SPS NICHOLSON RD CANNING VALE</v>
          </cell>
          <cell r="D384" t="str">
            <v>D- dead</v>
          </cell>
          <cell r="E384" t="str">
            <v>PS- pump station</v>
          </cell>
          <cell r="F384" t="str">
            <v>NICHOLSON RD TEMP</v>
          </cell>
          <cell r="H384" t="str">
            <v>W- water corporation</v>
          </cell>
          <cell r="J384" t="str">
            <v>19940401</v>
          </cell>
          <cell r="K384" t="str">
            <v>115.920475896</v>
          </cell>
          <cell r="L384" t="str">
            <v>-32.0784346446</v>
          </cell>
          <cell r="M384" t="str">
            <v>L</v>
          </cell>
          <cell r="N384" t="str">
            <v>852</v>
          </cell>
          <cell r="O384" t="str">
            <v>NICHOLSON</v>
          </cell>
          <cell r="P384" t="str">
            <v>RD</v>
          </cell>
          <cell r="R384" t="str">
            <v>CANNING VALE</v>
          </cell>
          <cell r="S384" t="str">
            <v>6155</v>
          </cell>
        </row>
        <row r="385">
          <cell r="B385" t="str">
            <v>S0033426</v>
          </cell>
          <cell r="C385" t="str">
            <v>SPS HERBERT ST MADDINGTON</v>
          </cell>
          <cell r="D385" t="str">
            <v>A- actual</v>
          </cell>
          <cell r="E385" t="str">
            <v>PS- pump station</v>
          </cell>
          <cell r="F385" t="str">
            <v>HERBERT ST</v>
          </cell>
          <cell r="G385" t="str">
            <v>5</v>
          </cell>
          <cell r="H385" t="str">
            <v>W- water corporation</v>
          </cell>
          <cell r="I385" t="str">
            <v>18206</v>
          </cell>
          <cell r="J385" t="str">
            <v>19721023</v>
          </cell>
          <cell r="K385" t="str">
            <v>115.978177452</v>
          </cell>
          <cell r="L385" t="str">
            <v>-32.0505615383</v>
          </cell>
          <cell r="M385" t="str">
            <v>H</v>
          </cell>
          <cell r="N385" t="str">
            <v>14</v>
          </cell>
          <cell r="O385" t="str">
            <v>HERBERT</v>
          </cell>
          <cell r="P385" t="str">
            <v>ST</v>
          </cell>
          <cell r="R385" t="str">
            <v>MADDINGTON</v>
          </cell>
          <cell r="S385" t="str">
            <v>6109</v>
          </cell>
        </row>
        <row r="386">
          <cell r="B386" t="str">
            <v>S0033395</v>
          </cell>
          <cell r="C386" t="str">
            <v>SPS CONNEMARA DR THORNLIE</v>
          </cell>
          <cell r="D386" t="str">
            <v>A- actual</v>
          </cell>
          <cell r="E386" t="str">
            <v>PS- pump station</v>
          </cell>
          <cell r="F386" t="str">
            <v>CONNEMARA DR</v>
          </cell>
          <cell r="G386" t="str">
            <v>1</v>
          </cell>
          <cell r="H386" t="str">
            <v>W- water corporation</v>
          </cell>
          <cell r="I386" t="str">
            <v>18207</v>
          </cell>
          <cell r="J386" t="str">
            <v>19710328</v>
          </cell>
          <cell r="K386" t="str">
            <v>115.970492989</v>
          </cell>
          <cell r="L386" t="str">
            <v>-32.050605152</v>
          </cell>
          <cell r="M386" t="str">
            <v>H</v>
          </cell>
          <cell r="N386" t="str">
            <v>91</v>
          </cell>
          <cell r="O386" t="str">
            <v>CONNEMARA</v>
          </cell>
          <cell r="P386" t="str">
            <v>DR</v>
          </cell>
          <cell r="R386" t="str">
            <v>THORNLIE</v>
          </cell>
          <cell r="S386" t="str">
            <v>6108</v>
          </cell>
        </row>
        <row r="387">
          <cell r="B387" t="str">
            <v>S0033412</v>
          </cell>
          <cell r="C387" t="str">
            <v>SPS GAYHURST RD KENWICK</v>
          </cell>
          <cell r="D387" t="str">
            <v>A- actual</v>
          </cell>
          <cell r="E387" t="str">
            <v>PS- pump station</v>
          </cell>
          <cell r="F387" t="str">
            <v>GAYHURST RD</v>
          </cell>
          <cell r="G387" t="str">
            <v>1</v>
          </cell>
          <cell r="H387" t="str">
            <v>W- water corporation</v>
          </cell>
          <cell r="I387" t="str">
            <v>18200</v>
          </cell>
          <cell r="J387" t="str">
            <v>19700427</v>
          </cell>
          <cell r="K387" t="str">
            <v>115.973971654</v>
          </cell>
          <cell r="L387" t="str">
            <v>-32.040299607</v>
          </cell>
          <cell r="M387" t="str">
            <v>H</v>
          </cell>
          <cell r="N387" t="str">
            <v>34</v>
          </cell>
          <cell r="O387" t="str">
            <v>GAYHURST</v>
          </cell>
          <cell r="P387" t="str">
            <v>RD</v>
          </cell>
          <cell r="R387" t="str">
            <v>KENWICK</v>
          </cell>
          <cell r="S387" t="str">
            <v>6107</v>
          </cell>
        </row>
        <row r="388">
          <cell r="B388" t="str">
            <v>S0033462</v>
          </cell>
          <cell r="C388" t="str">
            <v>SPS MALCOLM RD MADDINGTON</v>
          </cell>
          <cell r="D388" t="str">
            <v>A- actual</v>
          </cell>
          <cell r="E388" t="str">
            <v>PS- pump station</v>
          </cell>
          <cell r="F388" t="str">
            <v>MALCOLM RD</v>
          </cell>
          <cell r="G388" t="str">
            <v>4</v>
          </cell>
          <cell r="H388" t="str">
            <v>W- water corporation</v>
          </cell>
          <cell r="I388" t="str">
            <v>18205</v>
          </cell>
          <cell r="J388" t="str">
            <v>19700801</v>
          </cell>
          <cell r="K388" t="str">
            <v>115.98099774</v>
          </cell>
          <cell r="L388" t="str">
            <v>-32.044353743</v>
          </cell>
          <cell r="M388" t="str">
            <v>H</v>
          </cell>
          <cell r="N388" t="str">
            <v>17</v>
          </cell>
          <cell r="O388" t="str">
            <v>MALCOLM</v>
          </cell>
          <cell r="P388" t="str">
            <v>RD</v>
          </cell>
          <cell r="R388" t="str">
            <v>MADDINGTON</v>
          </cell>
          <cell r="S388" t="str">
            <v>6109</v>
          </cell>
        </row>
        <row r="389">
          <cell r="B389" t="str">
            <v>S0033448</v>
          </cell>
          <cell r="C389" t="str">
            <v>SPS LILAC PL HUNTINGDALE</v>
          </cell>
          <cell r="D389" t="str">
            <v>A- actual</v>
          </cell>
          <cell r="E389" t="str">
            <v>PS- pump station</v>
          </cell>
          <cell r="F389" t="str">
            <v>LILAC PL</v>
          </cell>
          <cell r="G389" t="str">
            <v>3</v>
          </cell>
          <cell r="H389" t="str">
            <v>W- water corporation</v>
          </cell>
          <cell r="I389" t="str">
            <v>18209</v>
          </cell>
          <cell r="J389" t="str">
            <v>19720101</v>
          </cell>
          <cell r="K389" t="str">
            <v>115.971530983</v>
          </cell>
          <cell r="L389" t="str">
            <v>-32.067547156</v>
          </cell>
          <cell r="M389" t="str">
            <v>H</v>
          </cell>
          <cell r="N389" t="str">
            <v>13</v>
          </cell>
          <cell r="O389" t="str">
            <v>LILAC</v>
          </cell>
          <cell r="P389" t="str">
            <v>PL</v>
          </cell>
          <cell r="R389" t="str">
            <v>HUNTINGDALE</v>
          </cell>
          <cell r="S389" t="str">
            <v>6110</v>
          </cell>
        </row>
        <row r="390">
          <cell r="B390" t="str">
            <v>S0033431</v>
          </cell>
          <cell r="C390" t="str">
            <v>SPS HOMESTEAD RD GOSNELLS</v>
          </cell>
          <cell r="D390" t="str">
            <v>A- actual</v>
          </cell>
          <cell r="E390" t="str">
            <v>PS- pump station</v>
          </cell>
          <cell r="F390" t="str">
            <v>HOMESTEAD RD</v>
          </cell>
          <cell r="G390" t="str">
            <v>4</v>
          </cell>
          <cell r="H390" t="str">
            <v>W- water corporation</v>
          </cell>
          <cell r="I390" t="str">
            <v>18195</v>
          </cell>
          <cell r="J390" t="str">
            <v>19910911</v>
          </cell>
          <cell r="K390" t="str">
            <v>115.984164345</v>
          </cell>
          <cell r="L390" t="str">
            <v>-32.063813404</v>
          </cell>
          <cell r="M390" t="str">
            <v>H</v>
          </cell>
          <cell r="N390" t="str">
            <v>56</v>
          </cell>
          <cell r="O390" t="str">
            <v>HOMESTEAD</v>
          </cell>
          <cell r="P390" t="str">
            <v>RD</v>
          </cell>
          <cell r="R390" t="str">
            <v>GOSNELLS</v>
          </cell>
          <cell r="S390" t="str">
            <v>6110</v>
          </cell>
        </row>
        <row r="391">
          <cell r="B391" t="str">
            <v>S0034312</v>
          </cell>
          <cell r="C391" t="str">
            <v>SPS HIBBERTIA CR FERNDALE</v>
          </cell>
          <cell r="D391" t="str">
            <v>A- actual</v>
          </cell>
          <cell r="E391" t="str">
            <v>PS- pump station</v>
          </cell>
          <cell r="F391" t="str">
            <v>HIBBERTIA CR</v>
          </cell>
          <cell r="H391" t="str">
            <v>W- water corporation</v>
          </cell>
          <cell r="I391" t="str">
            <v>18092</v>
          </cell>
          <cell r="J391" t="str">
            <v>19740522</v>
          </cell>
          <cell r="K391" t="str">
            <v>115.91472572</v>
          </cell>
          <cell r="L391" t="str">
            <v>-32.036437588</v>
          </cell>
          <cell r="M391" t="str">
            <v>H</v>
          </cell>
          <cell r="N391" t="str">
            <v>19</v>
          </cell>
          <cell r="O391" t="str">
            <v>HIBBERTIA</v>
          </cell>
          <cell r="P391" t="str">
            <v>CR</v>
          </cell>
          <cell r="R391" t="str">
            <v>RIVERTON</v>
          </cell>
          <cell r="S391" t="str">
            <v>6148</v>
          </cell>
        </row>
        <row r="392">
          <cell r="B392" t="str">
            <v>S0034265</v>
          </cell>
          <cell r="C392" t="str">
            <v>SPS COLLINS RD WILLETTON</v>
          </cell>
          <cell r="D392" t="str">
            <v>A- actual</v>
          </cell>
          <cell r="E392" t="str">
            <v>PS- pump station</v>
          </cell>
          <cell r="F392" t="str">
            <v>COLLINS RD</v>
          </cell>
          <cell r="G392" t="str">
            <v>9</v>
          </cell>
          <cell r="H392" t="str">
            <v>W- water corporation</v>
          </cell>
          <cell r="I392" t="str">
            <v>18171</v>
          </cell>
          <cell r="J392" t="str">
            <v>19871016</v>
          </cell>
          <cell r="K392" t="str">
            <v>115.902975292</v>
          </cell>
          <cell r="L392" t="str">
            <v>-32.0551207697</v>
          </cell>
          <cell r="M392" t="str">
            <v>H</v>
          </cell>
          <cell r="N392" t="str">
            <v>124</v>
          </cell>
          <cell r="O392" t="str">
            <v>COLLINS</v>
          </cell>
          <cell r="P392" t="str">
            <v>RD</v>
          </cell>
          <cell r="R392" t="str">
            <v>WILLETTON</v>
          </cell>
          <cell r="S392" t="str">
            <v>6155</v>
          </cell>
        </row>
        <row r="393">
          <cell r="B393" t="str">
            <v>S0034438</v>
          </cell>
          <cell r="C393" t="str">
            <v>SPS SHERMAN ST CANNING VALE</v>
          </cell>
          <cell r="D393" t="str">
            <v>A- actual</v>
          </cell>
          <cell r="E393" t="str">
            <v>PS- pump station</v>
          </cell>
          <cell r="F393" t="str">
            <v>SHERMAN ST</v>
          </cell>
          <cell r="G393" t="str">
            <v>2</v>
          </cell>
          <cell r="H393" t="str">
            <v>W- water corporation</v>
          </cell>
          <cell r="I393" t="str">
            <v>18062</v>
          </cell>
          <cell r="J393" t="str">
            <v>19791210</v>
          </cell>
          <cell r="K393" t="str">
            <v>115.91153974</v>
          </cell>
          <cell r="L393" t="str">
            <v>-32.05809188</v>
          </cell>
          <cell r="M393" t="str">
            <v>H</v>
          </cell>
          <cell r="N393" t="str">
            <v>14</v>
          </cell>
          <cell r="O393" t="str">
            <v>SHERMAN</v>
          </cell>
          <cell r="P393" t="str">
            <v>ST</v>
          </cell>
          <cell r="R393" t="str">
            <v>CANNING VALE</v>
          </cell>
          <cell r="S393" t="str">
            <v>6155</v>
          </cell>
        </row>
        <row r="394">
          <cell r="B394" t="str">
            <v>S0034346</v>
          </cell>
          <cell r="C394" t="str">
            <v>SPS PARKLAND TRL CANNING VALE</v>
          </cell>
          <cell r="D394" t="str">
            <v>A- actual</v>
          </cell>
          <cell r="E394" t="str">
            <v>PS- pump station</v>
          </cell>
          <cell r="F394" t="str">
            <v>PARKLAND TRL</v>
          </cell>
          <cell r="G394" t="str">
            <v>4</v>
          </cell>
          <cell r="H394" t="str">
            <v>W- water corporation</v>
          </cell>
          <cell r="I394" t="str">
            <v>40456</v>
          </cell>
          <cell r="J394" t="str">
            <v>19910101</v>
          </cell>
          <cell r="K394" t="str">
            <v>115.905063725</v>
          </cell>
          <cell r="L394" t="str">
            <v>-32.076139293</v>
          </cell>
          <cell r="M394" t="str">
            <v>H</v>
          </cell>
          <cell r="N394" t="str">
            <v>2</v>
          </cell>
          <cell r="O394" t="str">
            <v>THE COVE</v>
          </cell>
          <cell r="R394" t="str">
            <v>CANNING VALE</v>
          </cell>
          <cell r="S394" t="str">
            <v>6155</v>
          </cell>
        </row>
        <row r="395">
          <cell r="B395" t="str">
            <v>S0033494</v>
          </cell>
          <cell r="C395" t="str">
            <v>SPS STOREY RD THORNLIE</v>
          </cell>
          <cell r="D395" t="str">
            <v>A- actual</v>
          </cell>
          <cell r="E395" t="str">
            <v>PS- pump station</v>
          </cell>
          <cell r="F395" t="str">
            <v>STOREY RD</v>
          </cell>
          <cell r="G395" t="str">
            <v>5</v>
          </cell>
          <cell r="H395" t="str">
            <v>W- water corporation</v>
          </cell>
          <cell r="I395" t="str">
            <v>18211</v>
          </cell>
          <cell r="J395" t="str">
            <v>19770428</v>
          </cell>
          <cell r="K395" t="str">
            <v>115.949254568</v>
          </cell>
          <cell r="L395" t="str">
            <v>-32.054150386</v>
          </cell>
          <cell r="M395" t="str">
            <v>H</v>
          </cell>
          <cell r="N395" t="str">
            <v>5</v>
          </cell>
          <cell r="O395" t="str">
            <v>STOREY</v>
          </cell>
          <cell r="P395" t="str">
            <v>RD</v>
          </cell>
          <cell r="R395" t="str">
            <v>THORNLIE</v>
          </cell>
          <cell r="S395" t="str">
            <v>6108</v>
          </cell>
        </row>
        <row r="396">
          <cell r="B396" t="str">
            <v>S0034223</v>
          </cell>
          <cell r="C396" t="str">
            <v>SPS BROOKMAN AV LANGFORD</v>
          </cell>
          <cell r="D396" t="str">
            <v>A- actual</v>
          </cell>
          <cell r="E396" t="str">
            <v>PS- pump station</v>
          </cell>
          <cell r="F396" t="str">
            <v>BROOKMAN AVE</v>
          </cell>
          <cell r="G396" t="str">
            <v>4</v>
          </cell>
          <cell r="H396" t="str">
            <v>W- water corporation</v>
          </cell>
          <cell r="I396" t="str">
            <v>18088</v>
          </cell>
          <cell r="J396" t="str">
            <v>19710816</v>
          </cell>
          <cell r="K396" t="str">
            <v>115.935742818</v>
          </cell>
          <cell r="L396" t="str">
            <v>-32.036111415</v>
          </cell>
          <cell r="M396" t="str">
            <v>H</v>
          </cell>
          <cell r="N396" t="str">
            <v>3</v>
          </cell>
          <cell r="O396" t="str">
            <v>BROOKMAN</v>
          </cell>
          <cell r="P396" t="str">
            <v>AV</v>
          </cell>
          <cell r="R396" t="str">
            <v>LANGFORD</v>
          </cell>
          <cell r="S396" t="str">
            <v>6147</v>
          </cell>
        </row>
        <row r="397">
          <cell r="B397" t="str">
            <v>S0034291</v>
          </cell>
          <cell r="C397" t="str">
            <v>SPS ELLISON DR LANGFORD</v>
          </cell>
          <cell r="D397" t="str">
            <v>A- actual</v>
          </cell>
          <cell r="E397" t="str">
            <v>PS- pump station</v>
          </cell>
          <cell r="F397" t="str">
            <v>ELLISON DR</v>
          </cell>
          <cell r="G397" t="str">
            <v>7</v>
          </cell>
          <cell r="H397" t="str">
            <v>W- water corporation</v>
          </cell>
          <cell r="I397" t="str">
            <v>18091</v>
          </cell>
          <cell r="J397" t="str">
            <v>19730101</v>
          </cell>
          <cell r="K397" t="str">
            <v>115.950515841</v>
          </cell>
          <cell r="L397" t="str">
            <v>-32.0369850708</v>
          </cell>
          <cell r="M397" t="str">
            <v>H</v>
          </cell>
          <cell r="N397" t="str">
            <v>55</v>
          </cell>
          <cell r="O397" t="str">
            <v>ELLISON</v>
          </cell>
          <cell r="P397" t="str">
            <v>DR</v>
          </cell>
          <cell r="R397" t="str">
            <v>LANGFORD</v>
          </cell>
          <cell r="S397" t="str">
            <v>6147</v>
          </cell>
        </row>
        <row r="398">
          <cell r="B398" t="str">
            <v>S0033455</v>
          </cell>
          <cell r="C398" t="str">
            <v>SPS LYREBIRD WY THORNLIE</v>
          </cell>
          <cell r="D398" t="str">
            <v>A- actual</v>
          </cell>
          <cell r="E398" t="str">
            <v>PS- pump station</v>
          </cell>
          <cell r="F398" t="str">
            <v>LYREBIRD WAY</v>
          </cell>
          <cell r="H398" t="str">
            <v>W- water corporation</v>
          </cell>
          <cell r="I398" t="str">
            <v>18099</v>
          </cell>
          <cell r="J398" t="str">
            <v>19790301</v>
          </cell>
          <cell r="K398" t="str">
            <v>115.950165815</v>
          </cell>
          <cell r="L398" t="str">
            <v>-32.045601964</v>
          </cell>
          <cell r="M398" t="str">
            <v>H</v>
          </cell>
          <cell r="N398" t="str">
            <v>6</v>
          </cell>
          <cell r="O398" t="str">
            <v>LYREBIRD</v>
          </cell>
          <cell r="P398" t="str">
            <v>WAY</v>
          </cell>
          <cell r="R398" t="str">
            <v>THORNLIE</v>
          </cell>
          <cell r="S398" t="str">
            <v>6108</v>
          </cell>
        </row>
        <row r="399">
          <cell r="B399" t="str">
            <v>S0034452</v>
          </cell>
          <cell r="C399" t="str">
            <v>SPS VALONIA RD LANGFORD</v>
          </cell>
          <cell r="D399" t="str">
            <v>A- actual</v>
          </cell>
          <cell r="E399" t="str">
            <v>PS- pump station</v>
          </cell>
          <cell r="F399" t="str">
            <v>VALONIA RD</v>
          </cell>
          <cell r="G399" t="str">
            <v>5</v>
          </cell>
          <cell r="H399" t="str">
            <v>W- water corporation</v>
          </cell>
          <cell r="I399" t="str">
            <v>18089</v>
          </cell>
          <cell r="J399" t="str">
            <v>19710510</v>
          </cell>
          <cell r="K399" t="str">
            <v>115.940154996</v>
          </cell>
          <cell r="L399" t="str">
            <v>-32.046680135</v>
          </cell>
          <cell r="M399" t="str">
            <v>H</v>
          </cell>
          <cell r="N399" t="str">
            <v>4</v>
          </cell>
          <cell r="O399" t="str">
            <v>VALONIA</v>
          </cell>
          <cell r="P399" t="str">
            <v>RD</v>
          </cell>
          <cell r="R399" t="str">
            <v>LANGFORD</v>
          </cell>
          <cell r="S399" t="str">
            <v>6147</v>
          </cell>
        </row>
        <row r="400">
          <cell r="B400" t="str">
            <v>S0033481</v>
          </cell>
          <cell r="C400" t="str">
            <v>SPS NYANDI CT THORNLIE</v>
          </cell>
          <cell r="D400" t="str">
            <v>A- actual</v>
          </cell>
          <cell r="E400" t="str">
            <v>PS- pump station</v>
          </cell>
          <cell r="F400" t="str">
            <v>NYANDI CT</v>
          </cell>
          <cell r="G400" t="str">
            <v>2</v>
          </cell>
          <cell r="H400" t="str">
            <v>W- water corporation</v>
          </cell>
          <cell r="I400" t="str">
            <v>40454</v>
          </cell>
          <cell r="J400" t="str">
            <v>19900101</v>
          </cell>
          <cell r="K400" t="str">
            <v>115.940504747</v>
          </cell>
          <cell r="L400" t="str">
            <v>-32.057175635</v>
          </cell>
          <cell r="M400" t="str">
            <v>L</v>
          </cell>
          <cell r="N400" t="str">
            <v>194</v>
          </cell>
          <cell r="O400" t="str">
            <v>NYANDI</v>
          </cell>
          <cell r="P400" t="str">
            <v>CT</v>
          </cell>
          <cell r="R400" t="str">
            <v>THORNLIE</v>
          </cell>
          <cell r="S400" t="str">
            <v>6108</v>
          </cell>
        </row>
        <row r="401">
          <cell r="B401" t="str">
            <v>S0033501</v>
          </cell>
          <cell r="C401" t="str">
            <v>SPS TOWNCENTRE DR THORNLIE</v>
          </cell>
          <cell r="D401" t="str">
            <v>A- actual</v>
          </cell>
          <cell r="E401" t="str">
            <v>PS- pump station</v>
          </cell>
          <cell r="F401" t="str">
            <v>TOWNCENTRE DR</v>
          </cell>
          <cell r="G401" t="str">
            <v>1</v>
          </cell>
          <cell r="H401" t="str">
            <v>W- water corporation</v>
          </cell>
          <cell r="I401" t="str">
            <v>40455</v>
          </cell>
          <cell r="J401" t="str">
            <v>19930831</v>
          </cell>
          <cell r="K401" t="str">
            <v>115.945512846</v>
          </cell>
          <cell r="L401" t="str">
            <v>-32.0666039135</v>
          </cell>
          <cell r="M401" t="str">
            <v>H</v>
          </cell>
          <cell r="N401" t="str">
            <v>73</v>
          </cell>
          <cell r="O401" t="str">
            <v>TOWNCENTRE</v>
          </cell>
          <cell r="P401" t="str">
            <v>DR</v>
          </cell>
          <cell r="R401" t="str">
            <v>THORNLIE</v>
          </cell>
          <cell r="S401" t="str">
            <v>6108</v>
          </cell>
        </row>
        <row r="402">
          <cell r="B402" t="str">
            <v>S0034230</v>
          </cell>
          <cell r="C402" t="str">
            <v>SPS BURRENDAH BVD WILLETTON</v>
          </cell>
          <cell r="D402" t="str">
            <v>A- actual</v>
          </cell>
          <cell r="E402" t="str">
            <v>PS- pump station</v>
          </cell>
          <cell r="F402" t="str">
            <v>BURRENDAH BVD</v>
          </cell>
          <cell r="G402" t="str">
            <v>3</v>
          </cell>
          <cell r="H402" t="str">
            <v>W- water corporation</v>
          </cell>
          <cell r="I402" t="str">
            <v>18165</v>
          </cell>
          <cell r="J402" t="str">
            <v>19760329</v>
          </cell>
          <cell r="K402" t="str">
            <v>115.888322648</v>
          </cell>
          <cell r="L402" t="str">
            <v>-32.063581743</v>
          </cell>
          <cell r="M402" t="str">
            <v>H</v>
          </cell>
          <cell r="N402" t="str">
            <v>130</v>
          </cell>
          <cell r="O402" t="str">
            <v>BURRENDAH</v>
          </cell>
          <cell r="P402" t="str">
            <v>BVD</v>
          </cell>
          <cell r="R402" t="str">
            <v>WILLETTON</v>
          </cell>
          <cell r="S402" t="str">
            <v>6155</v>
          </cell>
        </row>
        <row r="403">
          <cell r="B403" t="str">
            <v>S0034213</v>
          </cell>
          <cell r="C403" t="str">
            <v>SPS BANNISTER RD CANNING VALE</v>
          </cell>
          <cell r="D403" t="str">
            <v>A- actual</v>
          </cell>
          <cell r="E403" t="str">
            <v>PS- pump station</v>
          </cell>
          <cell r="F403" t="str">
            <v>BANNISTER RD</v>
          </cell>
          <cell r="G403" t="str">
            <v>016-03</v>
          </cell>
          <cell r="H403" t="str">
            <v>W- water corporation</v>
          </cell>
          <cell r="I403" t="str">
            <v>18063</v>
          </cell>
          <cell r="J403" t="str">
            <v>19870710</v>
          </cell>
          <cell r="K403" t="str">
            <v>115.898345158</v>
          </cell>
          <cell r="L403" t="str">
            <v>-32.066886924</v>
          </cell>
          <cell r="M403" t="str">
            <v>H</v>
          </cell>
          <cell r="N403" t="str">
            <v>219</v>
          </cell>
          <cell r="O403" t="str">
            <v>BANNISTER</v>
          </cell>
          <cell r="P403" t="str">
            <v>RD</v>
          </cell>
          <cell r="R403" t="str">
            <v>CANNING VALE</v>
          </cell>
          <cell r="S403" t="str">
            <v>6155</v>
          </cell>
        </row>
        <row r="404">
          <cell r="B404" t="str">
            <v>S0034351</v>
          </cell>
          <cell r="C404" t="str">
            <v>SPS PINETREE GULLY NTH WILLETTON</v>
          </cell>
          <cell r="D404" t="str">
            <v>A- actual</v>
          </cell>
          <cell r="E404" t="str">
            <v>PS- pump station</v>
          </cell>
          <cell r="F404" t="str">
            <v>PINE TREE GULLY NTH</v>
          </cell>
          <cell r="G404" t="str">
            <v>2</v>
          </cell>
          <cell r="H404" t="str">
            <v>W- water corporation</v>
          </cell>
          <cell r="I404" t="str">
            <v>43150</v>
          </cell>
          <cell r="J404" t="str">
            <v>19721113</v>
          </cell>
          <cell r="K404" t="str">
            <v>115.884079802</v>
          </cell>
          <cell r="L404" t="str">
            <v>-32.055069756</v>
          </cell>
          <cell r="M404" t="str">
            <v>L</v>
          </cell>
          <cell r="N404" t="str">
            <v>707</v>
          </cell>
          <cell r="O404" t="str">
            <v>PINETREE GULLY</v>
          </cell>
          <cell r="P404" t="str">
            <v>RD</v>
          </cell>
          <cell r="R404" t="str">
            <v>WILLETTON</v>
          </cell>
          <cell r="S404" t="str">
            <v>6155</v>
          </cell>
        </row>
        <row r="405">
          <cell r="B405" t="str">
            <v>S0034327</v>
          </cell>
          <cell r="C405" t="str">
            <v>SPS LARISSA RD WILLETTON</v>
          </cell>
          <cell r="D405" t="str">
            <v>A- actual</v>
          </cell>
          <cell r="E405" t="str">
            <v>PS- pump station</v>
          </cell>
          <cell r="F405" t="str">
            <v>LARISSA RD</v>
          </cell>
          <cell r="G405" t="str">
            <v>5</v>
          </cell>
          <cell r="H405" t="str">
            <v>W- water corporation</v>
          </cell>
          <cell r="I405" t="str">
            <v>18167</v>
          </cell>
          <cell r="J405" t="str">
            <v>19790322</v>
          </cell>
          <cell r="K405" t="str">
            <v>115.894986545</v>
          </cell>
          <cell r="L405" t="str">
            <v>-32.051744852</v>
          </cell>
          <cell r="M405" t="str">
            <v>L</v>
          </cell>
          <cell r="N405" t="str">
            <v>1057</v>
          </cell>
          <cell r="O405" t="str">
            <v>LARISSA</v>
          </cell>
          <cell r="P405" t="str">
            <v>RD</v>
          </cell>
          <cell r="R405" t="str">
            <v>WILLETTON</v>
          </cell>
          <cell r="S405" t="str">
            <v>6155</v>
          </cell>
        </row>
        <row r="406">
          <cell r="B406" t="str">
            <v>S0034260</v>
          </cell>
          <cell r="C406" t="str">
            <v>SPS CASTLEMAIN HTS LEEMING</v>
          </cell>
          <cell r="D406" t="str">
            <v>A- actual</v>
          </cell>
          <cell r="E406" t="str">
            <v>PS- pump station</v>
          </cell>
          <cell r="F406" t="str">
            <v>CASTLEMAIN HTS</v>
          </cell>
          <cell r="G406" t="str">
            <v>8</v>
          </cell>
          <cell r="H406" t="str">
            <v>W- water corporation</v>
          </cell>
          <cell r="I406" t="str">
            <v>18170</v>
          </cell>
          <cell r="J406" t="str">
            <v>19870616</v>
          </cell>
          <cell r="K406" t="str">
            <v>115.882687776</v>
          </cell>
          <cell r="L406" t="str">
            <v>-32.074246676</v>
          </cell>
          <cell r="M406" t="str">
            <v>L</v>
          </cell>
          <cell r="N406" t="str">
            <v>587</v>
          </cell>
          <cell r="O406" t="str">
            <v>CASTLEMAIN</v>
          </cell>
          <cell r="P406" t="str">
            <v>HTS</v>
          </cell>
          <cell r="R406" t="str">
            <v>LEEMING</v>
          </cell>
          <cell r="S406" t="str">
            <v>6149</v>
          </cell>
        </row>
        <row r="407">
          <cell r="B407" t="str">
            <v>S0033487</v>
          </cell>
          <cell r="C407" t="str">
            <v>SPS ROYAL ST KENWICK</v>
          </cell>
          <cell r="D407" t="str">
            <v>A- actual</v>
          </cell>
          <cell r="E407" t="str">
            <v>PS- pump station</v>
          </cell>
          <cell r="F407" t="str">
            <v>ROYAL ST</v>
          </cell>
          <cell r="G407" t="str">
            <v>6</v>
          </cell>
          <cell r="H407" t="str">
            <v>W- water corporation</v>
          </cell>
          <cell r="I407" t="str">
            <v>18212</v>
          </cell>
          <cell r="J407" t="str">
            <v>19831024</v>
          </cell>
          <cell r="K407" t="str">
            <v>115.967562982</v>
          </cell>
          <cell r="L407" t="str">
            <v>-32.0425683414</v>
          </cell>
          <cell r="M407" t="str">
            <v>H</v>
          </cell>
          <cell r="N407" t="str">
            <v>29</v>
          </cell>
          <cell r="O407" t="str">
            <v>BOYDELL</v>
          </cell>
          <cell r="P407" t="str">
            <v>RD</v>
          </cell>
          <cell r="R407" t="str">
            <v>KENWICK</v>
          </cell>
          <cell r="S407" t="str">
            <v>6107</v>
          </cell>
        </row>
        <row r="408">
          <cell r="B408" t="str">
            <v>S0033407</v>
          </cell>
          <cell r="C408" t="str">
            <v>SPS CULLIGAN RD THORNLIE</v>
          </cell>
          <cell r="D408" t="str">
            <v>A- actual</v>
          </cell>
          <cell r="E408" t="str">
            <v>PS- pump station</v>
          </cell>
          <cell r="F408" t="str">
            <v>CULLIGAN RD</v>
          </cell>
          <cell r="G408" t="str">
            <v>2</v>
          </cell>
          <cell r="H408" t="str">
            <v>W- water corporation</v>
          </cell>
          <cell r="I408" t="str">
            <v>18208</v>
          </cell>
          <cell r="J408" t="str">
            <v>19710101</v>
          </cell>
          <cell r="K408" t="str">
            <v>115.959844715</v>
          </cell>
          <cell r="L408" t="str">
            <v>-32.058153601</v>
          </cell>
          <cell r="M408" t="str">
            <v>H</v>
          </cell>
          <cell r="N408" t="str">
            <v>1</v>
          </cell>
          <cell r="O408" t="str">
            <v>NAIRN</v>
          </cell>
          <cell r="P408" t="str">
            <v>ST</v>
          </cell>
          <cell r="R408" t="str">
            <v>THORNLIE</v>
          </cell>
          <cell r="S408" t="str">
            <v>6108</v>
          </cell>
        </row>
        <row r="409">
          <cell r="B409" t="str">
            <v>S0033436</v>
          </cell>
          <cell r="C409" t="str">
            <v>SPS HUME RD THORNLIE</v>
          </cell>
          <cell r="D409" t="str">
            <v>A- actual</v>
          </cell>
          <cell r="E409" t="str">
            <v>PS- pump station</v>
          </cell>
          <cell r="F409" t="str">
            <v>HUME RD</v>
          </cell>
          <cell r="G409" t="str">
            <v>4</v>
          </cell>
          <cell r="H409" t="str">
            <v>W- water corporation</v>
          </cell>
          <cell r="I409" t="str">
            <v>18210</v>
          </cell>
          <cell r="J409" t="str">
            <v>19731207</v>
          </cell>
          <cell r="K409" t="str">
            <v>115.954732588</v>
          </cell>
          <cell r="L409" t="str">
            <v>-32.0619915431</v>
          </cell>
          <cell r="M409" t="str">
            <v>H</v>
          </cell>
          <cell r="N409" t="str">
            <v>85</v>
          </cell>
          <cell r="O409" t="str">
            <v>HUME</v>
          </cell>
          <cell r="P409" t="str">
            <v>RD</v>
          </cell>
          <cell r="R409" t="str">
            <v>THORNLIE</v>
          </cell>
          <cell r="S409" t="str">
            <v>6108</v>
          </cell>
        </row>
        <row r="410">
          <cell r="B410" t="str">
            <v>S0033373</v>
          </cell>
          <cell r="C410" t="str">
            <v>SPS ARGYLE CT THORNLIE</v>
          </cell>
          <cell r="D410" t="str">
            <v>A- actual</v>
          </cell>
          <cell r="E410" t="str">
            <v>PS- pump station</v>
          </cell>
          <cell r="F410" t="str">
            <v>ARGYLE CT TEMP</v>
          </cell>
          <cell r="G410" t="str">
            <v>46</v>
          </cell>
          <cell r="H410" t="str">
            <v>W- water corporation</v>
          </cell>
          <cell r="I410" t="str">
            <v>18196</v>
          </cell>
          <cell r="J410" t="str">
            <v>19960101</v>
          </cell>
          <cell r="K410" t="str">
            <v>115.95092483</v>
          </cell>
          <cell r="L410" t="str">
            <v>-32.067490106</v>
          </cell>
          <cell r="M410" t="str">
            <v>H</v>
          </cell>
          <cell r="N410" t="str">
            <v>19</v>
          </cell>
          <cell r="O410" t="str">
            <v>ARGYLE</v>
          </cell>
          <cell r="P410" t="str">
            <v>CT</v>
          </cell>
          <cell r="R410" t="str">
            <v>THORNLIE</v>
          </cell>
          <cell r="S410" t="str">
            <v>6108</v>
          </cell>
        </row>
        <row r="411">
          <cell r="B411" t="str">
            <v>S0033819</v>
          </cell>
          <cell r="C411" t="str">
            <v>SPS PARRY AV BULL CREEK</v>
          </cell>
          <cell r="D411" t="str">
            <v>A- actual</v>
          </cell>
          <cell r="E411" t="str">
            <v>PS- pump station</v>
          </cell>
          <cell r="F411" t="str">
            <v>PARRY AVE</v>
          </cell>
          <cell r="G411" t="str">
            <v>4</v>
          </cell>
          <cell r="H411" t="str">
            <v>W- water corporation</v>
          </cell>
          <cell r="I411" t="str">
            <v>18032</v>
          </cell>
          <cell r="J411" t="str">
            <v>19750101</v>
          </cell>
          <cell r="K411" t="str">
            <v>115.869115658</v>
          </cell>
          <cell r="L411" t="str">
            <v>-32.056190648</v>
          </cell>
          <cell r="M411" t="str">
            <v>H</v>
          </cell>
          <cell r="N411" t="str">
            <v>2</v>
          </cell>
          <cell r="O411" t="str">
            <v>LEFROY</v>
          </cell>
          <cell r="P411" t="str">
            <v>RD</v>
          </cell>
          <cell r="R411" t="str">
            <v>BULL CREEK</v>
          </cell>
          <cell r="S411" t="str">
            <v>6149</v>
          </cell>
        </row>
        <row r="412">
          <cell r="D412" t="str">
            <v>A- actual</v>
          </cell>
          <cell r="E412" t="str">
            <v>PS- pump station</v>
          </cell>
          <cell r="F412" t="str">
            <v>TUSCAN ST RETIREMENT VILLAGE</v>
          </cell>
          <cell r="H412" t="str">
            <v>P- private</v>
          </cell>
          <cell r="J412" t="str">
            <v>19760621</v>
          </cell>
          <cell r="K412" t="str">
            <v>115.868528328</v>
          </cell>
          <cell r="L412" t="str">
            <v>-32.035971204</v>
          </cell>
          <cell r="M412" t="str">
            <v>H</v>
          </cell>
          <cell r="N412" t="str">
            <v>44</v>
          </cell>
          <cell r="O412" t="str">
            <v>SECOND</v>
          </cell>
          <cell r="P412" t="str">
            <v>AV</v>
          </cell>
          <cell r="R412" t="str">
            <v>ROSSMOYNE</v>
          </cell>
          <cell r="S412" t="str">
            <v>6148</v>
          </cell>
        </row>
        <row r="413">
          <cell r="D413" t="str">
            <v>A- actual</v>
          </cell>
          <cell r="E413" t="str">
            <v>PS- pump station</v>
          </cell>
          <cell r="F413" t="str">
            <v>SADDLE BROOK PTY LTD</v>
          </cell>
          <cell r="H413" t="str">
            <v>P- private</v>
          </cell>
          <cell r="J413" t="str">
            <v>19760621</v>
          </cell>
          <cell r="K413" t="str">
            <v>115.877776266</v>
          </cell>
          <cell r="L413" t="str">
            <v>-32.039161162</v>
          </cell>
          <cell r="M413" t="str">
            <v>H</v>
          </cell>
          <cell r="N413" t="str">
            <v>67</v>
          </cell>
          <cell r="O413" t="str">
            <v>AVELEY</v>
          </cell>
          <cell r="P413" t="str">
            <v>ST</v>
          </cell>
          <cell r="R413" t="str">
            <v>WILLETTON</v>
          </cell>
          <cell r="S413" t="str">
            <v>6155</v>
          </cell>
        </row>
        <row r="414">
          <cell r="B414" t="str">
            <v>S0034358</v>
          </cell>
          <cell r="C414" t="str">
            <v>SPS PINETREE GULLY STH WILLETTON</v>
          </cell>
          <cell r="D414" t="str">
            <v>A- actual</v>
          </cell>
          <cell r="E414" t="str">
            <v>PS- pump station</v>
          </cell>
          <cell r="F414" t="str">
            <v>PINE TREE GULLY STH</v>
          </cell>
          <cell r="G414" t="str">
            <v>6</v>
          </cell>
          <cell r="H414" t="str">
            <v>W- water corporation</v>
          </cell>
          <cell r="I414" t="str">
            <v>18168</v>
          </cell>
          <cell r="J414" t="str">
            <v>19800101</v>
          </cell>
          <cell r="K414" t="str">
            <v>115.878162705</v>
          </cell>
          <cell r="L414" t="str">
            <v>-32.065448923</v>
          </cell>
          <cell r="M414" t="str">
            <v>H</v>
          </cell>
          <cell r="N414" t="str">
            <v>155</v>
          </cell>
          <cell r="O414" t="str">
            <v>PINETREE GULLY</v>
          </cell>
          <cell r="P414" t="str">
            <v>RD</v>
          </cell>
          <cell r="R414" t="str">
            <v>WILLETTON</v>
          </cell>
          <cell r="S414" t="str">
            <v>6155</v>
          </cell>
        </row>
        <row r="415">
          <cell r="B415" t="str">
            <v>S0034334</v>
          </cell>
          <cell r="C415" t="str">
            <v>SPS MCGUINESS DR LEEMING</v>
          </cell>
          <cell r="D415" t="str">
            <v>A- actual</v>
          </cell>
          <cell r="E415" t="str">
            <v>PS- pump station</v>
          </cell>
          <cell r="F415" t="str">
            <v>MCGUINESS DR</v>
          </cell>
          <cell r="G415" t="str">
            <v>7</v>
          </cell>
          <cell r="H415" t="str">
            <v>W- water corporation</v>
          </cell>
          <cell r="I415" t="str">
            <v>18169</v>
          </cell>
          <cell r="J415" t="str">
            <v>19810512</v>
          </cell>
          <cell r="K415" t="str">
            <v>115.876391667</v>
          </cell>
          <cell r="L415" t="str">
            <v>-32.070671365</v>
          </cell>
          <cell r="M415" t="str">
            <v>H</v>
          </cell>
          <cell r="N415" t="str">
            <v>6</v>
          </cell>
          <cell r="O415" t="str">
            <v>MCGUINESS</v>
          </cell>
          <cell r="P415" t="str">
            <v>DR</v>
          </cell>
          <cell r="R415" t="str">
            <v>LEEMING</v>
          </cell>
          <cell r="S415" t="str">
            <v>6149</v>
          </cell>
        </row>
        <row r="416">
          <cell r="B416" t="str">
            <v>S0033873</v>
          </cell>
          <cell r="C416" t="str">
            <v>SPS WETHERED ST LEEMING</v>
          </cell>
          <cell r="D416" t="str">
            <v>A- actual</v>
          </cell>
          <cell r="E416" t="str">
            <v>PS- pump station</v>
          </cell>
          <cell r="F416" t="str">
            <v>WETHERED ST</v>
          </cell>
          <cell r="G416" t="str">
            <v>5</v>
          </cell>
          <cell r="H416" t="str">
            <v>W- water corporation</v>
          </cell>
          <cell r="I416" t="str">
            <v>18033</v>
          </cell>
          <cell r="J416" t="str">
            <v>19770301</v>
          </cell>
          <cell r="K416" t="str">
            <v>115.869026262</v>
          </cell>
          <cell r="L416" t="str">
            <v>-32.070625926</v>
          </cell>
          <cell r="M416" t="str">
            <v>L</v>
          </cell>
          <cell r="N416" t="str">
            <v>116</v>
          </cell>
          <cell r="O416" t="str">
            <v>WETHERED</v>
          </cell>
          <cell r="P416" t="str">
            <v>ST</v>
          </cell>
          <cell r="R416" t="str">
            <v>LEEMING</v>
          </cell>
          <cell r="S416" t="str">
            <v>6149</v>
          </cell>
        </row>
        <row r="417">
          <cell r="D417" t="str">
            <v>P- proposed</v>
          </cell>
          <cell r="E417" t="str">
            <v>PS- pump station</v>
          </cell>
          <cell r="F417" t="str">
            <v>BUNNINGS</v>
          </cell>
          <cell r="H417" t="str">
            <v>P- private</v>
          </cell>
          <cell r="J417" t="str">
            <v>19930101</v>
          </cell>
          <cell r="K417" t="str">
            <v>115.879527386</v>
          </cell>
          <cell r="L417" t="str">
            <v>-32.039306152</v>
          </cell>
          <cell r="M417" t="str">
            <v>H</v>
          </cell>
          <cell r="N417" t="str">
            <v>137</v>
          </cell>
          <cell r="O417" t="str">
            <v>HIGH</v>
          </cell>
          <cell r="P417" t="str">
            <v>RD</v>
          </cell>
          <cell r="R417" t="str">
            <v>WILLETTON</v>
          </cell>
          <cell r="S417" t="str">
            <v>6155</v>
          </cell>
        </row>
        <row r="418">
          <cell r="B418" t="str">
            <v>S0033647</v>
          </cell>
          <cell r="C418" t="str">
            <v>SPS CUREDALE MEWS BULL CREEK</v>
          </cell>
          <cell r="D418" t="str">
            <v>A- actual</v>
          </cell>
          <cell r="E418" t="str">
            <v>PS- pump station</v>
          </cell>
          <cell r="F418" t="str">
            <v>CUREDALE MEWS TEMP</v>
          </cell>
          <cell r="G418" t="str">
            <v>53</v>
          </cell>
          <cell r="H418" t="str">
            <v>W- water corporation</v>
          </cell>
          <cell r="I418" t="str">
            <v>44797</v>
          </cell>
          <cell r="J418" t="str">
            <v>19310211</v>
          </cell>
          <cell r="K418" t="str">
            <v>115.869238741</v>
          </cell>
          <cell r="L418" t="str">
            <v>-32.047754717</v>
          </cell>
          <cell r="M418" t="str">
            <v>H</v>
          </cell>
          <cell r="N418" t="str">
            <v>23</v>
          </cell>
          <cell r="O418" t="str">
            <v>CUREDALE</v>
          </cell>
          <cell r="P418" t="str">
            <v>MEWS</v>
          </cell>
          <cell r="R418" t="str">
            <v>BULL CREEK</v>
          </cell>
          <cell r="S418" t="str">
            <v>6149</v>
          </cell>
        </row>
        <row r="419">
          <cell r="B419" t="str">
            <v>S0033749</v>
          </cell>
          <cell r="C419" t="str">
            <v>SPS LEACH HWY BRENTWOOD</v>
          </cell>
          <cell r="D419" t="str">
            <v>A- actual</v>
          </cell>
          <cell r="E419" t="str">
            <v>PS- pump station</v>
          </cell>
          <cell r="F419" t="str">
            <v>LEACH HWY</v>
          </cell>
          <cell r="H419" t="str">
            <v>W- water corporation</v>
          </cell>
          <cell r="I419" t="str">
            <v>18005</v>
          </cell>
          <cell r="J419" t="str">
            <v>19730101</v>
          </cell>
          <cell r="K419" t="str">
            <v>115.859127072</v>
          </cell>
          <cell r="L419" t="str">
            <v>-32.046431745</v>
          </cell>
          <cell r="M419" t="str">
            <v>H</v>
          </cell>
          <cell r="N419" t="str">
            <v>1996</v>
          </cell>
          <cell r="O419" t="str">
            <v>LEACH</v>
          </cell>
          <cell r="P419" t="str">
            <v>HWY</v>
          </cell>
          <cell r="R419" t="str">
            <v>BRENTWOOD</v>
          </cell>
          <cell r="S419" t="str">
            <v>6153</v>
          </cell>
        </row>
        <row r="420">
          <cell r="B420" t="str">
            <v>S0033593</v>
          </cell>
          <cell r="C420" t="str">
            <v>SPS BENNINGFIELD RD BULL CREEK</v>
          </cell>
          <cell r="D420" t="str">
            <v>A- actual</v>
          </cell>
          <cell r="E420" t="str">
            <v>PS- pump station</v>
          </cell>
          <cell r="F420" t="str">
            <v>BENNINGFIELD RD</v>
          </cell>
          <cell r="G420" t="str">
            <v>009-01</v>
          </cell>
          <cell r="H420" t="str">
            <v>W- water corporation</v>
          </cell>
          <cell r="I420" t="str">
            <v>18029</v>
          </cell>
          <cell r="J420" t="str">
            <v>19700401</v>
          </cell>
          <cell r="K420" t="str">
            <v>115.856386783</v>
          </cell>
          <cell r="L420" t="str">
            <v>-32.056885072</v>
          </cell>
          <cell r="M420" t="str">
            <v>L</v>
          </cell>
          <cell r="N420" t="str">
            <v>2605</v>
          </cell>
          <cell r="O420" t="str">
            <v>PARRY</v>
          </cell>
          <cell r="P420" t="str">
            <v>AV</v>
          </cell>
          <cell r="R420" t="str">
            <v>BULL CREEK</v>
          </cell>
          <cell r="S420" t="str">
            <v>6149</v>
          </cell>
        </row>
        <row r="421">
          <cell r="B421" t="str">
            <v>S0033863</v>
          </cell>
          <cell r="C421" t="str">
            <v>SPS THE ESPLANADE STH MT PLEASANT</v>
          </cell>
          <cell r="D421" t="str">
            <v>A- actual</v>
          </cell>
          <cell r="E421" t="str">
            <v>PS- pump station</v>
          </cell>
          <cell r="F421" t="str">
            <v>THE ESPLANADE STH</v>
          </cell>
          <cell r="G421" t="str">
            <v>11</v>
          </cell>
          <cell r="H421" t="str">
            <v>W- water corporation</v>
          </cell>
          <cell r="I421" t="str">
            <v>18039</v>
          </cell>
          <cell r="J421" t="str">
            <v>19860201</v>
          </cell>
          <cell r="K421" t="str">
            <v>115.856967045</v>
          </cell>
          <cell r="L421" t="str">
            <v>-32.037364617</v>
          </cell>
          <cell r="M421" t="str">
            <v>H</v>
          </cell>
          <cell r="N421" t="str">
            <v>249</v>
          </cell>
          <cell r="O421" t="str">
            <v>THE ESPLANADE</v>
          </cell>
          <cell r="R421" t="str">
            <v>MOUNT PLEASANT</v>
          </cell>
          <cell r="S421" t="str">
            <v>6153</v>
          </cell>
        </row>
        <row r="422">
          <cell r="B422" t="str">
            <v>S0033695</v>
          </cell>
          <cell r="C422" t="str">
            <v>SPS FIRST AV ROSSMOYNE</v>
          </cell>
          <cell r="D422" t="str">
            <v>A- actual</v>
          </cell>
          <cell r="E422" t="str">
            <v>PS- pump station</v>
          </cell>
          <cell r="F422" t="str">
            <v>FIRST AVE</v>
          </cell>
          <cell r="G422" t="str">
            <v>2</v>
          </cell>
          <cell r="H422" t="str">
            <v>W- water corporation</v>
          </cell>
          <cell r="I422" t="str">
            <v>18030</v>
          </cell>
          <cell r="J422" t="str">
            <v>19810301</v>
          </cell>
          <cell r="K422" t="str">
            <v>115.863892894</v>
          </cell>
          <cell r="L422" t="str">
            <v>-32.03668195</v>
          </cell>
          <cell r="M422" t="str">
            <v>L</v>
          </cell>
          <cell r="N422" t="str">
            <v>3187</v>
          </cell>
          <cell r="O422" t="str">
            <v>RIVERTON</v>
          </cell>
          <cell r="P422" t="str">
            <v>DR</v>
          </cell>
          <cell r="Q422" t="str">
            <v>W</v>
          </cell>
          <cell r="R422" t="str">
            <v>ROSSMOYNE</v>
          </cell>
          <cell r="S422" t="str">
            <v>6148</v>
          </cell>
        </row>
        <row r="423">
          <cell r="B423" t="str">
            <v>S0033714</v>
          </cell>
          <cell r="C423" t="str">
            <v>SPS HASSELL CR BULL CREEK</v>
          </cell>
          <cell r="D423" t="str">
            <v>A- actual</v>
          </cell>
          <cell r="E423" t="str">
            <v>PS- pump station</v>
          </cell>
          <cell r="F423" t="str">
            <v>HASSELL CR</v>
          </cell>
          <cell r="G423" t="str">
            <v>3</v>
          </cell>
          <cell r="H423" t="str">
            <v>W- water corporation</v>
          </cell>
          <cell r="I423" t="str">
            <v>18031</v>
          </cell>
          <cell r="J423" t="str">
            <v>19741105</v>
          </cell>
          <cell r="K423" t="str">
            <v>115.855394448</v>
          </cell>
          <cell r="L423" t="str">
            <v>-32.064409219</v>
          </cell>
          <cell r="M423" t="str">
            <v>H</v>
          </cell>
          <cell r="N423" t="str">
            <v>10</v>
          </cell>
          <cell r="O423" t="str">
            <v>HASSELL</v>
          </cell>
          <cell r="P423" t="str">
            <v>CR</v>
          </cell>
          <cell r="R423" t="str">
            <v>BULL CREEK</v>
          </cell>
          <cell r="S423" t="str">
            <v>6149</v>
          </cell>
        </row>
        <row r="424">
          <cell r="B424" t="str">
            <v>S0033619</v>
          </cell>
          <cell r="C424" t="str">
            <v>SPS CHALMERS PL LEEMING</v>
          </cell>
          <cell r="D424" t="str">
            <v>A- actual</v>
          </cell>
          <cell r="E424" t="str">
            <v>PS- pump station</v>
          </cell>
          <cell r="F424" t="str">
            <v>CHALMERS PL</v>
          </cell>
          <cell r="G424" t="str">
            <v>9</v>
          </cell>
          <cell r="H424" t="str">
            <v>W- water corporation</v>
          </cell>
          <cell r="I424" t="str">
            <v>18037</v>
          </cell>
          <cell r="J424" t="str">
            <v>19771101</v>
          </cell>
          <cell r="K424" t="str">
            <v>115.859808183</v>
          </cell>
          <cell r="L424" t="str">
            <v>-32.069414437</v>
          </cell>
          <cell r="M424" t="str">
            <v>H</v>
          </cell>
          <cell r="N424" t="str">
            <v>4</v>
          </cell>
          <cell r="O424" t="str">
            <v>CHALMERS</v>
          </cell>
          <cell r="P424" t="str">
            <v>PL</v>
          </cell>
          <cell r="R424" t="str">
            <v>LEEMING</v>
          </cell>
          <cell r="S424" t="str">
            <v>6149</v>
          </cell>
        </row>
        <row r="425">
          <cell r="B425" t="str">
            <v>S0033800</v>
          </cell>
          <cell r="C425" t="str">
            <v>SPS MEHARRY RD LEEMING</v>
          </cell>
          <cell r="D425" t="str">
            <v>A- actual</v>
          </cell>
          <cell r="E425" t="str">
            <v>PS- pump station</v>
          </cell>
          <cell r="F425" t="str">
            <v>MEHARRY RD</v>
          </cell>
          <cell r="G425" t="str">
            <v>7</v>
          </cell>
          <cell r="H425" t="str">
            <v>W- water corporation</v>
          </cell>
          <cell r="I425" t="str">
            <v>18035</v>
          </cell>
          <cell r="J425" t="str">
            <v>19760315</v>
          </cell>
          <cell r="K425" t="str">
            <v>115.863121866</v>
          </cell>
          <cell r="L425" t="str">
            <v>-32.076820635</v>
          </cell>
          <cell r="M425" t="str">
            <v>H</v>
          </cell>
          <cell r="N425" t="str">
            <v>15</v>
          </cell>
          <cell r="O425" t="str">
            <v>MEHARRY</v>
          </cell>
          <cell r="P425" t="str">
            <v>RD</v>
          </cell>
          <cell r="R425" t="str">
            <v>LEEMING</v>
          </cell>
          <cell r="S425" t="str">
            <v>6149</v>
          </cell>
        </row>
        <row r="426">
          <cell r="B426" t="str">
            <v>S0033588</v>
          </cell>
          <cell r="C426" t="str">
            <v>SPS ANDRENE CT LEEMING</v>
          </cell>
          <cell r="D426" t="str">
            <v>A- actual</v>
          </cell>
          <cell r="E426" t="str">
            <v>PS- pump station</v>
          </cell>
          <cell r="F426" t="str">
            <v>ANDRENE CT</v>
          </cell>
          <cell r="G426" t="str">
            <v>10</v>
          </cell>
          <cell r="H426" t="str">
            <v>W- water corporation</v>
          </cell>
          <cell r="I426" t="str">
            <v>18038</v>
          </cell>
          <cell r="J426" t="str">
            <v>19820507</v>
          </cell>
          <cell r="K426" t="str">
            <v>115.852195346</v>
          </cell>
          <cell r="L426" t="str">
            <v>-32.079082781</v>
          </cell>
          <cell r="M426" t="str">
            <v>L</v>
          </cell>
          <cell r="N426" t="str">
            <v>2929</v>
          </cell>
          <cell r="O426" t="str">
            <v>ANDRENE</v>
          </cell>
          <cell r="P426" t="str">
            <v>CT</v>
          </cell>
          <cell r="R426" t="str">
            <v>LEEMING</v>
          </cell>
          <cell r="S426" t="str">
            <v>6149</v>
          </cell>
        </row>
        <row r="427">
          <cell r="B427" t="str">
            <v>S0033419</v>
          </cell>
          <cell r="C427" t="str">
            <v>SPS HELM ST MADDINGTON</v>
          </cell>
          <cell r="D427" t="str">
            <v>A- actual</v>
          </cell>
          <cell r="E427" t="str">
            <v>PS- pump station</v>
          </cell>
          <cell r="F427" t="str">
            <v>HELM ST</v>
          </cell>
          <cell r="G427" t="str">
            <v>1</v>
          </cell>
          <cell r="H427" t="str">
            <v>W- water corporation</v>
          </cell>
          <cell r="I427" t="str">
            <v>18202</v>
          </cell>
          <cell r="J427" t="str">
            <v>19720901</v>
          </cell>
          <cell r="K427" t="str">
            <v>115.995825409</v>
          </cell>
          <cell r="L427" t="str">
            <v>-32.0565830147</v>
          </cell>
          <cell r="M427" t="str">
            <v>H</v>
          </cell>
          <cell r="N427" t="str">
            <v>28</v>
          </cell>
          <cell r="O427" t="str">
            <v>HELM</v>
          </cell>
          <cell r="P427" t="str">
            <v>ST</v>
          </cell>
          <cell r="R427" t="str">
            <v>MADDINGTON</v>
          </cell>
          <cell r="S427" t="str">
            <v>6109</v>
          </cell>
        </row>
        <row r="428">
          <cell r="B428" t="str">
            <v>S0033476</v>
          </cell>
          <cell r="C428" t="str">
            <v>SPS MILLS RD GOSNELLS</v>
          </cell>
          <cell r="D428" t="str">
            <v>A- actual</v>
          </cell>
          <cell r="E428" t="str">
            <v>PS- pump station</v>
          </cell>
          <cell r="F428" t="str">
            <v>MILLS RD</v>
          </cell>
          <cell r="G428" t="str">
            <v>2</v>
          </cell>
          <cell r="H428" t="str">
            <v>W- water corporation</v>
          </cell>
          <cell r="I428" t="str">
            <v>18193</v>
          </cell>
          <cell r="J428" t="str">
            <v>19831215</v>
          </cell>
          <cell r="K428" t="str">
            <v>116.001843554</v>
          </cell>
          <cell r="L428" t="str">
            <v>-32.0651092151</v>
          </cell>
          <cell r="M428" t="str">
            <v>H</v>
          </cell>
          <cell r="N428" t="str">
            <v>18</v>
          </cell>
          <cell r="O428" t="str">
            <v>MILLS</v>
          </cell>
          <cell r="P428" t="str">
            <v>RD</v>
          </cell>
          <cell r="Q428" t="str">
            <v>W</v>
          </cell>
          <cell r="R428" t="str">
            <v>MARTIN</v>
          </cell>
          <cell r="S428" t="str">
            <v>6110</v>
          </cell>
        </row>
        <row r="429">
          <cell r="B429" t="str">
            <v>S0033378</v>
          </cell>
          <cell r="C429" t="str">
            <v>SPS ASTLEY ST GOSNELLS</v>
          </cell>
          <cell r="D429" t="str">
            <v>A- actual</v>
          </cell>
          <cell r="E429" t="str">
            <v>PS- pump station</v>
          </cell>
          <cell r="F429" t="str">
            <v>ASTLEY ST</v>
          </cell>
          <cell r="G429" t="str">
            <v>3</v>
          </cell>
          <cell r="H429" t="str">
            <v>W- water corporation</v>
          </cell>
          <cell r="I429" t="str">
            <v>18194</v>
          </cell>
          <cell r="J429" t="str">
            <v>19840824</v>
          </cell>
          <cell r="K429" t="str">
            <v>116.00959528</v>
          </cell>
          <cell r="L429" t="str">
            <v>-32.0770401028</v>
          </cell>
          <cell r="M429" t="str">
            <v>L</v>
          </cell>
          <cell r="N429" t="str">
            <v>100</v>
          </cell>
          <cell r="O429" t="str">
            <v>ASTLEY</v>
          </cell>
          <cell r="P429" t="str">
            <v>ST</v>
          </cell>
          <cell r="R429" t="str">
            <v>GOSNELLS</v>
          </cell>
          <cell r="S429" t="str">
            <v>6110</v>
          </cell>
        </row>
        <row r="430">
          <cell r="B430" t="str">
            <v>S0033388</v>
          </cell>
          <cell r="C430" t="str">
            <v>SPS CLIFTON ST MADDINGTON</v>
          </cell>
          <cell r="D430" t="str">
            <v>A- actual</v>
          </cell>
          <cell r="E430" t="str">
            <v>PS- pump station</v>
          </cell>
          <cell r="F430" t="str">
            <v>CLIFTON ST</v>
          </cell>
          <cell r="G430" t="str">
            <v>2</v>
          </cell>
          <cell r="H430" t="str">
            <v>W- water corporation</v>
          </cell>
          <cell r="I430" t="str">
            <v>18203</v>
          </cell>
          <cell r="J430" t="str">
            <v>19750325</v>
          </cell>
          <cell r="K430" t="str">
            <v>115.989016515</v>
          </cell>
          <cell r="L430" t="str">
            <v>-32.048055747</v>
          </cell>
          <cell r="M430" t="str">
            <v>H</v>
          </cell>
          <cell r="N430" t="str">
            <v>36</v>
          </cell>
          <cell r="O430" t="str">
            <v>CLIFTON</v>
          </cell>
          <cell r="P430" t="str">
            <v>ST</v>
          </cell>
          <cell r="R430" t="str">
            <v>MADDINGTON</v>
          </cell>
          <cell r="S430" t="str">
            <v>6109</v>
          </cell>
        </row>
        <row r="431">
          <cell r="B431" t="str">
            <v>S0033355</v>
          </cell>
          <cell r="C431" t="str">
            <v>SPS ALLOA ST MADDINGTON</v>
          </cell>
          <cell r="D431" t="str">
            <v>A- actual</v>
          </cell>
          <cell r="E431" t="str">
            <v>PS- pump station</v>
          </cell>
          <cell r="F431" t="str">
            <v>ALLOA ST</v>
          </cell>
          <cell r="G431" t="str">
            <v>3</v>
          </cell>
          <cell r="H431" t="str">
            <v>W- water corporation</v>
          </cell>
          <cell r="I431" t="str">
            <v>18204</v>
          </cell>
          <cell r="J431" t="str">
            <v>19781201</v>
          </cell>
          <cell r="K431" t="str">
            <v>115.98548813</v>
          </cell>
          <cell r="L431" t="str">
            <v>-32.044460097</v>
          </cell>
          <cell r="M431" t="str">
            <v>H</v>
          </cell>
          <cell r="N431" t="str">
            <v>1</v>
          </cell>
          <cell r="O431" t="str">
            <v>LOWER PARK</v>
          </cell>
          <cell r="P431" t="str">
            <v>RD</v>
          </cell>
          <cell r="R431" t="str">
            <v>MADDINGTON</v>
          </cell>
          <cell r="S431" t="str">
            <v>6109</v>
          </cell>
        </row>
        <row r="432">
          <cell r="D432" t="str">
            <v>A- actual</v>
          </cell>
          <cell r="E432" t="str">
            <v>unknown</v>
          </cell>
          <cell r="F432" t="str">
            <v>MADDINGTON HIGH SCHOOL</v>
          </cell>
          <cell r="H432" t="str">
            <v>P- private</v>
          </cell>
          <cell r="J432" t="str">
            <v>19861014</v>
          </cell>
          <cell r="K432" t="str">
            <v>116.007597072</v>
          </cell>
          <cell r="L432" t="str">
            <v>-32.048284947</v>
          </cell>
          <cell r="M432" t="str">
            <v>L</v>
          </cell>
          <cell r="N432" t="str">
            <v>390</v>
          </cell>
          <cell r="O432" t="str">
            <v>DELLAR</v>
          </cell>
          <cell r="P432" t="str">
            <v>RD</v>
          </cell>
          <cell r="R432" t="str">
            <v>MADDINGTON</v>
          </cell>
          <cell r="S432" t="str">
            <v>6109</v>
          </cell>
        </row>
        <row r="433">
          <cell r="D433" t="str">
            <v>A- actual</v>
          </cell>
          <cell r="E433" t="str">
            <v>PS- pump station</v>
          </cell>
          <cell r="F433" t="str">
            <v>LOT 500 ALBANY HWY</v>
          </cell>
          <cell r="H433" t="str">
            <v>P- private</v>
          </cell>
          <cell r="J433" t="str">
            <v>19830923</v>
          </cell>
          <cell r="K433" t="str">
            <v>115.997711613</v>
          </cell>
          <cell r="L433" t="str">
            <v>-32.063479259</v>
          </cell>
          <cell r="M433" t="str">
            <v>H</v>
          </cell>
          <cell r="N433" t="str">
            <v>2093</v>
          </cell>
          <cell r="O433" t="str">
            <v>ALBANY</v>
          </cell>
          <cell r="P433" t="str">
            <v>HWY</v>
          </cell>
          <cell r="R433" t="str">
            <v>MADDINGTON</v>
          </cell>
          <cell r="S433" t="str">
            <v>6109</v>
          </cell>
        </row>
        <row r="434">
          <cell r="D434" t="str">
            <v>N- not in use</v>
          </cell>
          <cell r="E434" t="str">
            <v>PS- pump station</v>
          </cell>
          <cell r="F434" t="str">
            <v>ENEABBA DR</v>
          </cell>
          <cell r="G434" t="str">
            <v>1</v>
          </cell>
          <cell r="H434" t="str">
            <v>W- water corporation</v>
          </cell>
          <cell r="I434" t="str">
            <v>17225</v>
          </cell>
          <cell r="J434" t="str">
            <v>19750101</v>
          </cell>
          <cell r="K434" t="str">
            <v>115.26660247</v>
          </cell>
          <cell r="L434" t="str">
            <v>-29.823786286</v>
          </cell>
          <cell r="M434" t="str">
            <v>H</v>
          </cell>
          <cell r="N434" t="str">
            <v>20</v>
          </cell>
          <cell r="O434" t="str">
            <v>ENEABBA</v>
          </cell>
          <cell r="P434" t="str">
            <v>DR</v>
          </cell>
          <cell r="R434" t="str">
            <v>ENEABBA</v>
          </cell>
          <cell r="S434" t="str">
            <v>6518</v>
          </cell>
        </row>
        <row r="435">
          <cell r="B435" t="str">
            <v>S0037977</v>
          </cell>
          <cell r="C435" t="str">
            <v>SPS 2 COLLINS WAY LANCELIN</v>
          </cell>
          <cell r="D435" t="str">
            <v>A- actual</v>
          </cell>
          <cell r="E435" t="str">
            <v>PS- pump station</v>
          </cell>
          <cell r="F435" t="str">
            <v>COLLINS WAY</v>
          </cell>
          <cell r="G435" t="str">
            <v>2</v>
          </cell>
          <cell r="H435" t="str">
            <v>W- water corporation</v>
          </cell>
          <cell r="I435" t="str">
            <v>42293</v>
          </cell>
          <cell r="J435" t="str">
            <v>19910101</v>
          </cell>
          <cell r="K435" t="str">
            <v>115.335291278</v>
          </cell>
          <cell r="L435" t="str">
            <v>-31.0152064744</v>
          </cell>
          <cell r="M435" t="str">
            <v>L</v>
          </cell>
          <cell r="N435" t="str">
            <v>503</v>
          </cell>
          <cell r="O435" t="str">
            <v>COLLINS</v>
          </cell>
          <cell r="P435" t="str">
            <v>WAY</v>
          </cell>
          <cell r="R435" t="str">
            <v>LANCELIN</v>
          </cell>
          <cell r="S435" t="str">
            <v>6044</v>
          </cell>
        </row>
        <row r="436">
          <cell r="B436" t="str">
            <v>S0037994</v>
          </cell>
          <cell r="C436" t="str">
            <v>SPS 1 HARPER ST LEDGE PT</v>
          </cell>
          <cell r="D436" t="str">
            <v>A- actual</v>
          </cell>
          <cell r="E436" t="str">
            <v>PS- pump station</v>
          </cell>
          <cell r="F436" t="str">
            <v>HARPER DR</v>
          </cell>
          <cell r="G436" t="str">
            <v>1</v>
          </cell>
          <cell r="H436" t="str">
            <v>W- water corporation</v>
          </cell>
          <cell r="I436" t="str">
            <v>42286</v>
          </cell>
          <cell r="J436" t="str">
            <v>19910101</v>
          </cell>
          <cell r="K436" t="str">
            <v>115.375631797</v>
          </cell>
          <cell r="L436" t="str">
            <v>-31.102590401</v>
          </cell>
          <cell r="M436" t="str">
            <v>H</v>
          </cell>
          <cell r="N436" t="str">
            <v>16</v>
          </cell>
          <cell r="O436" t="str">
            <v>HARPER</v>
          </cell>
          <cell r="P436" t="str">
            <v>DR</v>
          </cell>
          <cell r="R436" t="str">
            <v>LEDGE POINT</v>
          </cell>
          <cell r="S436" t="str">
            <v>6043</v>
          </cell>
        </row>
        <row r="437">
          <cell r="B437" t="str">
            <v>S0038014</v>
          </cell>
          <cell r="C437" t="str">
            <v>SPS MH0035 TUART ST LEEMAN</v>
          </cell>
          <cell r="D437" t="str">
            <v>A- actual</v>
          </cell>
          <cell r="E437" t="str">
            <v>TPS- temporary pump station</v>
          </cell>
          <cell r="F437" t="str">
            <v>TUART ST</v>
          </cell>
          <cell r="H437" t="str">
            <v>W- water corporation</v>
          </cell>
          <cell r="I437" t="str">
            <v>19573</v>
          </cell>
          <cell r="J437" t="str">
            <v>19760101</v>
          </cell>
          <cell r="K437" t="str">
            <v>114.983467901</v>
          </cell>
          <cell r="L437" t="str">
            <v>-29.937958947</v>
          </cell>
          <cell r="M437" t="str">
            <v>H</v>
          </cell>
          <cell r="N437" t="str">
            <v>20</v>
          </cell>
          <cell r="O437" t="str">
            <v>TUART</v>
          </cell>
          <cell r="P437" t="str">
            <v>ST</v>
          </cell>
          <cell r="R437" t="str">
            <v>LEEMAN</v>
          </cell>
          <cell r="S437" t="str">
            <v>6514</v>
          </cell>
        </row>
        <row r="438">
          <cell r="B438" t="str">
            <v>S0038021</v>
          </cell>
          <cell r="C438" t="str">
            <v>SPS 1 COAST RD LEEMAN</v>
          </cell>
          <cell r="D438" t="str">
            <v>A- actual</v>
          </cell>
          <cell r="E438" t="str">
            <v>PS- pump station</v>
          </cell>
          <cell r="F438" t="str">
            <v>LESCHENAULTIA RD</v>
          </cell>
          <cell r="G438" t="str">
            <v>1</v>
          </cell>
          <cell r="H438" t="str">
            <v>W- water corporation</v>
          </cell>
          <cell r="I438" t="str">
            <v>17228</v>
          </cell>
          <cell r="J438" t="str">
            <v>19760101</v>
          </cell>
          <cell r="K438" t="str">
            <v>114.981110621</v>
          </cell>
          <cell r="L438" t="str">
            <v>-29.952435643</v>
          </cell>
          <cell r="M438" t="str">
            <v>H</v>
          </cell>
          <cell r="N438" t="str">
            <v>3</v>
          </cell>
          <cell r="O438" t="str">
            <v>THOMAS</v>
          </cell>
          <cell r="P438" t="str">
            <v>ST</v>
          </cell>
          <cell r="R438" t="str">
            <v>LEEMAN</v>
          </cell>
          <cell r="S438" t="str">
            <v>6514</v>
          </cell>
        </row>
        <row r="439">
          <cell r="B439" t="str">
            <v>S0016475</v>
          </cell>
          <cell r="C439" t="str">
            <v>SPS 1 BENT ST MUKINBUDIN</v>
          </cell>
          <cell r="D439" t="str">
            <v>A- actual</v>
          </cell>
          <cell r="E439" t="str">
            <v>PS- pump station</v>
          </cell>
          <cell r="F439" t="str">
            <v>BENT ST</v>
          </cell>
          <cell r="G439" t="str">
            <v>1</v>
          </cell>
          <cell r="H439" t="str">
            <v>W- water corporation</v>
          </cell>
          <cell r="I439" t="str">
            <v>16564</v>
          </cell>
          <cell r="J439" t="str">
            <v>19770101</v>
          </cell>
          <cell r="K439" t="str">
            <v>118.209360772</v>
          </cell>
          <cell r="L439" t="str">
            <v>-30.9174121315</v>
          </cell>
          <cell r="M439" t="str">
            <v>L</v>
          </cell>
          <cell r="N439" t="str">
            <v>28548</v>
          </cell>
          <cell r="O439" t="str">
            <v>BENT</v>
          </cell>
          <cell r="P439" t="str">
            <v>ST</v>
          </cell>
          <cell r="R439" t="str">
            <v>MUKINBUDIN</v>
          </cell>
          <cell r="S439" t="str">
            <v>6479</v>
          </cell>
        </row>
        <row r="440">
          <cell r="B440" t="str">
            <v>S0037366</v>
          </cell>
          <cell r="C440" t="str">
            <v>SPS 1 BARCELONA DR CERVANTES</v>
          </cell>
          <cell r="D440" t="str">
            <v>A- actual</v>
          </cell>
          <cell r="E440" t="str">
            <v>PS- pump station</v>
          </cell>
          <cell r="F440" t="str">
            <v>BARCELONA DR</v>
          </cell>
          <cell r="G440" t="str">
            <v>1</v>
          </cell>
          <cell r="H440" t="str">
            <v>W- water corporation</v>
          </cell>
          <cell r="I440" t="str">
            <v>40421</v>
          </cell>
          <cell r="J440" t="str">
            <v>19920701</v>
          </cell>
          <cell r="K440" t="str">
            <v>115.062942856</v>
          </cell>
          <cell r="L440" t="str">
            <v>-30.506670131</v>
          </cell>
          <cell r="M440" t="str">
            <v>H</v>
          </cell>
          <cell r="N440" t="str">
            <v>89</v>
          </cell>
          <cell r="O440" t="str">
            <v>SEVILLE</v>
          </cell>
          <cell r="P440" t="str">
            <v>ST</v>
          </cell>
          <cell r="R440" t="str">
            <v>CERVANTES</v>
          </cell>
          <cell r="S440" t="str">
            <v>6511</v>
          </cell>
        </row>
        <row r="441">
          <cell r="B441" t="str">
            <v>S0037263</v>
          </cell>
          <cell r="C441" t="str">
            <v>SPS 2 GT NTH HWY NEW NORCIA</v>
          </cell>
          <cell r="D441" t="str">
            <v>A- actual</v>
          </cell>
          <cell r="E441" t="str">
            <v>PS- pump station</v>
          </cell>
          <cell r="F441" t="str">
            <v>NEW NORCIA</v>
          </cell>
          <cell r="G441" t="str">
            <v>2</v>
          </cell>
          <cell r="H441" t="str">
            <v>P- private</v>
          </cell>
          <cell r="I441" t="str">
            <v>48511</v>
          </cell>
          <cell r="J441" t="str">
            <v>19930505</v>
          </cell>
          <cell r="K441" t="str">
            <v>116.211495459</v>
          </cell>
          <cell r="L441" t="str">
            <v>-30.972794114</v>
          </cell>
          <cell r="M441" t="str">
            <v>H</v>
          </cell>
          <cell r="N441" t="str">
            <v>11289</v>
          </cell>
          <cell r="O441" t="str">
            <v>GREAT NORTHERN</v>
          </cell>
          <cell r="P441" t="str">
            <v>HWY</v>
          </cell>
          <cell r="R441" t="str">
            <v>NEW NORCIA</v>
          </cell>
          <cell r="S441" t="str">
            <v>6509</v>
          </cell>
        </row>
        <row r="442">
          <cell r="B442" t="str">
            <v>S0037257</v>
          </cell>
          <cell r="C442" t="str">
            <v>SPS 1 GT NTH HWY NEW NORCIA</v>
          </cell>
          <cell r="D442" t="str">
            <v>A- actual</v>
          </cell>
          <cell r="E442" t="str">
            <v>PS- pump station</v>
          </cell>
          <cell r="F442" t="str">
            <v>NEW NORCIA</v>
          </cell>
          <cell r="G442" t="str">
            <v>1</v>
          </cell>
          <cell r="H442" t="str">
            <v>P- private</v>
          </cell>
          <cell r="I442" t="str">
            <v>48510</v>
          </cell>
          <cell r="J442" t="str">
            <v>19930505</v>
          </cell>
          <cell r="K442" t="str">
            <v>116.218391298</v>
          </cell>
          <cell r="L442" t="str">
            <v>-30.9702262962</v>
          </cell>
          <cell r="M442" t="str">
            <v>H</v>
          </cell>
          <cell r="N442" t="str">
            <v>11310</v>
          </cell>
          <cell r="O442" t="str">
            <v>GREAT NORTHERN</v>
          </cell>
          <cell r="P442" t="str">
            <v>HWY</v>
          </cell>
          <cell r="R442" t="str">
            <v>NEW NORCIA</v>
          </cell>
          <cell r="S442" t="str">
            <v>6509</v>
          </cell>
        </row>
        <row r="443">
          <cell r="B443" t="str">
            <v>S0037396</v>
          </cell>
          <cell r="C443" t="str">
            <v>SPS 3 HUNTS RD DONGARA</v>
          </cell>
          <cell r="D443" t="str">
            <v>A- actual</v>
          </cell>
          <cell r="E443" t="str">
            <v>PS- pump station</v>
          </cell>
          <cell r="F443" t="str">
            <v>HUNTS RD</v>
          </cell>
          <cell r="G443" t="str">
            <v>1</v>
          </cell>
          <cell r="H443" t="str">
            <v>W- water corporation</v>
          </cell>
          <cell r="I443" t="str">
            <v>51422</v>
          </cell>
          <cell r="J443" t="str">
            <v>19940706</v>
          </cell>
          <cell r="K443" t="str">
            <v>114.930849552</v>
          </cell>
          <cell r="L443" t="str">
            <v>-29.253008083</v>
          </cell>
          <cell r="M443" t="str">
            <v>L</v>
          </cell>
          <cell r="N443" t="str">
            <v>82</v>
          </cell>
          <cell r="O443" t="str">
            <v>WALDECK</v>
          </cell>
          <cell r="P443" t="str">
            <v>ST</v>
          </cell>
          <cell r="R443" t="str">
            <v>DONGARA</v>
          </cell>
          <cell r="S443" t="str">
            <v>6525</v>
          </cell>
        </row>
        <row r="444">
          <cell r="B444" t="str">
            <v>S0037411</v>
          </cell>
          <cell r="C444" t="str">
            <v>SPS 1 STH DENISON DONGARA</v>
          </cell>
          <cell r="D444" t="str">
            <v>A- actual</v>
          </cell>
          <cell r="E444" t="str">
            <v>PS- pump station</v>
          </cell>
          <cell r="F444" t="str">
            <v>STH DENISON SEAHORSE LOOP</v>
          </cell>
          <cell r="H444" t="str">
            <v>W- water corporation</v>
          </cell>
          <cell r="J444" t="str">
            <v>19900101</v>
          </cell>
          <cell r="K444" t="str">
            <v>114.922511496</v>
          </cell>
          <cell r="L444" t="str">
            <v>-29.277701345</v>
          </cell>
          <cell r="M444" t="str">
            <v>L</v>
          </cell>
          <cell r="N444" t="str">
            <v>921</v>
          </cell>
          <cell r="O444" t="str">
            <v>SEAHORSE</v>
          </cell>
          <cell r="P444" t="str">
            <v>LOOP</v>
          </cell>
          <cell r="R444" t="str">
            <v>PORT DENISON</v>
          </cell>
          <cell r="S444" t="str">
            <v>6525</v>
          </cell>
        </row>
        <row r="445">
          <cell r="D445" t="str">
            <v>A- actual</v>
          </cell>
          <cell r="E445" t="str">
            <v>PS- pump station</v>
          </cell>
          <cell r="F445" t="str">
            <v>ENEABBA SWIMMING POOL</v>
          </cell>
          <cell r="H445" t="str">
            <v>P- private</v>
          </cell>
          <cell r="J445" t="str">
            <v>19750101</v>
          </cell>
          <cell r="K445" t="str">
            <v>115.266818812</v>
          </cell>
          <cell r="L445" t="str">
            <v>-29.820939845</v>
          </cell>
          <cell r="M445" t="str">
            <v>H</v>
          </cell>
          <cell r="N445" t="str">
            <v>6</v>
          </cell>
          <cell r="O445" t="str">
            <v>NEWMAN</v>
          </cell>
          <cell r="P445" t="str">
            <v>PL</v>
          </cell>
          <cell r="R445" t="str">
            <v>ENEABBA</v>
          </cell>
          <cell r="S445" t="str">
            <v>6518</v>
          </cell>
        </row>
        <row r="446">
          <cell r="B446" t="str">
            <v>S0038000</v>
          </cell>
          <cell r="C446" t="str">
            <v>SPS 2 HARPER ST LEDGE PT</v>
          </cell>
          <cell r="D446" t="str">
            <v>A- actual</v>
          </cell>
          <cell r="E446" t="str">
            <v>PS- pump station</v>
          </cell>
          <cell r="F446" t="str">
            <v>LEDGE POINT RD</v>
          </cell>
          <cell r="G446" t="str">
            <v>2</v>
          </cell>
          <cell r="H446" t="str">
            <v>W- water corporation</v>
          </cell>
          <cell r="I446" t="str">
            <v>50266</v>
          </cell>
          <cell r="J446" t="str">
            <v>19930622</v>
          </cell>
          <cell r="K446" t="str">
            <v>115.373642891</v>
          </cell>
          <cell r="L446" t="str">
            <v>-31.10633332</v>
          </cell>
          <cell r="M446" t="str">
            <v>L</v>
          </cell>
          <cell r="N446" t="str">
            <v>740</v>
          </cell>
          <cell r="O446" t="str">
            <v>DEWAR</v>
          </cell>
          <cell r="P446" t="str">
            <v>WAY</v>
          </cell>
          <cell r="R446" t="str">
            <v>LEDGE POINT</v>
          </cell>
          <cell r="S446" t="str">
            <v>6043</v>
          </cell>
        </row>
        <row r="447">
          <cell r="B447" t="str">
            <v>S0038041</v>
          </cell>
          <cell r="C447" t="str">
            <v>SPS 1 SLAUGHTER ST THREE SPRINGS</v>
          </cell>
          <cell r="D447" t="str">
            <v>A- actual</v>
          </cell>
          <cell r="E447" t="str">
            <v>PS- pump station</v>
          </cell>
          <cell r="F447" t="str">
            <v>SLAUGHTER ST</v>
          </cell>
          <cell r="G447" t="str">
            <v>1</v>
          </cell>
          <cell r="H447" t="str">
            <v>W- water corporation</v>
          </cell>
          <cell r="I447" t="str">
            <v>17231</v>
          </cell>
          <cell r="J447" t="str">
            <v>19640101</v>
          </cell>
          <cell r="K447" t="str">
            <v>115.765344715</v>
          </cell>
          <cell r="L447" t="str">
            <v>-29.5345334946</v>
          </cell>
          <cell r="M447" t="str">
            <v>L</v>
          </cell>
          <cell r="N447" t="str">
            <v>10755</v>
          </cell>
          <cell r="O447" t="str">
            <v>SLAUGHTER</v>
          </cell>
          <cell r="P447" t="str">
            <v>ST</v>
          </cell>
          <cell r="R447" t="str">
            <v>THREE SPRINGS</v>
          </cell>
          <cell r="S447" t="str">
            <v>6519</v>
          </cell>
        </row>
        <row r="448">
          <cell r="B448" t="str">
            <v>S0037911</v>
          </cell>
          <cell r="C448" t="str">
            <v>SPS 1 HASTING ST JURIEN BAY</v>
          </cell>
          <cell r="D448" t="str">
            <v>A- actual</v>
          </cell>
          <cell r="E448" t="str">
            <v>PS- pump station</v>
          </cell>
          <cell r="F448" t="str">
            <v>HASTING ST</v>
          </cell>
          <cell r="G448" t="str">
            <v>1</v>
          </cell>
          <cell r="H448" t="str">
            <v>W- water corporation</v>
          </cell>
          <cell r="I448" t="str">
            <v>42279</v>
          </cell>
          <cell r="J448" t="str">
            <v>19890101</v>
          </cell>
          <cell r="K448" t="str">
            <v>115.04359343</v>
          </cell>
          <cell r="L448" t="str">
            <v>-30.298265952</v>
          </cell>
          <cell r="M448" t="str">
            <v>H</v>
          </cell>
          <cell r="N448" t="str">
            <v>30</v>
          </cell>
          <cell r="O448" t="str">
            <v>HASTING</v>
          </cell>
          <cell r="P448" t="str">
            <v>ST</v>
          </cell>
          <cell r="R448" t="str">
            <v>JURIEN BAY</v>
          </cell>
          <cell r="S448" t="str">
            <v>6516</v>
          </cell>
        </row>
        <row r="449">
          <cell r="B449" t="str">
            <v>S0037403</v>
          </cell>
          <cell r="C449" t="str">
            <v>SPS 2 NORTHSHORE DR DONGARA</v>
          </cell>
          <cell r="D449" t="str">
            <v>A- actual</v>
          </cell>
          <cell r="E449" t="str">
            <v>PS- pump station</v>
          </cell>
          <cell r="F449" t="str">
            <v>NTH SHORE DR</v>
          </cell>
          <cell r="H449" t="str">
            <v>W- water corporation</v>
          </cell>
          <cell r="I449" t="str">
            <v>51425</v>
          </cell>
          <cell r="J449" t="str">
            <v>19930101</v>
          </cell>
          <cell r="K449" t="str">
            <v>114.923292331</v>
          </cell>
          <cell r="L449" t="str">
            <v>-29.25025901</v>
          </cell>
          <cell r="M449" t="str">
            <v>L</v>
          </cell>
          <cell r="N449" t="str">
            <v>92</v>
          </cell>
          <cell r="O449" t="str">
            <v>NORTH SHORE</v>
          </cell>
          <cell r="P449" t="str">
            <v>DR</v>
          </cell>
          <cell r="R449" t="str">
            <v>DONGARA</v>
          </cell>
          <cell r="S449" t="str">
            <v>6525</v>
          </cell>
        </row>
        <row r="450">
          <cell r="B450" t="str">
            <v>S0032743</v>
          </cell>
          <cell r="C450" t="str">
            <v>SPS CAMMILLO RD KELMSCOTT</v>
          </cell>
          <cell r="D450" t="str">
            <v>A- actual</v>
          </cell>
          <cell r="E450" t="str">
            <v>PS- pump station</v>
          </cell>
          <cell r="F450" t="str">
            <v>CAMMILLO RD</v>
          </cell>
          <cell r="G450" t="str">
            <v>5</v>
          </cell>
          <cell r="H450" t="str">
            <v>W- water corporation</v>
          </cell>
          <cell r="I450" t="str">
            <v>18218</v>
          </cell>
          <cell r="J450" t="str">
            <v>19790101</v>
          </cell>
          <cell r="K450" t="str">
            <v>116.008524244</v>
          </cell>
          <cell r="L450" t="str">
            <v>-32.1178987848</v>
          </cell>
          <cell r="M450" t="str">
            <v>H</v>
          </cell>
          <cell r="N450" t="str">
            <v>179</v>
          </cell>
          <cell r="O450" t="str">
            <v>CAMMILLO</v>
          </cell>
          <cell r="P450" t="str">
            <v>RD</v>
          </cell>
          <cell r="R450" t="str">
            <v>KELMSCOTT</v>
          </cell>
          <cell r="S450" t="str">
            <v>6111</v>
          </cell>
        </row>
        <row r="451">
          <cell r="B451" t="str">
            <v>S0032755</v>
          </cell>
          <cell r="C451" t="str">
            <v>SPS HEMINGWAY DR CAMILLO</v>
          </cell>
          <cell r="D451" t="str">
            <v>A- actual</v>
          </cell>
          <cell r="E451" t="str">
            <v>PS- pump station</v>
          </cell>
          <cell r="F451" t="str">
            <v>HEMINGWAY DR</v>
          </cell>
          <cell r="H451" t="str">
            <v>W- water corporation</v>
          </cell>
          <cell r="I451" t="str">
            <v>43277</v>
          </cell>
          <cell r="J451" t="str">
            <v>19740518</v>
          </cell>
          <cell r="K451" t="str">
            <v>116.007261767</v>
          </cell>
          <cell r="L451" t="str">
            <v>-32.1087721899</v>
          </cell>
          <cell r="M451" t="str">
            <v>H</v>
          </cell>
          <cell r="N451" t="str">
            <v>33</v>
          </cell>
          <cell r="O451" t="str">
            <v>MONTROSE</v>
          </cell>
          <cell r="P451" t="str">
            <v>CIR</v>
          </cell>
          <cell r="R451" t="str">
            <v>CAMILLO</v>
          </cell>
          <cell r="S451" t="str">
            <v>6111</v>
          </cell>
        </row>
        <row r="452">
          <cell r="B452" t="str">
            <v>S0032771</v>
          </cell>
          <cell r="C452" t="str">
            <v>SPS PAGE RD KELMSCOTT</v>
          </cell>
          <cell r="D452" t="str">
            <v>A- actual</v>
          </cell>
          <cell r="E452" t="str">
            <v>PS- pump station</v>
          </cell>
          <cell r="F452" t="str">
            <v>PAGE RD TEMP</v>
          </cell>
          <cell r="H452" t="str">
            <v>W- water corporation</v>
          </cell>
          <cell r="J452" t="str">
            <v>19861216</v>
          </cell>
          <cell r="K452" t="str">
            <v>116.014995105</v>
          </cell>
          <cell r="L452" t="str">
            <v>-32.1115122358</v>
          </cell>
          <cell r="M452" t="str">
            <v>L</v>
          </cell>
          <cell r="N452" t="str">
            <v>99</v>
          </cell>
          <cell r="O452" t="str">
            <v>PAGE</v>
          </cell>
          <cell r="P452" t="str">
            <v>RD</v>
          </cell>
          <cell r="R452" t="str">
            <v>KELMSCOTT</v>
          </cell>
          <cell r="S452" t="str">
            <v>6111</v>
          </cell>
        </row>
        <row r="453">
          <cell r="D453" t="str">
            <v>A- actual</v>
          </cell>
          <cell r="E453" t="str">
            <v>PS- pump station</v>
          </cell>
          <cell r="F453" t="str">
            <v>KELMSCOTT PLAZA</v>
          </cell>
          <cell r="H453" t="str">
            <v>P- private</v>
          </cell>
          <cell r="J453" t="str">
            <v>19810220</v>
          </cell>
          <cell r="K453" t="str">
            <v>116.014101232</v>
          </cell>
          <cell r="L453" t="str">
            <v>-32.1120658071</v>
          </cell>
          <cell r="M453" t="str">
            <v>H</v>
          </cell>
          <cell r="N453" t="str">
            <v>2756</v>
          </cell>
          <cell r="O453" t="str">
            <v>ALBANY</v>
          </cell>
          <cell r="P453" t="str">
            <v>HWY</v>
          </cell>
          <cell r="R453" t="str">
            <v>KELMSCOTT</v>
          </cell>
          <cell r="S453" t="str">
            <v>6111</v>
          </cell>
        </row>
        <row r="454">
          <cell r="B454" t="str">
            <v>S0032786</v>
          </cell>
          <cell r="C454" t="str">
            <v>SPS TEWSON RD CAMILLO</v>
          </cell>
          <cell r="D454" t="str">
            <v>A- actual</v>
          </cell>
          <cell r="E454" t="str">
            <v>PS- pump station</v>
          </cell>
          <cell r="F454" t="str">
            <v>TEWSON RD</v>
          </cell>
          <cell r="G454" t="str">
            <v>1</v>
          </cell>
          <cell r="H454" t="str">
            <v>W- water corporation</v>
          </cell>
          <cell r="I454" t="str">
            <v>18214</v>
          </cell>
          <cell r="J454" t="str">
            <v>19780612</v>
          </cell>
          <cell r="K454" t="str">
            <v>115.992925442</v>
          </cell>
          <cell r="L454" t="str">
            <v>-32.120381073</v>
          </cell>
          <cell r="M454" t="str">
            <v>H</v>
          </cell>
          <cell r="N454" t="str">
            <v>55</v>
          </cell>
          <cell r="O454" t="str">
            <v>TEWSON</v>
          </cell>
          <cell r="P454" t="str">
            <v>RD</v>
          </cell>
          <cell r="R454" t="str">
            <v>CAMILLO</v>
          </cell>
          <cell r="S454" t="str">
            <v>6111</v>
          </cell>
        </row>
        <row r="455">
          <cell r="B455" t="str">
            <v>S0033402</v>
          </cell>
          <cell r="C455" t="str">
            <v>SPS CORFIELD ST GOSNELLS</v>
          </cell>
          <cell r="D455" t="str">
            <v>A- actual</v>
          </cell>
          <cell r="E455" t="str">
            <v>PS- pump station</v>
          </cell>
          <cell r="F455" t="str">
            <v>CORFIELD ST</v>
          </cell>
          <cell r="G455" t="str">
            <v>1</v>
          </cell>
          <cell r="H455" t="str">
            <v>W- water corporation</v>
          </cell>
          <cell r="I455" t="str">
            <v>18192</v>
          </cell>
          <cell r="J455" t="str">
            <v>19811224</v>
          </cell>
          <cell r="K455" t="str">
            <v>115.992156282</v>
          </cell>
          <cell r="L455" t="str">
            <v>-32.084220943</v>
          </cell>
          <cell r="M455" t="str">
            <v>H</v>
          </cell>
          <cell r="N455" t="str">
            <v>213</v>
          </cell>
          <cell r="O455" t="str">
            <v>CORFIELD</v>
          </cell>
          <cell r="P455" t="str">
            <v>ST</v>
          </cell>
          <cell r="R455" t="str">
            <v>GOSNELLS</v>
          </cell>
          <cell r="S455" t="str">
            <v>6110</v>
          </cell>
        </row>
        <row r="456">
          <cell r="D456" t="str">
            <v>N- not in use</v>
          </cell>
          <cell r="E456" t="str">
            <v>PS- pump station</v>
          </cell>
          <cell r="F456" t="str">
            <v>CORFIELD TAVERN</v>
          </cell>
          <cell r="H456" t="str">
            <v>P- private</v>
          </cell>
          <cell r="J456" t="str">
            <v>19920103</v>
          </cell>
          <cell r="K456" t="str">
            <v>115.999702109</v>
          </cell>
          <cell r="L456" t="str">
            <v>-32.0899303738</v>
          </cell>
          <cell r="M456" t="str">
            <v>H</v>
          </cell>
          <cell r="N456" t="str">
            <v>86</v>
          </cell>
          <cell r="O456" t="str">
            <v>HARRY</v>
          </cell>
          <cell r="P456" t="str">
            <v>ST</v>
          </cell>
          <cell r="R456" t="str">
            <v>GOSNELLS</v>
          </cell>
          <cell r="S456" t="str">
            <v>6110</v>
          </cell>
        </row>
        <row r="457">
          <cell r="D457" t="str">
            <v>N- not in use</v>
          </cell>
          <cell r="E457" t="str">
            <v>PS- pump station</v>
          </cell>
          <cell r="F457" t="str">
            <v>CORFIELD SHOPPING CENTRE</v>
          </cell>
          <cell r="H457" t="str">
            <v>P- private</v>
          </cell>
          <cell r="J457" t="str">
            <v>19920103</v>
          </cell>
          <cell r="K457" t="str">
            <v>115.998831092</v>
          </cell>
          <cell r="L457" t="str">
            <v>-32.088878734</v>
          </cell>
          <cell r="M457" t="str">
            <v>H</v>
          </cell>
          <cell r="N457" t="str">
            <v>288</v>
          </cell>
          <cell r="O457" t="str">
            <v>CORFIELD</v>
          </cell>
          <cell r="P457" t="str">
            <v>ST</v>
          </cell>
          <cell r="R457" t="str">
            <v>GOSNELLS</v>
          </cell>
          <cell r="S457" t="str">
            <v>6110</v>
          </cell>
        </row>
        <row r="458">
          <cell r="B458" t="str">
            <v>S0032776</v>
          </cell>
          <cell r="C458" t="str">
            <v>SPS RIVER RD KELMSCOTT</v>
          </cell>
          <cell r="D458" t="str">
            <v>A- actual</v>
          </cell>
          <cell r="E458" t="str">
            <v>PS- pump station</v>
          </cell>
          <cell r="F458" t="str">
            <v>RIVER RD</v>
          </cell>
          <cell r="G458" t="str">
            <v>4</v>
          </cell>
          <cell r="H458" t="str">
            <v>W- water corporation</v>
          </cell>
          <cell r="I458" t="str">
            <v>18217</v>
          </cell>
          <cell r="J458" t="str">
            <v>19911120</v>
          </cell>
          <cell r="K458" t="str">
            <v>116.019702546</v>
          </cell>
          <cell r="L458" t="str">
            <v>-32.117234327</v>
          </cell>
          <cell r="M458" t="str">
            <v>H</v>
          </cell>
          <cell r="N458" t="str">
            <v>8</v>
          </cell>
          <cell r="O458" t="str">
            <v>HORSESHOE</v>
          </cell>
          <cell r="P458" t="str">
            <v>CT</v>
          </cell>
          <cell r="R458" t="str">
            <v>KELMSCOTT</v>
          </cell>
          <cell r="S458" t="str">
            <v>6111</v>
          </cell>
        </row>
        <row r="459">
          <cell r="B459" t="str">
            <v>S0032736</v>
          </cell>
          <cell r="C459" t="str">
            <v>SPS BROOKSIDE AV KELMSCOTT</v>
          </cell>
          <cell r="D459" t="str">
            <v>A- actual</v>
          </cell>
          <cell r="E459" t="str">
            <v>PS- pump station</v>
          </cell>
          <cell r="F459" t="str">
            <v>BROOKSIDE AVE</v>
          </cell>
          <cell r="G459" t="str">
            <v>076-03</v>
          </cell>
          <cell r="H459" t="str">
            <v>W- water corporation</v>
          </cell>
          <cell r="I459" t="str">
            <v>18216</v>
          </cell>
          <cell r="J459" t="str">
            <v>19721206</v>
          </cell>
          <cell r="K459" t="str">
            <v>116.016801495</v>
          </cell>
          <cell r="L459" t="str">
            <v>-32.1070323093</v>
          </cell>
          <cell r="M459" t="str">
            <v>H</v>
          </cell>
          <cell r="N459" t="str">
            <v>32</v>
          </cell>
          <cell r="O459" t="str">
            <v>BROOKSIDE</v>
          </cell>
          <cell r="P459" t="str">
            <v>AV</v>
          </cell>
          <cell r="R459" t="str">
            <v>KELMSCOTT</v>
          </cell>
          <cell r="S459" t="str">
            <v>6111</v>
          </cell>
        </row>
        <row r="460">
          <cell r="B460" t="str">
            <v>S2000013</v>
          </cell>
          <cell r="C460" t="str">
            <v>SPS SALVATION ARMY PRIV</v>
          </cell>
          <cell r="D460" t="str">
            <v>A- actual</v>
          </cell>
          <cell r="E460" t="str">
            <v>PS- pump station</v>
          </cell>
          <cell r="F460" t="str">
            <v>SALVATION ARMY</v>
          </cell>
          <cell r="H460" t="str">
            <v>P- private</v>
          </cell>
          <cell r="J460" t="str">
            <v>19830421</v>
          </cell>
          <cell r="K460" t="str">
            <v>116.014947523</v>
          </cell>
          <cell r="L460" t="str">
            <v>-32.0964566247</v>
          </cell>
          <cell r="M460" t="str">
            <v>H</v>
          </cell>
          <cell r="N460" t="str">
            <v>2576</v>
          </cell>
          <cell r="O460" t="str">
            <v>ALBANY</v>
          </cell>
          <cell r="P460" t="str">
            <v>HWY</v>
          </cell>
          <cell r="R460" t="str">
            <v>KELMSCOTT</v>
          </cell>
          <cell r="S460" t="str">
            <v>6111</v>
          </cell>
        </row>
        <row r="461">
          <cell r="D461" t="str">
            <v>A- actual</v>
          </cell>
          <cell r="E461" t="str">
            <v>PS- pump station</v>
          </cell>
          <cell r="F461" t="str">
            <v>SEAFORTH AVE</v>
          </cell>
          <cell r="H461" t="str">
            <v>P- private</v>
          </cell>
          <cell r="J461" t="str">
            <v>19940908</v>
          </cell>
          <cell r="K461" t="str">
            <v>116.010857319</v>
          </cell>
          <cell r="L461" t="str">
            <v>-32.0861679872</v>
          </cell>
          <cell r="M461" t="str">
            <v>H</v>
          </cell>
          <cell r="N461" t="str">
            <v>33</v>
          </cell>
          <cell r="O461" t="str">
            <v>SEAFORTH</v>
          </cell>
          <cell r="P461" t="str">
            <v>AV</v>
          </cell>
          <cell r="R461" t="str">
            <v>GOSNELLS</v>
          </cell>
          <cell r="S461" t="str">
            <v>6110</v>
          </cell>
        </row>
        <row r="462">
          <cell r="B462" t="str">
            <v>S0033324</v>
          </cell>
          <cell r="C462" t="str">
            <v>SPS SHALLOW ST SPEARWOOD</v>
          </cell>
          <cell r="D462" t="str">
            <v>A- actual</v>
          </cell>
          <cell r="E462" t="str">
            <v>PS- pump station</v>
          </cell>
          <cell r="F462" t="str">
            <v>SHALLOW ST</v>
          </cell>
          <cell r="G462" t="str">
            <v>3</v>
          </cell>
          <cell r="H462" t="str">
            <v>W- water corporation</v>
          </cell>
          <cell r="I462" t="str">
            <v>18132</v>
          </cell>
          <cell r="J462" t="str">
            <v>19860722</v>
          </cell>
          <cell r="K462" t="str">
            <v>115.786552539</v>
          </cell>
          <cell r="L462" t="str">
            <v>-32.096399102</v>
          </cell>
          <cell r="M462" t="str">
            <v>L</v>
          </cell>
          <cell r="N462" t="str">
            <v>1</v>
          </cell>
          <cell r="O462" t="str">
            <v>SHALLOW</v>
          </cell>
          <cell r="P462" t="str">
            <v>ST</v>
          </cell>
          <cell r="R462" t="str">
            <v>SPEARWOOD</v>
          </cell>
          <cell r="S462" t="str">
            <v>6163</v>
          </cell>
        </row>
        <row r="463">
          <cell r="B463" t="str">
            <v>S0033331</v>
          </cell>
          <cell r="C463" t="str">
            <v>SPS SPEARWOOD AV BIBRA LAKE</v>
          </cell>
          <cell r="D463" t="str">
            <v>A- actual</v>
          </cell>
          <cell r="E463" t="str">
            <v>PS- pump station</v>
          </cell>
          <cell r="F463" t="str">
            <v>SPEARWOOD AVE</v>
          </cell>
          <cell r="G463" t="str">
            <v>7</v>
          </cell>
          <cell r="H463" t="str">
            <v>W- water corporation</v>
          </cell>
          <cell r="I463" t="str">
            <v>18136</v>
          </cell>
          <cell r="J463" t="str">
            <v>19820217</v>
          </cell>
          <cell r="K463" t="str">
            <v>115.799137253</v>
          </cell>
          <cell r="L463" t="str">
            <v>-32.1016509824</v>
          </cell>
          <cell r="M463" t="str">
            <v>L</v>
          </cell>
          <cell r="N463" t="str">
            <v>4527</v>
          </cell>
          <cell r="O463" t="str">
            <v>SPEARWOOD</v>
          </cell>
          <cell r="P463" t="str">
            <v>AV</v>
          </cell>
          <cell r="R463" t="str">
            <v>BIBRA LAKE</v>
          </cell>
          <cell r="S463" t="str">
            <v>6163</v>
          </cell>
        </row>
        <row r="464">
          <cell r="B464" t="str">
            <v>S0032868</v>
          </cell>
          <cell r="C464" t="str">
            <v>SPS PHOENIX RD BIBRA LAKE</v>
          </cell>
          <cell r="D464" t="str">
            <v>A- actual</v>
          </cell>
          <cell r="E464" t="str">
            <v>PS- pump station</v>
          </cell>
          <cell r="F464" t="str">
            <v>PHOENIX RD</v>
          </cell>
          <cell r="G464" t="str">
            <v>4</v>
          </cell>
          <cell r="H464" t="str">
            <v>W- water corporation</v>
          </cell>
          <cell r="I464" t="str">
            <v>47492</v>
          </cell>
          <cell r="J464" t="str">
            <v>19930505</v>
          </cell>
          <cell r="K464" t="str">
            <v>115.809640049</v>
          </cell>
          <cell r="L464" t="str">
            <v>-32.093160506</v>
          </cell>
          <cell r="M464" t="str">
            <v>L</v>
          </cell>
          <cell r="N464" t="str">
            <v>4422</v>
          </cell>
          <cell r="O464" t="str">
            <v>PHOENIX</v>
          </cell>
          <cell r="P464" t="str">
            <v>RD</v>
          </cell>
          <cell r="R464" t="str">
            <v>BIBRA LAKE</v>
          </cell>
          <cell r="S464" t="str">
            <v>6163</v>
          </cell>
        </row>
        <row r="465">
          <cell r="D465" t="str">
            <v>A- actual</v>
          </cell>
          <cell r="E465" t="str">
            <v>PS- pump station</v>
          </cell>
          <cell r="F465" t="str">
            <v>HALE HOUSE</v>
          </cell>
          <cell r="H465" t="str">
            <v>P- private</v>
          </cell>
          <cell r="J465" t="str">
            <v>19940101</v>
          </cell>
          <cell r="K465" t="str">
            <v>115.811189399</v>
          </cell>
          <cell r="L465" t="str">
            <v>-32.080132083</v>
          </cell>
          <cell r="M465" t="str">
            <v>H</v>
          </cell>
          <cell r="N465" t="str">
            <v>37</v>
          </cell>
          <cell r="O465" t="str">
            <v>WAVERLEY</v>
          </cell>
          <cell r="P465" t="str">
            <v>RD</v>
          </cell>
          <cell r="R465" t="str">
            <v>COOLBELLUP</v>
          </cell>
          <cell r="S465" t="str">
            <v>6163</v>
          </cell>
        </row>
        <row r="466">
          <cell r="B466" t="str">
            <v>S0033227</v>
          </cell>
          <cell r="C466" t="str">
            <v>SPS HURFORD RD HAMILTON HILL</v>
          </cell>
          <cell r="D466" t="str">
            <v>A- actual</v>
          </cell>
          <cell r="E466" t="str">
            <v>PS- pump station</v>
          </cell>
          <cell r="F466" t="str">
            <v>HURFORD RD</v>
          </cell>
          <cell r="G466" t="str">
            <v>13</v>
          </cell>
          <cell r="H466" t="str">
            <v>W- water corporation</v>
          </cell>
          <cell r="I466" t="str">
            <v>48875</v>
          </cell>
          <cell r="J466" t="str">
            <v>19930927</v>
          </cell>
          <cell r="K466" t="str">
            <v>115.77069346</v>
          </cell>
          <cell r="L466" t="str">
            <v>-32.080082034</v>
          </cell>
          <cell r="M466" t="str">
            <v>H</v>
          </cell>
          <cell r="N466" t="str">
            <v>2</v>
          </cell>
          <cell r="O466" t="str">
            <v>SPILLER</v>
          </cell>
          <cell r="P466" t="str">
            <v>ST</v>
          </cell>
          <cell r="R466" t="str">
            <v>HAMILTON HILL</v>
          </cell>
          <cell r="S466" t="str">
            <v>6163</v>
          </cell>
        </row>
        <row r="467">
          <cell r="B467" t="str">
            <v>S0032878</v>
          </cell>
          <cell r="C467" t="str">
            <v>SPS VIRGILIA TCE SOUTH LAKE</v>
          </cell>
          <cell r="D467" t="str">
            <v>A- actual</v>
          </cell>
          <cell r="E467" t="str">
            <v>PS- pump station</v>
          </cell>
          <cell r="F467" t="str">
            <v>VIRGILIA TCE</v>
          </cell>
          <cell r="G467" t="str">
            <v>2</v>
          </cell>
          <cell r="H467" t="str">
            <v>W- water corporation</v>
          </cell>
          <cell r="I467" t="str">
            <v>19726</v>
          </cell>
          <cell r="J467" t="str">
            <v>19890125</v>
          </cell>
          <cell r="K467" t="str">
            <v>115.849116865</v>
          </cell>
          <cell r="L467" t="str">
            <v>-32.101188663</v>
          </cell>
          <cell r="M467" t="str">
            <v>H</v>
          </cell>
          <cell r="N467" t="str">
            <v>32</v>
          </cell>
          <cell r="O467" t="str">
            <v>VIRGILIA</v>
          </cell>
          <cell r="P467" t="str">
            <v>TCE</v>
          </cell>
          <cell r="R467" t="str">
            <v>SOUTH LAKE</v>
          </cell>
          <cell r="S467" t="str">
            <v>6164</v>
          </cell>
        </row>
        <row r="468">
          <cell r="B468" t="str">
            <v>S0032863</v>
          </cell>
          <cell r="C468" t="str">
            <v>SPS MARLENE WY BIBRA LAKE</v>
          </cell>
          <cell r="D468" t="str">
            <v>A- actual</v>
          </cell>
          <cell r="E468" t="str">
            <v>PS- pump station</v>
          </cell>
          <cell r="F468" t="str">
            <v>MARLENE WY</v>
          </cell>
          <cell r="G468" t="str">
            <v>1</v>
          </cell>
          <cell r="H468" t="str">
            <v>W- water corporation</v>
          </cell>
          <cell r="I468" t="str">
            <v>18047</v>
          </cell>
          <cell r="J468" t="str">
            <v>19820422</v>
          </cell>
          <cell r="K468" t="str">
            <v>115.837700408</v>
          </cell>
          <cell r="L468" t="str">
            <v>-32.089118056</v>
          </cell>
          <cell r="M468" t="str">
            <v>H</v>
          </cell>
          <cell r="N468" t="str">
            <v>13</v>
          </cell>
          <cell r="O468" t="str">
            <v>MARLENE</v>
          </cell>
          <cell r="P468" t="str">
            <v>WAY</v>
          </cell>
          <cell r="R468" t="str">
            <v>BIBRA LAKE</v>
          </cell>
          <cell r="S468" t="str">
            <v>6163</v>
          </cell>
        </row>
        <row r="469">
          <cell r="B469" t="str">
            <v>S0033530</v>
          </cell>
          <cell r="C469" t="str">
            <v>SPS REDEMPTORA RD HENDERSON</v>
          </cell>
          <cell r="D469" t="str">
            <v>A- actual</v>
          </cell>
          <cell r="E469" t="str">
            <v>PS- pump station</v>
          </cell>
          <cell r="F469" t="str">
            <v>REDEMPTORA RD</v>
          </cell>
          <cell r="G469" t="str">
            <v>074-03</v>
          </cell>
          <cell r="H469" t="str">
            <v>W- water corporation</v>
          </cell>
          <cell r="I469" t="str">
            <v>18162</v>
          </cell>
          <cell r="J469" t="str">
            <v>19810506</v>
          </cell>
          <cell r="K469" t="str">
            <v>115.768891305</v>
          </cell>
          <cell r="L469" t="str">
            <v>-32.154681</v>
          </cell>
          <cell r="M469" t="str">
            <v>H</v>
          </cell>
          <cell r="N469" t="str">
            <v>42</v>
          </cell>
          <cell r="O469" t="str">
            <v>QUILL</v>
          </cell>
          <cell r="P469" t="str">
            <v>WAY</v>
          </cell>
          <cell r="R469" t="str">
            <v>HENDERSON</v>
          </cell>
          <cell r="S469" t="str">
            <v>6166</v>
          </cell>
        </row>
        <row r="470">
          <cell r="B470" t="str">
            <v>S0033525</v>
          </cell>
          <cell r="C470" t="str">
            <v>SPS CLARENCE BEACH RD MUNSTER</v>
          </cell>
          <cell r="D470" t="str">
            <v>A- actual</v>
          </cell>
          <cell r="E470" t="str">
            <v>PS- pump station</v>
          </cell>
          <cell r="F470" t="str">
            <v>CLARENCE BEACH RD</v>
          </cell>
          <cell r="G470" t="str">
            <v>1</v>
          </cell>
          <cell r="H470" t="str">
            <v>W- water corporation</v>
          </cell>
          <cell r="I470" t="str">
            <v>18160</v>
          </cell>
          <cell r="J470" t="str">
            <v>19810508</v>
          </cell>
          <cell r="K470" t="str">
            <v>115.767869836</v>
          </cell>
          <cell r="L470" t="str">
            <v>-32.147723031</v>
          </cell>
          <cell r="M470" t="str">
            <v>H</v>
          </cell>
          <cell r="N470" t="str">
            <v>89</v>
          </cell>
          <cell r="O470" t="str">
            <v>CLARENCE BEACH</v>
          </cell>
          <cell r="P470" t="str">
            <v>RD</v>
          </cell>
          <cell r="R470" t="str">
            <v>HENDERSON</v>
          </cell>
          <cell r="S470" t="str">
            <v>6166</v>
          </cell>
        </row>
        <row r="471">
          <cell r="D471" t="str">
            <v>A- actual</v>
          </cell>
          <cell r="E471" t="str">
            <v>PS- pump station</v>
          </cell>
          <cell r="F471" t="str">
            <v>WOODMAN PT. CARAVAN PARK</v>
          </cell>
          <cell r="H471" t="str">
            <v>P- private</v>
          </cell>
          <cell r="J471" t="str">
            <v>19000101</v>
          </cell>
          <cell r="K471" t="str">
            <v>115.76831912</v>
          </cell>
          <cell r="L471" t="str">
            <v>-32.13130541</v>
          </cell>
          <cell r="M471" t="str">
            <v>H</v>
          </cell>
          <cell r="N471" t="str">
            <v>597</v>
          </cell>
          <cell r="O471" t="str">
            <v>COCKBURN</v>
          </cell>
          <cell r="P471" t="str">
            <v>RD</v>
          </cell>
          <cell r="R471" t="str">
            <v>MUNSTER</v>
          </cell>
          <cell r="S471" t="str">
            <v>6166</v>
          </cell>
        </row>
        <row r="472">
          <cell r="D472" t="str">
            <v>N- not in use</v>
          </cell>
          <cell r="E472" t="str">
            <v>PS- pump station</v>
          </cell>
          <cell r="F472" t="str">
            <v>N.B.LOVE STARCH FACTORY</v>
          </cell>
          <cell r="H472" t="str">
            <v>P- private</v>
          </cell>
          <cell r="J472" t="str">
            <v>18000101</v>
          </cell>
          <cell r="K472" t="str">
            <v>115.773886945</v>
          </cell>
          <cell r="L472" t="str">
            <v>-32.148849696</v>
          </cell>
          <cell r="M472" t="str">
            <v>H</v>
          </cell>
          <cell r="N472" t="str">
            <v>836</v>
          </cell>
          <cell r="O472" t="str">
            <v>COCKBURN</v>
          </cell>
          <cell r="P472" t="str">
            <v>RD</v>
          </cell>
          <cell r="R472" t="str">
            <v>HENDERSON</v>
          </cell>
          <cell r="S472" t="str">
            <v>6166</v>
          </cell>
        </row>
        <row r="473">
          <cell r="D473" t="str">
            <v>N- not in use</v>
          </cell>
          <cell r="E473" t="str">
            <v>PS- pump station</v>
          </cell>
          <cell r="F473" t="str">
            <v>MUNSTER</v>
          </cell>
          <cell r="G473" t="str">
            <v>2</v>
          </cell>
          <cell r="H473" t="str">
            <v>W- water corporation</v>
          </cell>
          <cell r="I473" t="str">
            <v>18011</v>
          </cell>
          <cell r="J473" t="str">
            <v>19720101</v>
          </cell>
          <cell r="K473" t="str">
            <v>115.783365966</v>
          </cell>
          <cell r="L473" t="str">
            <v>-32.127113661</v>
          </cell>
          <cell r="M473" t="str">
            <v>L</v>
          </cell>
          <cell r="N473" t="str">
            <v>16</v>
          </cell>
          <cell r="O473" t="str">
            <v>MAYOR</v>
          </cell>
          <cell r="P473" t="str">
            <v>RD</v>
          </cell>
          <cell r="R473" t="str">
            <v>MUNSTER</v>
          </cell>
          <cell r="S473" t="str">
            <v>6166</v>
          </cell>
        </row>
        <row r="474">
          <cell r="D474" t="str">
            <v>N- not in use</v>
          </cell>
          <cell r="E474" t="str">
            <v>PS- pump station</v>
          </cell>
          <cell r="F474" t="str">
            <v>MUNSTER</v>
          </cell>
          <cell r="G474" t="str">
            <v>1</v>
          </cell>
          <cell r="H474" t="str">
            <v>W- water corporation</v>
          </cell>
          <cell r="I474" t="str">
            <v>18010</v>
          </cell>
          <cell r="J474" t="str">
            <v>19720101</v>
          </cell>
          <cell r="K474" t="str">
            <v>115.784241995</v>
          </cell>
          <cell r="L474" t="str">
            <v>-32.127403468</v>
          </cell>
          <cell r="M474" t="str">
            <v>L</v>
          </cell>
          <cell r="N474" t="str">
            <v>14</v>
          </cell>
          <cell r="O474" t="str">
            <v>MAYOR</v>
          </cell>
          <cell r="P474" t="str">
            <v>RD</v>
          </cell>
          <cell r="R474" t="str">
            <v>MUNSTER</v>
          </cell>
          <cell r="S474" t="str">
            <v>6166</v>
          </cell>
        </row>
        <row r="475">
          <cell r="B475" t="str">
            <v>S0033293</v>
          </cell>
          <cell r="C475" t="str">
            <v>SPS NEWTON ST SPEARWOOD</v>
          </cell>
          <cell r="D475" t="str">
            <v>A- actual</v>
          </cell>
          <cell r="E475" t="str">
            <v>PS- pump station</v>
          </cell>
          <cell r="F475" t="str">
            <v>NEWTON ST</v>
          </cell>
          <cell r="G475" t="str">
            <v>6</v>
          </cell>
          <cell r="H475" t="str">
            <v>W- water corporation</v>
          </cell>
          <cell r="I475" t="str">
            <v>18135</v>
          </cell>
          <cell r="J475" t="str">
            <v>19771117</v>
          </cell>
          <cell r="K475" t="str">
            <v>115.793803205</v>
          </cell>
          <cell r="L475" t="str">
            <v>-32.111262411</v>
          </cell>
          <cell r="M475" t="str">
            <v>L</v>
          </cell>
          <cell r="N475" t="str">
            <v>508</v>
          </cell>
          <cell r="O475" t="str">
            <v>NEWTON</v>
          </cell>
          <cell r="P475" t="str">
            <v>ST</v>
          </cell>
          <cell r="R475" t="str">
            <v>SPEARWOOD</v>
          </cell>
          <cell r="S475" t="str">
            <v>6163</v>
          </cell>
        </row>
        <row r="476">
          <cell r="D476" t="str">
            <v>A- actual</v>
          </cell>
          <cell r="E476" t="str">
            <v>PS- pump station</v>
          </cell>
          <cell r="F476" t="str">
            <v>COOGEE BEACH CARAVAN PARK</v>
          </cell>
          <cell r="H476" t="str">
            <v>P- private</v>
          </cell>
          <cell r="J476" t="str">
            <v>19840718</v>
          </cell>
          <cell r="K476" t="str">
            <v>115.764014038</v>
          </cell>
          <cell r="L476" t="str">
            <v>-32.115203667</v>
          </cell>
          <cell r="M476" t="str">
            <v>H</v>
          </cell>
          <cell r="N476" t="str">
            <v>3</v>
          </cell>
          <cell r="O476" t="str">
            <v>POWELL</v>
          </cell>
          <cell r="P476" t="str">
            <v>RD</v>
          </cell>
          <cell r="R476" t="str">
            <v>COOGEE</v>
          </cell>
          <cell r="S476" t="str">
            <v>6166</v>
          </cell>
        </row>
        <row r="477">
          <cell r="B477" t="str">
            <v>S0033336</v>
          </cell>
          <cell r="C477" t="str">
            <v>SPS TROODE ST SPEARWOOD</v>
          </cell>
          <cell r="D477" t="str">
            <v>A- actual</v>
          </cell>
          <cell r="E477" t="str">
            <v>PS- pump station</v>
          </cell>
          <cell r="F477" t="str">
            <v>TROODE ST</v>
          </cell>
          <cell r="G477" t="str">
            <v>9</v>
          </cell>
          <cell r="H477" t="str">
            <v>W- water corporation</v>
          </cell>
          <cell r="I477" t="str">
            <v>18138</v>
          </cell>
          <cell r="J477" t="str">
            <v>19860101</v>
          </cell>
          <cell r="K477" t="str">
            <v>115.778404976</v>
          </cell>
          <cell r="L477" t="str">
            <v>-32.120099004</v>
          </cell>
          <cell r="M477" t="str">
            <v>L</v>
          </cell>
          <cell r="N477" t="str">
            <v>50</v>
          </cell>
          <cell r="O477" t="str">
            <v>TROODE</v>
          </cell>
          <cell r="P477" t="str">
            <v>ST</v>
          </cell>
          <cell r="R477" t="str">
            <v>SPEARWOOD</v>
          </cell>
          <cell r="S477" t="str">
            <v>6163</v>
          </cell>
        </row>
        <row r="478">
          <cell r="B478" t="str">
            <v>S0033300</v>
          </cell>
          <cell r="C478" t="str">
            <v>SPS PARAKEET WY COOGEE</v>
          </cell>
          <cell r="D478" t="str">
            <v>A- actual</v>
          </cell>
          <cell r="E478" t="str">
            <v>PS- pump station</v>
          </cell>
          <cell r="F478" t="str">
            <v>PARAKEET WY</v>
          </cell>
          <cell r="G478" t="str">
            <v>8</v>
          </cell>
          <cell r="H478" t="str">
            <v>W- water corporation</v>
          </cell>
          <cell r="I478" t="str">
            <v>18137</v>
          </cell>
          <cell r="J478" t="str">
            <v>19820401</v>
          </cell>
          <cell r="K478" t="str">
            <v>115.766940238</v>
          </cell>
          <cell r="L478" t="str">
            <v>-32.118096587</v>
          </cell>
          <cell r="M478" t="str">
            <v>L</v>
          </cell>
          <cell r="N478" t="str">
            <v>114</v>
          </cell>
          <cell r="O478" t="str">
            <v>PARAKEET</v>
          </cell>
          <cell r="P478" t="str">
            <v>WAY</v>
          </cell>
          <cell r="R478" t="str">
            <v>COOGEE</v>
          </cell>
          <cell r="S478" t="str">
            <v>6166</v>
          </cell>
        </row>
        <row r="479">
          <cell r="B479" t="str">
            <v>S0033535</v>
          </cell>
          <cell r="C479" t="str">
            <v>SPS SPARKS RD NTH HENDERSON</v>
          </cell>
          <cell r="D479" t="str">
            <v>A- actual</v>
          </cell>
          <cell r="E479" t="str">
            <v>PS- pump station</v>
          </cell>
          <cell r="F479" t="str">
            <v>SPARKS RD NTH</v>
          </cell>
          <cell r="G479" t="str">
            <v>2</v>
          </cell>
          <cell r="H479" t="str">
            <v>W- water corporation</v>
          </cell>
          <cell r="I479" t="str">
            <v>18161</v>
          </cell>
          <cell r="J479" t="str">
            <v>19830718</v>
          </cell>
          <cell r="K479" t="str">
            <v>115.775754726</v>
          </cell>
          <cell r="L479" t="str">
            <v>-32.149479578</v>
          </cell>
          <cell r="M479" t="str">
            <v>L</v>
          </cell>
          <cell r="N479" t="str">
            <v>153</v>
          </cell>
          <cell r="O479" t="str">
            <v>SPARKS</v>
          </cell>
          <cell r="P479" t="str">
            <v>RD</v>
          </cell>
          <cell r="R479" t="str">
            <v>HENDERSON</v>
          </cell>
          <cell r="S479" t="str">
            <v>6166</v>
          </cell>
        </row>
        <row r="480">
          <cell r="B480" t="str">
            <v>S0032858</v>
          </cell>
          <cell r="C480" t="str">
            <v>SPS IVANKOVICH AV BEELIAR</v>
          </cell>
          <cell r="D480" t="str">
            <v>A- actual</v>
          </cell>
          <cell r="E480" t="str">
            <v>PS- pump station</v>
          </cell>
          <cell r="F480" t="str">
            <v>IVANKOVICH AVE</v>
          </cell>
          <cell r="G480" t="str">
            <v>2</v>
          </cell>
          <cell r="H480" t="str">
            <v>W- water corporation</v>
          </cell>
          <cell r="I480" t="str">
            <v>57094</v>
          </cell>
          <cell r="J480" t="str">
            <v>19990105</v>
          </cell>
          <cell r="K480" t="str">
            <v>115.793053764</v>
          </cell>
          <cell r="L480" t="str">
            <v>-32.129824007</v>
          </cell>
          <cell r="M480" t="str">
            <v>L</v>
          </cell>
          <cell r="N480" t="str">
            <v>471</v>
          </cell>
          <cell r="O480" t="str">
            <v>WATSON</v>
          </cell>
          <cell r="P480" t="str">
            <v>RD</v>
          </cell>
          <cell r="R480" t="str">
            <v>BEELIAR</v>
          </cell>
          <cell r="S480" t="str">
            <v>6164</v>
          </cell>
        </row>
        <row r="481">
          <cell r="D481" t="str">
            <v>N- not in use</v>
          </cell>
          <cell r="E481" t="str">
            <v>TPS- temporary pump station</v>
          </cell>
          <cell r="H481" t="str">
            <v>W- water corporation</v>
          </cell>
          <cell r="J481" t="str">
            <v>19821101</v>
          </cell>
          <cell r="K481" t="str">
            <v>115.830692867</v>
          </cell>
          <cell r="L481" t="str">
            <v>-32.109179162</v>
          </cell>
          <cell r="M481" t="str">
            <v>H</v>
          </cell>
          <cell r="N481" t="str">
            <v>3</v>
          </cell>
          <cell r="O481" t="str">
            <v>ELDERBERRY</v>
          </cell>
          <cell r="P481" t="str">
            <v>DR</v>
          </cell>
          <cell r="R481" t="str">
            <v>SOUTH LAKE</v>
          </cell>
          <cell r="S481" t="str">
            <v>6164</v>
          </cell>
        </row>
        <row r="482">
          <cell r="B482" t="str">
            <v>S0032851</v>
          </cell>
          <cell r="C482" t="str">
            <v>SPS GLENBAWN DR SOUTH LAKE</v>
          </cell>
          <cell r="D482" t="str">
            <v>A- actual</v>
          </cell>
          <cell r="E482" t="str">
            <v>PS- pump station</v>
          </cell>
          <cell r="F482" t="str">
            <v>GLENBAWN DR</v>
          </cell>
          <cell r="G482" t="str">
            <v>1</v>
          </cell>
          <cell r="H482" t="str">
            <v>W- water corporation</v>
          </cell>
          <cell r="I482" t="str">
            <v>18075</v>
          </cell>
          <cell r="J482" t="str">
            <v>19841010</v>
          </cell>
          <cell r="K482" t="str">
            <v>115.834908134</v>
          </cell>
          <cell r="L482" t="str">
            <v>-32.110584032</v>
          </cell>
          <cell r="M482" t="str">
            <v>L</v>
          </cell>
          <cell r="N482" t="str">
            <v>225</v>
          </cell>
          <cell r="O482" t="str">
            <v>GLENBAWN</v>
          </cell>
          <cell r="P482" t="str">
            <v>DR</v>
          </cell>
          <cell r="R482" t="str">
            <v>SOUTH LAKE</v>
          </cell>
          <cell r="S482" t="str">
            <v>6164</v>
          </cell>
        </row>
        <row r="483">
          <cell r="D483" t="str">
            <v>A- actual</v>
          </cell>
          <cell r="E483" t="str">
            <v>PS- pump station</v>
          </cell>
          <cell r="F483" t="str">
            <v>JANDAKOT PRIMARY SCHOOL</v>
          </cell>
          <cell r="H483" t="str">
            <v>P- private</v>
          </cell>
          <cell r="J483" t="str">
            <v>19000101</v>
          </cell>
          <cell r="K483" t="str">
            <v>115.846747998</v>
          </cell>
          <cell r="L483" t="str">
            <v>-32.1376582363</v>
          </cell>
          <cell r="M483" t="str">
            <v>H</v>
          </cell>
          <cell r="N483" t="str">
            <v>41</v>
          </cell>
          <cell r="O483" t="str">
            <v>BANINGAN</v>
          </cell>
          <cell r="P483" t="str">
            <v>AV</v>
          </cell>
          <cell r="R483" t="str">
            <v>SUCCESS</v>
          </cell>
          <cell r="S483" t="str">
            <v>6164</v>
          </cell>
        </row>
        <row r="484">
          <cell r="D484" t="str">
            <v>N- not in use</v>
          </cell>
          <cell r="E484" t="str">
            <v>PS- pump station</v>
          </cell>
          <cell r="F484" t="str">
            <v>BUCKLEY ST</v>
          </cell>
          <cell r="G484" t="str">
            <v>56</v>
          </cell>
          <cell r="H484" t="str">
            <v>W- water corporation</v>
          </cell>
          <cell r="I484" t="str">
            <v>44794</v>
          </cell>
          <cell r="J484" t="str">
            <v>19930114</v>
          </cell>
          <cell r="K484" t="str">
            <v>115.84656117</v>
          </cell>
          <cell r="L484" t="str">
            <v>-32.1213579</v>
          </cell>
          <cell r="M484" t="str">
            <v>L</v>
          </cell>
          <cell r="N484" t="str">
            <v>4900</v>
          </cell>
          <cell r="O484" t="str">
            <v>BUCKLEY</v>
          </cell>
          <cell r="P484" t="str">
            <v>ST</v>
          </cell>
          <cell r="R484" t="str">
            <v>COCKBURN CENTRAL</v>
          </cell>
          <cell r="S484" t="str">
            <v>6164</v>
          </cell>
        </row>
        <row r="485">
          <cell r="B485" t="str">
            <v>S0032836</v>
          </cell>
          <cell r="C485" t="str">
            <v>SPS BRENCHLEY DR ATWELL</v>
          </cell>
          <cell r="D485" t="str">
            <v>A- actual</v>
          </cell>
          <cell r="E485" t="str">
            <v>PS- pump station</v>
          </cell>
          <cell r="F485" t="str">
            <v>BRENCHLEY DR</v>
          </cell>
          <cell r="G485" t="str">
            <v>1</v>
          </cell>
          <cell r="H485" t="str">
            <v>W- water corporation</v>
          </cell>
          <cell r="I485" t="str">
            <v>56556</v>
          </cell>
          <cell r="J485" t="str">
            <v>19950714</v>
          </cell>
          <cell r="K485" t="str">
            <v>115.861746514</v>
          </cell>
          <cell r="L485" t="str">
            <v>-32.140849691</v>
          </cell>
          <cell r="M485" t="str">
            <v>L</v>
          </cell>
          <cell r="N485" t="str">
            <v>432</v>
          </cell>
          <cell r="O485" t="str">
            <v>BRENCHLEY</v>
          </cell>
          <cell r="P485" t="str">
            <v>DR</v>
          </cell>
          <cell r="R485" t="str">
            <v>ATWELL</v>
          </cell>
          <cell r="S485" t="str">
            <v>6164</v>
          </cell>
        </row>
        <row r="486">
          <cell r="B486" t="str">
            <v>S0030355</v>
          </cell>
          <cell r="C486" t="str">
            <v>SPS CROMPTON RD ROCKINGHAM</v>
          </cell>
          <cell r="D486" t="str">
            <v>A- actual</v>
          </cell>
          <cell r="E486" t="str">
            <v>PS- pump station</v>
          </cell>
          <cell r="F486" t="str">
            <v>CROMPTON RD</v>
          </cell>
          <cell r="G486" t="str">
            <v>1</v>
          </cell>
          <cell r="H486" t="str">
            <v>W- water corporation</v>
          </cell>
          <cell r="I486" t="str">
            <v>40460</v>
          </cell>
          <cell r="J486" t="str">
            <v>19890403</v>
          </cell>
          <cell r="K486" t="str">
            <v>115.770197981</v>
          </cell>
          <cell r="L486" t="str">
            <v>-32.274428076</v>
          </cell>
          <cell r="M486" t="str">
            <v>L</v>
          </cell>
          <cell r="N486" t="str">
            <v>94</v>
          </cell>
          <cell r="O486" t="str">
            <v>CROMPTON</v>
          </cell>
          <cell r="P486" t="str">
            <v>RD</v>
          </cell>
          <cell r="R486" t="str">
            <v>ROCKINGHAM</v>
          </cell>
          <cell r="S486" t="str">
            <v>6168</v>
          </cell>
        </row>
        <row r="487">
          <cell r="B487" t="str">
            <v>S0030289</v>
          </cell>
          <cell r="C487" t="str">
            <v>SPS DALRYMPLE DR LEDA</v>
          </cell>
          <cell r="D487" t="str">
            <v>A- actual</v>
          </cell>
          <cell r="E487" t="str">
            <v>PS- pump station</v>
          </cell>
          <cell r="F487" t="str">
            <v>DALRYMPLE DR TEMP</v>
          </cell>
          <cell r="G487" t="str">
            <v>8</v>
          </cell>
          <cell r="H487" t="str">
            <v>W- water corporation</v>
          </cell>
          <cell r="I487" t="str">
            <v>40462</v>
          </cell>
          <cell r="J487" t="str">
            <v>19930101</v>
          </cell>
          <cell r="K487" t="str">
            <v>115.809844779</v>
          </cell>
          <cell r="L487" t="str">
            <v>-32.264283908</v>
          </cell>
          <cell r="M487" t="str">
            <v>H</v>
          </cell>
          <cell r="N487" t="str">
            <v>51</v>
          </cell>
          <cell r="O487" t="str">
            <v>DALRYMPLE</v>
          </cell>
          <cell r="P487" t="str">
            <v>DR</v>
          </cell>
          <cell r="R487" t="str">
            <v>LEDA</v>
          </cell>
          <cell r="S487" t="str">
            <v>6170</v>
          </cell>
        </row>
        <row r="488">
          <cell r="D488" t="str">
            <v>A- actual</v>
          </cell>
          <cell r="E488" t="str">
            <v>PS- pump station</v>
          </cell>
          <cell r="F488" t="str">
            <v>KALAMUNDA DISTRICT HOSPITAL</v>
          </cell>
          <cell r="H488" t="str">
            <v>P- private</v>
          </cell>
          <cell r="J488" t="str">
            <v>19950309</v>
          </cell>
          <cell r="K488" t="str">
            <v>116.061271091</v>
          </cell>
          <cell r="L488" t="str">
            <v>-31.965804752</v>
          </cell>
          <cell r="M488" t="str">
            <v>H</v>
          </cell>
          <cell r="N488" t="str">
            <v>25</v>
          </cell>
          <cell r="O488" t="str">
            <v>CHAUCER</v>
          </cell>
          <cell r="P488" t="str">
            <v>WAY</v>
          </cell>
          <cell r="R488" t="str">
            <v>KALAMUNDA</v>
          </cell>
          <cell r="S488" t="str">
            <v>6076</v>
          </cell>
        </row>
        <row r="489">
          <cell r="D489" t="str">
            <v>N- not in use</v>
          </cell>
          <cell r="E489" t="str">
            <v>PS- pump station</v>
          </cell>
          <cell r="F489" t="str">
            <v>ROCKINGHAM TEMPORARY</v>
          </cell>
          <cell r="H489" t="str">
            <v>W- water corporation</v>
          </cell>
          <cell r="I489" t="str">
            <v>18186</v>
          </cell>
          <cell r="J489" t="str">
            <v>18000101</v>
          </cell>
          <cell r="K489" t="str">
            <v>115.719747506</v>
          </cell>
          <cell r="L489" t="str">
            <v>-32.300851984</v>
          </cell>
          <cell r="M489" t="str">
            <v>H</v>
          </cell>
          <cell r="N489" t="str">
            <v>1</v>
          </cell>
          <cell r="O489" t="str">
            <v>REFLECTION</v>
          </cell>
          <cell r="P489" t="str">
            <v>MEWS</v>
          </cell>
          <cell r="R489" t="str">
            <v>SAFETY BAY</v>
          </cell>
          <cell r="S489" t="str">
            <v>6169</v>
          </cell>
        </row>
        <row r="490">
          <cell r="B490" t="str">
            <v>S0030486</v>
          </cell>
          <cell r="C490" t="str">
            <v>SPS THORPE ST ROCKINGHAM</v>
          </cell>
          <cell r="D490" t="str">
            <v>A- actual</v>
          </cell>
          <cell r="E490" t="str">
            <v>PS- pump station</v>
          </cell>
          <cell r="F490" t="str">
            <v>THORPE ST</v>
          </cell>
          <cell r="G490" t="str">
            <v>9</v>
          </cell>
          <cell r="H490" t="str">
            <v>W- water corporation</v>
          </cell>
          <cell r="I490" t="str">
            <v>40458</v>
          </cell>
          <cell r="J490" t="str">
            <v>19880622</v>
          </cell>
          <cell r="K490" t="str">
            <v>115.723413653</v>
          </cell>
          <cell r="L490" t="str">
            <v>-32.281677661</v>
          </cell>
          <cell r="M490" t="str">
            <v>H</v>
          </cell>
          <cell r="N490" t="str">
            <v>19</v>
          </cell>
          <cell r="O490" t="str">
            <v>BAY VIEW</v>
          </cell>
          <cell r="P490" t="str">
            <v>ST</v>
          </cell>
          <cell r="R490" t="str">
            <v>ROCKINGHAM</v>
          </cell>
          <cell r="S490" t="str">
            <v>6168</v>
          </cell>
        </row>
        <row r="491">
          <cell r="B491" t="str">
            <v>S0044725</v>
          </cell>
          <cell r="C491" t="str">
            <v>SPS MANDURAH TCE MANDURAH</v>
          </cell>
          <cell r="D491" t="str">
            <v>A- actual</v>
          </cell>
          <cell r="E491" t="str">
            <v>PS- pump station</v>
          </cell>
          <cell r="F491" t="str">
            <v>MANDURAH TCE</v>
          </cell>
          <cell r="G491" t="str">
            <v>1</v>
          </cell>
          <cell r="H491" t="str">
            <v>W- water corporation</v>
          </cell>
          <cell r="I491" t="str">
            <v>18486</v>
          </cell>
          <cell r="J491" t="str">
            <v>19730101</v>
          </cell>
          <cell r="K491" t="str">
            <v>115.720468058</v>
          </cell>
          <cell r="L491" t="str">
            <v>-32.528219015</v>
          </cell>
          <cell r="M491" t="str">
            <v>H</v>
          </cell>
          <cell r="N491" t="str">
            <v>74</v>
          </cell>
          <cell r="O491" t="str">
            <v>MANDURAH</v>
          </cell>
          <cell r="P491" t="str">
            <v>TCE</v>
          </cell>
          <cell r="R491" t="str">
            <v>MANDURAH</v>
          </cell>
          <cell r="S491" t="str">
            <v>6210</v>
          </cell>
        </row>
        <row r="492">
          <cell r="B492" t="str">
            <v>S0044565</v>
          </cell>
          <cell r="C492" t="str">
            <v>SPS GALLOP ST HALLS HEAD</v>
          </cell>
          <cell r="D492" t="str">
            <v>A- actual</v>
          </cell>
          <cell r="E492" t="str">
            <v>PS- pump station</v>
          </cell>
          <cell r="F492" t="str">
            <v>GALLOP ST</v>
          </cell>
          <cell r="G492" t="str">
            <v>5</v>
          </cell>
          <cell r="H492" t="str">
            <v>W- water corporation</v>
          </cell>
          <cell r="I492" t="str">
            <v>18502</v>
          </cell>
          <cell r="J492" t="str">
            <v>19830609</v>
          </cell>
          <cell r="K492" t="str">
            <v>115.701965323</v>
          </cell>
          <cell r="L492" t="str">
            <v>-32.521418975</v>
          </cell>
          <cell r="M492" t="str">
            <v>H</v>
          </cell>
          <cell r="N492" t="str">
            <v>22</v>
          </cell>
          <cell r="O492" t="str">
            <v>GALLOP</v>
          </cell>
          <cell r="P492" t="str">
            <v>ST</v>
          </cell>
          <cell r="R492" t="str">
            <v>HALLS HEAD</v>
          </cell>
          <cell r="S492" t="str">
            <v>6210</v>
          </cell>
        </row>
        <row r="493">
          <cell r="D493" t="str">
            <v>A- actual</v>
          </cell>
          <cell r="E493" t="str">
            <v>PS- pump station</v>
          </cell>
          <cell r="F493" t="str">
            <v>SOUTH WESTERN HWY</v>
          </cell>
          <cell r="H493" t="str">
            <v>P- private</v>
          </cell>
          <cell r="J493" t="str">
            <v>19940113</v>
          </cell>
          <cell r="K493" t="str">
            <v>116.0149313</v>
          </cell>
          <cell r="L493" t="str">
            <v>-32.16801641</v>
          </cell>
          <cell r="M493" t="str">
            <v>H</v>
          </cell>
          <cell r="N493" t="str">
            <v>261</v>
          </cell>
          <cell r="O493" t="str">
            <v>SOUTH WESTERN</v>
          </cell>
          <cell r="P493" t="str">
            <v>HWY</v>
          </cell>
          <cell r="R493" t="str">
            <v>ARMADALE</v>
          </cell>
          <cell r="S493" t="str">
            <v>6112</v>
          </cell>
        </row>
        <row r="494">
          <cell r="B494" t="str">
            <v>S0032781</v>
          </cell>
          <cell r="C494" t="str">
            <v>SPS SITTELLA PLZA BROOKDALE</v>
          </cell>
          <cell r="D494" t="str">
            <v>A- actual</v>
          </cell>
          <cell r="E494" t="str">
            <v>PS- pump station</v>
          </cell>
          <cell r="F494" t="str">
            <v>SITTELLA PLAZA TEMP</v>
          </cell>
          <cell r="G494" t="str">
            <v>87</v>
          </cell>
          <cell r="H494" t="str">
            <v>W- water corporation</v>
          </cell>
          <cell r="I494" t="str">
            <v>40476</v>
          </cell>
          <cell r="J494" t="str">
            <v>19891120</v>
          </cell>
          <cell r="K494" t="str">
            <v>115.998955381</v>
          </cell>
          <cell r="L494" t="str">
            <v>-32.168598219</v>
          </cell>
          <cell r="M494" t="str">
            <v>H</v>
          </cell>
          <cell r="N494" t="str">
            <v>19</v>
          </cell>
          <cell r="O494" t="str">
            <v>SITTELLA</v>
          </cell>
          <cell r="P494" t="str">
            <v>PLZA</v>
          </cell>
          <cell r="R494" t="str">
            <v>BROOKDALE</v>
          </cell>
          <cell r="S494" t="str">
            <v>6112</v>
          </cell>
        </row>
        <row r="495">
          <cell r="B495" t="str">
            <v>S0032809</v>
          </cell>
          <cell r="C495" t="str">
            <v>SPS WHITELEY AV HILBERT</v>
          </cell>
          <cell r="D495" t="str">
            <v>A- actual</v>
          </cell>
          <cell r="E495" t="str">
            <v>PS- pump station</v>
          </cell>
          <cell r="F495" t="str">
            <v>WHITELY AVE TEMP</v>
          </cell>
          <cell r="G495" t="str">
            <v>74</v>
          </cell>
          <cell r="H495" t="str">
            <v>W- water corporation</v>
          </cell>
          <cell r="I495" t="str">
            <v>18191</v>
          </cell>
          <cell r="J495" t="str">
            <v>19890920</v>
          </cell>
          <cell r="K495" t="str">
            <v>115.994291268</v>
          </cell>
          <cell r="L495" t="str">
            <v>-32.164557117</v>
          </cell>
          <cell r="M495" t="str">
            <v>H</v>
          </cell>
          <cell r="N495" t="str">
            <v>4</v>
          </cell>
          <cell r="O495" t="str">
            <v>WHITELEY</v>
          </cell>
          <cell r="P495" t="str">
            <v>RD</v>
          </cell>
          <cell r="R495" t="str">
            <v>BROOKDALE</v>
          </cell>
          <cell r="S495" t="str">
            <v>6112</v>
          </cell>
        </row>
        <row r="496">
          <cell r="B496" t="str">
            <v>S0032748</v>
          </cell>
          <cell r="C496" t="str">
            <v>SPS FORREST RD ARMADALE</v>
          </cell>
          <cell r="D496" t="str">
            <v>A- actual</v>
          </cell>
          <cell r="E496" t="str">
            <v>PS- pump station</v>
          </cell>
          <cell r="F496" t="str">
            <v>FORREST RD</v>
          </cell>
          <cell r="G496" t="str">
            <v>1</v>
          </cell>
          <cell r="H496" t="str">
            <v>W- water corporation</v>
          </cell>
          <cell r="I496" t="str">
            <v>18189</v>
          </cell>
          <cell r="J496" t="str">
            <v>19670701</v>
          </cell>
          <cell r="K496" t="str">
            <v>115.997840866</v>
          </cell>
          <cell r="L496" t="str">
            <v>-32.1583792963</v>
          </cell>
          <cell r="M496" t="str">
            <v>L</v>
          </cell>
          <cell r="N496" t="str">
            <v>19</v>
          </cell>
          <cell r="O496" t="str">
            <v>FORREST</v>
          </cell>
          <cell r="P496" t="str">
            <v>RD</v>
          </cell>
          <cell r="R496" t="str">
            <v>ARMADALE</v>
          </cell>
          <cell r="S496" t="str">
            <v>6112</v>
          </cell>
        </row>
        <row r="497">
          <cell r="B497" t="str">
            <v>S0034254</v>
          </cell>
          <cell r="C497" t="str">
            <v>SPS CANNING VALE PRIS CANNING VALE</v>
          </cell>
          <cell r="D497" t="str">
            <v>A- actual</v>
          </cell>
          <cell r="E497" t="str">
            <v>unknown</v>
          </cell>
          <cell r="F497" t="str">
            <v>CANNING VALE PRISON</v>
          </cell>
          <cell r="H497" t="str">
            <v>P- private</v>
          </cell>
          <cell r="I497" t="str">
            <v>41183</v>
          </cell>
          <cell r="J497" t="str">
            <v>19810331</v>
          </cell>
          <cell r="K497" t="str">
            <v>115.9205627</v>
          </cell>
          <cell r="L497" t="str">
            <v>-32.10443798</v>
          </cell>
          <cell r="M497" t="str">
            <v>L</v>
          </cell>
          <cell r="N497" t="str">
            <v>501</v>
          </cell>
          <cell r="O497" t="str">
            <v>WARTON</v>
          </cell>
          <cell r="P497" t="str">
            <v>RD</v>
          </cell>
          <cell r="R497" t="str">
            <v>CANNING VALE</v>
          </cell>
          <cell r="S497" t="str">
            <v>6155</v>
          </cell>
        </row>
        <row r="498">
          <cell r="B498" t="str">
            <v>S0032762</v>
          </cell>
          <cell r="C498" t="str">
            <v>SPS LAKE RD SEVILLE GROVE</v>
          </cell>
          <cell r="D498" t="str">
            <v>A- actual</v>
          </cell>
          <cell r="E498" t="str">
            <v>PS- pump station</v>
          </cell>
          <cell r="F498" t="str">
            <v>LAKE RD</v>
          </cell>
          <cell r="H498" t="str">
            <v>W- water corporation</v>
          </cell>
          <cell r="I498" t="str">
            <v>18015</v>
          </cell>
          <cell r="J498" t="str">
            <v>19710222</v>
          </cell>
          <cell r="K498" t="str">
            <v>115.976822841</v>
          </cell>
          <cell r="L498" t="str">
            <v>-32.141209393</v>
          </cell>
          <cell r="M498" t="str">
            <v>L</v>
          </cell>
          <cell r="N498" t="str">
            <v>10</v>
          </cell>
          <cell r="O498" t="str">
            <v>LAKE</v>
          </cell>
          <cell r="P498" t="str">
            <v>RD</v>
          </cell>
          <cell r="R498" t="str">
            <v>SEVILLE GROVE</v>
          </cell>
          <cell r="S498" t="str">
            <v>6112</v>
          </cell>
        </row>
        <row r="499">
          <cell r="B499" t="str">
            <v>S0033360</v>
          </cell>
          <cell r="C499" t="str">
            <v>SPS ANACONDA DR GOSNELLS</v>
          </cell>
          <cell r="D499" t="str">
            <v>A- actual</v>
          </cell>
          <cell r="E499" t="str">
            <v>PS- pump station</v>
          </cell>
          <cell r="F499" t="str">
            <v>ANACONDA DR MAIN</v>
          </cell>
          <cell r="G499" t="str">
            <v>8</v>
          </cell>
          <cell r="H499" t="str">
            <v>W- water corporation</v>
          </cell>
          <cell r="I499" t="str">
            <v>18016</v>
          </cell>
          <cell r="J499" t="str">
            <v>19790719</v>
          </cell>
          <cell r="K499" t="str">
            <v>115.979393858</v>
          </cell>
          <cell r="L499" t="str">
            <v>-32.083563726</v>
          </cell>
          <cell r="M499" t="str">
            <v>L</v>
          </cell>
          <cell r="N499" t="str">
            <v>2</v>
          </cell>
          <cell r="O499" t="str">
            <v>ANACONDA</v>
          </cell>
          <cell r="P499" t="str">
            <v>DR</v>
          </cell>
          <cell r="R499" t="str">
            <v>GOSNELLS</v>
          </cell>
          <cell r="S499" t="str">
            <v>6110</v>
          </cell>
        </row>
        <row r="500">
          <cell r="B500" t="str">
            <v>S0033383</v>
          </cell>
          <cell r="C500" t="str">
            <v>SPS BAXTER CL HUNTINGDALE</v>
          </cell>
          <cell r="D500" t="str">
            <v>A- actual</v>
          </cell>
          <cell r="E500" t="str">
            <v>PS- pump station</v>
          </cell>
          <cell r="F500" t="str">
            <v>BAXTER CL TEMP</v>
          </cell>
          <cell r="G500" t="str">
            <v>901-45</v>
          </cell>
          <cell r="H500" t="str">
            <v>W- water corporation</v>
          </cell>
          <cell r="I500" t="str">
            <v>40485</v>
          </cell>
          <cell r="J500" t="str">
            <v>19910101</v>
          </cell>
          <cell r="K500" t="str">
            <v>115.971164873</v>
          </cell>
          <cell r="L500" t="str">
            <v>-32.0871265234</v>
          </cell>
          <cell r="M500" t="str">
            <v>H</v>
          </cell>
          <cell r="N500" t="str">
            <v>64</v>
          </cell>
          <cell r="O500" t="str">
            <v>BAXTER</v>
          </cell>
          <cell r="P500" t="str">
            <v>CL</v>
          </cell>
          <cell r="R500" t="str">
            <v>HUNTINGDALE</v>
          </cell>
          <cell r="S500" t="str">
            <v>6110</v>
          </cell>
        </row>
        <row r="501">
          <cell r="D501" t="str">
            <v>N- not in use</v>
          </cell>
          <cell r="E501" t="str">
            <v>PS- pump station</v>
          </cell>
          <cell r="F501" t="str">
            <v>SERVICE STATION</v>
          </cell>
          <cell r="H501" t="str">
            <v>P- private</v>
          </cell>
          <cell r="J501" t="str">
            <v>19931201</v>
          </cell>
          <cell r="K501" t="str">
            <v>115.916543628</v>
          </cell>
          <cell r="L501" t="str">
            <v>-32.0871204023</v>
          </cell>
          <cell r="M501" t="str">
            <v>H</v>
          </cell>
          <cell r="N501" t="str">
            <v>106</v>
          </cell>
          <cell r="O501" t="str">
            <v>RANFORD</v>
          </cell>
          <cell r="P501" t="str">
            <v>RD</v>
          </cell>
          <cell r="R501" t="str">
            <v>CANNING VALE</v>
          </cell>
          <cell r="S501" t="str">
            <v>6155</v>
          </cell>
        </row>
        <row r="502">
          <cell r="D502" t="str">
            <v>N- not in use</v>
          </cell>
          <cell r="E502" t="str">
            <v>PS- pump station</v>
          </cell>
          <cell r="F502" t="str">
            <v>KELMSCOTT</v>
          </cell>
          <cell r="G502" t="str">
            <v>1</v>
          </cell>
          <cell r="H502" t="str">
            <v>W- water corporation</v>
          </cell>
          <cell r="I502" t="str">
            <v>18198</v>
          </cell>
          <cell r="J502" t="str">
            <v>19700911</v>
          </cell>
          <cell r="K502" t="str">
            <v>116.013191772</v>
          </cell>
          <cell r="L502" t="str">
            <v>-32.131011748</v>
          </cell>
          <cell r="M502" t="str">
            <v>H</v>
          </cell>
          <cell r="N502" t="str">
            <v>11</v>
          </cell>
          <cell r="O502" t="str">
            <v>KEMBLA</v>
          </cell>
          <cell r="P502" t="str">
            <v>ST</v>
          </cell>
          <cell r="R502" t="str">
            <v>KELMSCOTT</v>
          </cell>
          <cell r="S502" t="str">
            <v>6111</v>
          </cell>
        </row>
        <row r="503">
          <cell r="D503" t="str">
            <v>A- actual</v>
          </cell>
          <cell r="E503" t="str">
            <v>unknown</v>
          </cell>
          <cell r="F503" t="str">
            <v>WEST ARMADALE HIGH SCHOOL</v>
          </cell>
          <cell r="H503" t="str">
            <v>P- private</v>
          </cell>
          <cell r="J503" t="str">
            <v>19790213</v>
          </cell>
          <cell r="K503" t="str">
            <v>115.993002002</v>
          </cell>
          <cell r="L503" t="str">
            <v>-32.141987486</v>
          </cell>
          <cell r="M503" t="str">
            <v>L</v>
          </cell>
          <cell r="N503" t="str">
            <v>3281</v>
          </cell>
          <cell r="O503" t="str">
            <v>SEVILLE</v>
          </cell>
          <cell r="P503" t="str">
            <v>DR</v>
          </cell>
          <cell r="R503" t="str">
            <v>SEVILLE GROVE</v>
          </cell>
          <cell r="S503" t="str">
            <v>6112</v>
          </cell>
        </row>
        <row r="504">
          <cell r="B504" t="str">
            <v>S0044774</v>
          </cell>
          <cell r="C504" t="str">
            <v>SPS SEAWIND DR SILVER SANDS</v>
          </cell>
          <cell r="D504" t="str">
            <v>A- actual</v>
          </cell>
          <cell r="E504" t="str">
            <v>PS- pump station</v>
          </cell>
          <cell r="F504" t="str">
            <v>SEAWIND DR</v>
          </cell>
          <cell r="G504" t="str">
            <v>6</v>
          </cell>
          <cell r="H504" t="str">
            <v>W- water corporation</v>
          </cell>
          <cell r="I504" t="str">
            <v>18491</v>
          </cell>
          <cell r="J504" t="str">
            <v>19771128</v>
          </cell>
          <cell r="K504" t="str">
            <v>115.73866879</v>
          </cell>
          <cell r="L504" t="str">
            <v>-32.5032096243</v>
          </cell>
          <cell r="M504" t="str">
            <v>L</v>
          </cell>
          <cell r="N504" t="str">
            <v>804</v>
          </cell>
          <cell r="O504" t="str">
            <v>SEAWIND</v>
          </cell>
          <cell r="P504" t="str">
            <v>DR</v>
          </cell>
          <cell r="R504" t="str">
            <v>SILVER SANDS</v>
          </cell>
          <cell r="S504" t="str">
            <v>6210</v>
          </cell>
        </row>
        <row r="505">
          <cell r="B505" t="str">
            <v>S0044751</v>
          </cell>
          <cell r="C505" t="str">
            <v>SPS OAKMONT AVE MEADOW SPRINGS</v>
          </cell>
          <cell r="D505" t="str">
            <v>A- actual</v>
          </cell>
          <cell r="E505" t="str">
            <v>PS- pump station</v>
          </cell>
          <cell r="F505" t="str">
            <v>OAKMONT AVE</v>
          </cell>
          <cell r="G505" t="str">
            <v>2</v>
          </cell>
          <cell r="H505" t="str">
            <v>W- water corporation</v>
          </cell>
          <cell r="I505" t="str">
            <v>22559</v>
          </cell>
          <cell r="J505" t="str">
            <v>19890928</v>
          </cell>
          <cell r="K505" t="str">
            <v>115.742272414</v>
          </cell>
          <cell r="L505" t="str">
            <v>-32.50555095</v>
          </cell>
          <cell r="M505" t="str">
            <v>H</v>
          </cell>
          <cell r="N505" t="str">
            <v>138</v>
          </cell>
          <cell r="O505" t="str">
            <v>OAKMONT</v>
          </cell>
          <cell r="P505" t="str">
            <v>AV</v>
          </cell>
          <cell r="R505" t="str">
            <v>MEADOW SPRINGS</v>
          </cell>
          <cell r="S505" t="str">
            <v>6210</v>
          </cell>
        </row>
        <row r="506">
          <cell r="B506" t="str">
            <v>S0030514</v>
          </cell>
          <cell r="C506" t="str">
            <v>SPS ENDEAVOUR DR PORT KENNEDY</v>
          </cell>
          <cell r="D506" t="str">
            <v>A- actual</v>
          </cell>
          <cell r="E506" t="str">
            <v>PS- pump station</v>
          </cell>
          <cell r="F506" t="str">
            <v>ENDEAVOUR DR INTERIM</v>
          </cell>
          <cell r="G506" t="str">
            <v>13</v>
          </cell>
          <cell r="H506" t="str">
            <v>W- water corporation</v>
          </cell>
          <cell r="I506" t="str">
            <v>40786</v>
          </cell>
          <cell r="J506" t="str">
            <v>19920101</v>
          </cell>
          <cell r="K506" t="str">
            <v>115.754932733</v>
          </cell>
          <cell r="L506" t="str">
            <v>-32.368703824</v>
          </cell>
          <cell r="M506" t="str">
            <v>L</v>
          </cell>
          <cell r="N506" t="str">
            <v>6</v>
          </cell>
          <cell r="O506" t="str">
            <v>WARNBRO SOUND</v>
          </cell>
          <cell r="P506" t="str">
            <v>AV</v>
          </cell>
          <cell r="R506" t="str">
            <v>PORT KENNEDY</v>
          </cell>
          <cell r="S506" t="str">
            <v>6172</v>
          </cell>
        </row>
        <row r="507">
          <cell r="B507" t="str">
            <v>S0030551</v>
          </cell>
          <cell r="C507" t="str">
            <v>SPS SECRET HARBOUR BVD SECRET HARBOUR</v>
          </cell>
          <cell r="D507" t="str">
            <v>A- actual</v>
          </cell>
          <cell r="E507" t="str">
            <v>PS- pump station</v>
          </cell>
          <cell r="F507" t="str">
            <v>SECRET HARBOUR BVD</v>
          </cell>
          <cell r="G507" t="str">
            <v>2</v>
          </cell>
          <cell r="H507" t="str">
            <v>W- water corporation</v>
          </cell>
          <cell r="I507" t="str">
            <v>51742</v>
          </cell>
          <cell r="J507" t="str">
            <v>19941005</v>
          </cell>
          <cell r="K507" t="str">
            <v>115.749513057</v>
          </cell>
          <cell r="L507" t="str">
            <v>-32.4026949</v>
          </cell>
          <cell r="M507" t="str">
            <v>H</v>
          </cell>
          <cell r="N507" t="str">
            <v>187</v>
          </cell>
          <cell r="O507" t="str">
            <v>SECRET HARBOUR</v>
          </cell>
          <cell r="P507" t="str">
            <v>BVD</v>
          </cell>
          <cell r="R507" t="str">
            <v>SECRET HARBOUR</v>
          </cell>
          <cell r="S507" t="str">
            <v>6173</v>
          </cell>
        </row>
        <row r="508">
          <cell r="B508" t="str">
            <v>S0044688</v>
          </cell>
          <cell r="C508" t="str">
            <v>SPS ACHERON RD SAN REMO</v>
          </cell>
          <cell r="D508" t="str">
            <v>A- actual</v>
          </cell>
          <cell r="E508" t="str">
            <v>PS- pump station</v>
          </cell>
          <cell r="F508" t="str">
            <v>ACHERON RD</v>
          </cell>
          <cell r="G508" t="str">
            <v>51</v>
          </cell>
          <cell r="H508" t="str">
            <v>W- water corporation</v>
          </cell>
          <cell r="I508" t="str">
            <v>42981</v>
          </cell>
          <cell r="J508" t="str">
            <v>19940923</v>
          </cell>
          <cell r="K508" t="str">
            <v>115.743052312</v>
          </cell>
          <cell r="L508" t="str">
            <v>-32.49005303</v>
          </cell>
          <cell r="M508" t="str">
            <v>L</v>
          </cell>
          <cell r="N508" t="str">
            <v>259</v>
          </cell>
          <cell r="O508" t="str">
            <v>ACHERON</v>
          </cell>
          <cell r="P508" t="str">
            <v>RD</v>
          </cell>
          <cell r="R508" t="str">
            <v>SAN REMO</v>
          </cell>
          <cell r="S508" t="str">
            <v>6210</v>
          </cell>
        </row>
        <row r="509">
          <cell r="B509" t="str">
            <v>S0030533</v>
          </cell>
          <cell r="C509" t="str">
            <v>SPS NAVIGATOR DR SINGLETON</v>
          </cell>
          <cell r="D509" t="str">
            <v>A- actual</v>
          </cell>
          <cell r="E509" t="str">
            <v>PS- pump station</v>
          </cell>
          <cell r="F509" t="str">
            <v>NAVIGATOR DR</v>
          </cell>
          <cell r="G509" t="str">
            <v>3</v>
          </cell>
          <cell r="H509" t="str">
            <v>W- water corporation</v>
          </cell>
          <cell r="I509" t="str">
            <v>52633</v>
          </cell>
          <cell r="J509" t="str">
            <v>19950614</v>
          </cell>
          <cell r="K509" t="str">
            <v>115.756746848</v>
          </cell>
          <cell r="L509" t="str">
            <v>-32.43913859</v>
          </cell>
          <cell r="M509" t="str">
            <v>H</v>
          </cell>
          <cell r="N509" t="str">
            <v>42</v>
          </cell>
          <cell r="O509" t="str">
            <v>NAVIGATOR</v>
          </cell>
          <cell r="P509" t="str">
            <v>DR</v>
          </cell>
          <cell r="R509" t="str">
            <v>SINGLETON</v>
          </cell>
          <cell r="S509" t="str">
            <v>6175</v>
          </cell>
        </row>
        <row r="510">
          <cell r="B510" t="str">
            <v>S0030528</v>
          </cell>
          <cell r="C510" t="str">
            <v>SPS NAPLES PL SECRET HARBOUR</v>
          </cell>
          <cell r="D510" t="str">
            <v>A- actual</v>
          </cell>
          <cell r="E510" t="str">
            <v>PS- pump station</v>
          </cell>
          <cell r="F510" t="str">
            <v>NAPLES PL</v>
          </cell>
          <cell r="G510" t="str">
            <v>1</v>
          </cell>
          <cell r="H510" t="str">
            <v>W- water corporation</v>
          </cell>
          <cell r="I510" t="str">
            <v>51496</v>
          </cell>
          <cell r="J510" t="str">
            <v>19941205</v>
          </cell>
          <cell r="K510" t="str">
            <v>115.759186172</v>
          </cell>
          <cell r="L510" t="str">
            <v>-32.400596198</v>
          </cell>
          <cell r="M510" t="str">
            <v>L</v>
          </cell>
          <cell r="N510" t="str">
            <v>179</v>
          </cell>
          <cell r="O510" t="str">
            <v>NAPLES</v>
          </cell>
          <cell r="P510" t="str">
            <v>PL</v>
          </cell>
          <cell r="R510" t="str">
            <v>SECRET HARBOUR</v>
          </cell>
          <cell r="S510" t="str">
            <v>6173</v>
          </cell>
        </row>
        <row r="511">
          <cell r="B511" t="str">
            <v>S0030561</v>
          </cell>
          <cell r="C511" t="str">
            <v>SPS SWANSON WY SECRET HARBOUR</v>
          </cell>
          <cell r="D511" t="str">
            <v>A- actual</v>
          </cell>
          <cell r="E511" t="str">
            <v>PS- pump station</v>
          </cell>
          <cell r="F511" t="str">
            <v>SWANSON WY</v>
          </cell>
          <cell r="G511" t="str">
            <v>4</v>
          </cell>
          <cell r="H511" t="str">
            <v>W- water corporation</v>
          </cell>
          <cell r="I511" t="str">
            <v>69966</v>
          </cell>
          <cell r="J511" t="str">
            <v>19960101</v>
          </cell>
          <cell r="K511" t="str">
            <v>115.767362317</v>
          </cell>
          <cell r="L511" t="str">
            <v>-32.407348148</v>
          </cell>
          <cell r="M511" t="str">
            <v>H</v>
          </cell>
          <cell r="N511" t="str">
            <v>13</v>
          </cell>
          <cell r="O511" t="str">
            <v>SWANSON</v>
          </cell>
          <cell r="P511" t="str">
            <v>WAY</v>
          </cell>
          <cell r="R511" t="str">
            <v>SECRET HARBOUR</v>
          </cell>
          <cell r="S511" t="str">
            <v>6173</v>
          </cell>
        </row>
        <row r="512">
          <cell r="B512" t="str">
            <v>S0030556</v>
          </cell>
          <cell r="C512" t="str">
            <v>SPS ST RAPHAEL CR PORT KENNEDY</v>
          </cell>
          <cell r="D512" t="str">
            <v>A- actual</v>
          </cell>
          <cell r="E512" t="str">
            <v>PS- pump station</v>
          </cell>
          <cell r="F512" t="str">
            <v>ST RAPHAEL CR</v>
          </cell>
          <cell r="G512" t="str">
            <v>4</v>
          </cell>
          <cell r="H512" t="str">
            <v>W- water corporation</v>
          </cell>
          <cell r="I512" t="str">
            <v>66657</v>
          </cell>
          <cell r="J512" t="str">
            <v>19961113</v>
          </cell>
          <cell r="K512" t="str">
            <v>115.752206784</v>
          </cell>
          <cell r="L512" t="str">
            <v>-32.359152273</v>
          </cell>
          <cell r="M512" t="str">
            <v>H</v>
          </cell>
          <cell r="N512" t="str">
            <v>39</v>
          </cell>
          <cell r="O512" t="str">
            <v>ST ETTIENE</v>
          </cell>
          <cell r="P512" t="str">
            <v>GDNS</v>
          </cell>
          <cell r="R512" t="str">
            <v>PORT KENNEDY</v>
          </cell>
          <cell r="S512" t="str">
            <v>6172</v>
          </cell>
        </row>
        <row r="513">
          <cell r="B513" t="str">
            <v>S0030313</v>
          </cell>
          <cell r="C513" t="str">
            <v>SPS SLOAN DR LEDA</v>
          </cell>
          <cell r="D513" t="str">
            <v>A- actual</v>
          </cell>
          <cell r="E513" t="str">
            <v>PS- pump station</v>
          </cell>
          <cell r="F513" t="str">
            <v>SLOAN DR</v>
          </cell>
          <cell r="G513" t="str">
            <v>7</v>
          </cell>
          <cell r="H513" t="str">
            <v>W- water corporation</v>
          </cell>
          <cell r="I513" t="str">
            <v>40451</v>
          </cell>
          <cell r="J513" t="str">
            <v>19901218</v>
          </cell>
          <cell r="K513" t="str">
            <v>115.803723708</v>
          </cell>
          <cell r="L513" t="str">
            <v>-32.25643876</v>
          </cell>
          <cell r="M513" t="str">
            <v>H</v>
          </cell>
          <cell r="N513" t="str">
            <v>3</v>
          </cell>
          <cell r="O513" t="str">
            <v>HARMAN</v>
          </cell>
          <cell r="P513" t="str">
            <v>ST</v>
          </cell>
          <cell r="R513" t="str">
            <v>LEDA</v>
          </cell>
          <cell r="S513" t="str">
            <v>6170</v>
          </cell>
        </row>
        <row r="514">
          <cell r="B514" t="str">
            <v>S0030294</v>
          </cell>
          <cell r="C514" t="str">
            <v>SPS ELMSLIE ST ORELIA</v>
          </cell>
          <cell r="D514" t="str">
            <v>A- actual</v>
          </cell>
          <cell r="E514" t="str">
            <v>PS- pump station</v>
          </cell>
          <cell r="F514" t="str">
            <v>ELMSLIE ST</v>
          </cell>
          <cell r="G514" t="str">
            <v>2</v>
          </cell>
          <cell r="H514" t="str">
            <v>W- water corporation</v>
          </cell>
          <cell r="I514" t="str">
            <v>18174</v>
          </cell>
          <cell r="J514" t="str">
            <v>19690101</v>
          </cell>
          <cell r="K514" t="str">
            <v>115.81090523</v>
          </cell>
          <cell r="L514" t="str">
            <v>-32.227776765</v>
          </cell>
          <cell r="M514" t="str">
            <v>H</v>
          </cell>
          <cell r="N514" t="str">
            <v>14</v>
          </cell>
          <cell r="O514" t="str">
            <v>ELMSLIE</v>
          </cell>
          <cell r="P514" t="str">
            <v>ST</v>
          </cell>
          <cell r="R514" t="str">
            <v>ORELIA</v>
          </cell>
          <cell r="S514" t="str">
            <v>6167</v>
          </cell>
        </row>
        <row r="515">
          <cell r="B515" t="str">
            <v>S0030301</v>
          </cell>
          <cell r="C515" t="str">
            <v>SPS MEARES AV KWINANA</v>
          </cell>
          <cell r="D515" t="str">
            <v>A- actual</v>
          </cell>
          <cell r="E515" t="str">
            <v>PS- pump station</v>
          </cell>
          <cell r="F515" t="str">
            <v>MEARES AV TEMP</v>
          </cell>
          <cell r="G515" t="str">
            <v>58</v>
          </cell>
          <cell r="H515" t="str">
            <v>W- water corporation</v>
          </cell>
          <cell r="I515" t="str">
            <v>18178</v>
          </cell>
          <cell r="J515" t="str">
            <v>19860312</v>
          </cell>
          <cell r="K515" t="str">
            <v>115.81677713</v>
          </cell>
          <cell r="L515" t="str">
            <v>-32.254548171</v>
          </cell>
          <cell r="M515" t="str">
            <v>H</v>
          </cell>
          <cell r="N515" t="str">
            <v>129</v>
          </cell>
          <cell r="O515" t="str">
            <v>MEARES</v>
          </cell>
          <cell r="P515" t="str">
            <v>AV</v>
          </cell>
          <cell r="R515" t="str">
            <v>PARMELIA</v>
          </cell>
          <cell r="S515" t="str">
            <v>6167</v>
          </cell>
        </row>
        <row r="516">
          <cell r="B516" t="str">
            <v>S0030257</v>
          </cell>
          <cell r="C516" t="str">
            <v>SPS BARRICK RD CALISTA</v>
          </cell>
          <cell r="D516" t="str">
            <v>A- actual</v>
          </cell>
          <cell r="E516" t="str">
            <v>PS- pump station</v>
          </cell>
          <cell r="F516" t="str">
            <v>BARRICK RD</v>
          </cell>
          <cell r="G516" t="str">
            <v>042-04</v>
          </cell>
          <cell r="H516" t="str">
            <v>W- water corporation</v>
          </cell>
          <cell r="I516" t="str">
            <v>18176</v>
          </cell>
          <cell r="J516" t="str">
            <v>19710101</v>
          </cell>
          <cell r="K516" t="str">
            <v>115.811817322</v>
          </cell>
          <cell r="L516" t="str">
            <v>-32.245724715</v>
          </cell>
          <cell r="M516" t="str">
            <v>H</v>
          </cell>
          <cell r="N516" t="str">
            <v>21</v>
          </cell>
          <cell r="O516" t="str">
            <v>BARRICK</v>
          </cell>
          <cell r="P516" t="str">
            <v>RD</v>
          </cell>
          <cell r="R516" t="str">
            <v>CALISTA</v>
          </cell>
          <cell r="S516" t="str">
            <v>6167</v>
          </cell>
        </row>
        <row r="517">
          <cell r="B517" t="str">
            <v>S0030271</v>
          </cell>
          <cell r="C517" t="str">
            <v>SPS BROUGHTON WY ORELIA</v>
          </cell>
          <cell r="D517" t="str">
            <v>A- actual</v>
          </cell>
          <cell r="E517" t="str">
            <v>PS- pump station</v>
          </cell>
          <cell r="F517" t="str">
            <v>BROUGHTON WY</v>
          </cell>
          <cell r="G517" t="str">
            <v>3</v>
          </cell>
          <cell r="H517" t="str">
            <v>W- water corporation</v>
          </cell>
          <cell r="I517" t="str">
            <v>18175</v>
          </cell>
          <cell r="J517" t="str">
            <v>19690726</v>
          </cell>
          <cell r="K517" t="str">
            <v>115.826355288</v>
          </cell>
          <cell r="L517" t="str">
            <v>-32.237228061</v>
          </cell>
          <cell r="M517" t="str">
            <v>H</v>
          </cell>
          <cell r="N517" t="str">
            <v>48</v>
          </cell>
          <cell r="O517" t="str">
            <v>HENNESSY</v>
          </cell>
          <cell r="P517" t="str">
            <v>AV</v>
          </cell>
          <cell r="R517" t="str">
            <v>ORELIA</v>
          </cell>
          <cell r="S517" t="str">
            <v>6167</v>
          </cell>
        </row>
        <row r="518">
          <cell r="B518" t="str">
            <v>S0030306</v>
          </cell>
          <cell r="C518" t="str">
            <v>SPS SANDFORD GR PARMELIA</v>
          </cell>
          <cell r="D518" t="str">
            <v>A- actual</v>
          </cell>
          <cell r="E518" t="str">
            <v>PS- pump station</v>
          </cell>
          <cell r="F518" t="str">
            <v>SANDFORD GR</v>
          </cell>
          <cell r="G518" t="str">
            <v>5</v>
          </cell>
          <cell r="H518" t="str">
            <v>W- water corporation</v>
          </cell>
          <cell r="I518" t="str">
            <v>18177</v>
          </cell>
          <cell r="J518" t="str">
            <v>19710812</v>
          </cell>
          <cell r="K518" t="str">
            <v>115.827394437</v>
          </cell>
          <cell r="L518" t="str">
            <v>-32.247390199</v>
          </cell>
          <cell r="M518" t="str">
            <v>H</v>
          </cell>
          <cell r="N518" t="str">
            <v>10</v>
          </cell>
          <cell r="O518" t="str">
            <v>SANDFORD</v>
          </cell>
          <cell r="P518" t="str">
            <v>GR</v>
          </cell>
          <cell r="R518" t="str">
            <v>PARMELIA</v>
          </cell>
          <cell r="S518" t="str">
            <v>6167</v>
          </cell>
        </row>
        <row r="519">
          <cell r="B519" t="str">
            <v>S0030278</v>
          </cell>
          <cell r="C519" t="str">
            <v>SPS CASUARINA PRISON CASUARINA</v>
          </cell>
          <cell r="D519" t="str">
            <v>A- actual</v>
          </cell>
          <cell r="E519" t="str">
            <v>PS- pump station</v>
          </cell>
          <cell r="F519" t="str">
            <v>CASUARINA PRISON</v>
          </cell>
          <cell r="H519" t="str">
            <v>P- private</v>
          </cell>
          <cell r="I519" t="str">
            <v>41184</v>
          </cell>
          <cell r="J519" t="str">
            <v>19900101</v>
          </cell>
          <cell r="K519" t="str">
            <v>115.876823517</v>
          </cell>
          <cell r="L519" t="str">
            <v>-32.237045058</v>
          </cell>
          <cell r="M519" t="str">
            <v>H</v>
          </cell>
          <cell r="N519" t="str">
            <v>124</v>
          </cell>
          <cell r="O519" t="str">
            <v>MARRI PARK</v>
          </cell>
          <cell r="P519" t="str">
            <v>DR</v>
          </cell>
          <cell r="R519" t="str">
            <v>CASUARINA</v>
          </cell>
          <cell r="S519" t="str">
            <v>6167</v>
          </cell>
        </row>
        <row r="520">
          <cell r="B520" t="str">
            <v>S0030455</v>
          </cell>
          <cell r="C520" t="str">
            <v>SPS PORTSMOUTH PL WAIKIKI</v>
          </cell>
          <cell r="D520" t="str">
            <v>A- actual</v>
          </cell>
          <cell r="E520" t="str">
            <v>PS- pump station</v>
          </cell>
          <cell r="F520" t="str">
            <v>PORTSMOUTH PL</v>
          </cell>
          <cell r="G520" t="str">
            <v>1</v>
          </cell>
          <cell r="H520" t="str">
            <v>W- water corporation</v>
          </cell>
          <cell r="I520" t="str">
            <v>18187</v>
          </cell>
          <cell r="J520" t="str">
            <v>19770501</v>
          </cell>
          <cell r="K520" t="str">
            <v>115.7467878</v>
          </cell>
          <cell r="L520" t="str">
            <v>-32.31675729</v>
          </cell>
          <cell r="M520" t="str">
            <v>L</v>
          </cell>
          <cell r="N520" t="str">
            <v>333</v>
          </cell>
          <cell r="O520" t="str">
            <v>PORTSMOUTH</v>
          </cell>
          <cell r="P520" t="str">
            <v>PL</v>
          </cell>
          <cell r="R520" t="str">
            <v>WAIKIKI</v>
          </cell>
          <cell r="S520" t="str">
            <v>6169</v>
          </cell>
        </row>
        <row r="521">
          <cell r="D521" t="str">
            <v>A- actual</v>
          </cell>
          <cell r="E521" t="str">
            <v>PS- pump station</v>
          </cell>
          <cell r="F521" t="str">
            <v>BAPTIST SCHOOL</v>
          </cell>
          <cell r="H521" t="str">
            <v>P- private</v>
          </cell>
          <cell r="J521" t="str">
            <v>19880517</v>
          </cell>
          <cell r="K521" t="str">
            <v>115.757504615</v>
          </cell>
          <cell r="L521" t="str">
            <v>-32.315359663</v>
          </cell>
          <cell r="M521" t="str">
            <v>H</v>
          </cell>
          <cell r="N521" t="str">
            <v>30</v>
          </cell>
          <cell r="O521" t="str">
            <v>GNANGARA</v>
          </cell>
          <cell r="P521" t="str">
            <v>DR</v>
          </cell>
          <cell r="R521" t="str">
            <v>WAIKIKI</v>
          </cell>
          <cell r="S521" t="str">
            <v>6169</v>
          </cell>
        </row>
        <row r="522">
          <cell r="D522" t="str">
            <v>A- actual</v>
          </cell>
          <cell r="E522" t="str">
            <v>PS- pump station</v>
          </cell>
          <cell r="F522" t="str">
            <v>LOT 5 TROPICANA WY</v>
          </cell>
          <cell r="H522" t="str">
            <v>P- private</v>
          </cell>
          <cell r="J522" t="str">
            <v>19750926</v>
          </cell>
          <cell r="K522" t="str">
            <v>115.734532311</v>
          </cell>
          <cell r="L522" t="str">
            <v>-32.30989906</v>
          </cell>
          <cell r="M522" t="str">
            <v>H</v>
          </cell>
          <cell r="N522" t="str">
            <v>19</v>
          </cell>
          <cell r="O522" t="str">
            <v>MALIBU</v>
          </cell>
          <cell r="P522" t="str">
            <v>RD</v>
          </cell>
          <cell r="R522" t="str">
            <v>SAFETY BAY</v>
          </cell>
          <cell r="S522" t="str">
            <v>6169</v>
          </cell>
        </row>
        <row r="523">
          <cell r="B523" t="str">
            <v>S0030412</v>
          </cell>
          <cell r="C523" t="str">
            <v>SPS DONALD DR SAFETY BAY</v>
          </cell>
          <cell r="D523" t="str">
            <v>A- actual</v>
          </cell>
          <cell r="E523" t="str">
            <v>PS- pump station</v>
          </cell>
          <cell r="F523" t="str">
            <v>DONALD DR</v>
          </cell>
          <cell r="G523" t="str">
            <v>6</v>
          </cell>
          <cell r="H523" t="str">
            <v>W- water corporation</v>
          </cell>
          <cell r="I523" t="str">
            <v>18184</v>
          </cell>
          <cell r="J523" t="str">
            <v>19741129</v>
          </cell>
          <cell r="K523" t="str">
            <v>115.72727012</v>
          </cell>
          <cell r="L523" t="str">
            <v>-32.306132985</v>
          </cell>
          <cell r="M523" t="str">
            <v>H</v>
          </cell>
          <cell r="N523" t="str">
            <v>21</v>
          </cell>
          <cell r="O523" t="str">
            <v>DONALD</v>
          </cell>
          <cell r="P523" t="str">
            <v>DR</v>
          </cell>
          <cell r="R523" t="str">
            <v>SAFETY BAY</v>
          </cell>
          <cell r="S523" t="str">
            <v>6169</v>
          </cell>
        </row>
        <row r="524">
          <cell r="D524" t="str">
            <v>N- not in use</v>
          </cell>
          <cell r="E524" t="str">
            <v>PS- pump station</v>
          </cell>
          <cell r="F524" t="str">
            <v>WARNBRO TEMPORARY</v>
          </cell>
          <cell r="H524" t="str">
            <v>W- water corporation</v>
          </cell>
          <cell r="I524" t="str">
            <v>40473</v>
          </cell>
          <cell r="J524" t="str">
            <v>19900101</v>
          </cell>
          <cell r="K524" t="str">
            <v>115.758452225</v>
          </cell>
          <cell r="L524" t="str">
            <v>-32.32634482</v>
          </cell>
          <cell r="M524" t="str">
            <v>H</v>
          </cell>
          <cell r="N524" t="str">
            <v>723</v>
          </cell>
          <cell r="O524" t="str">
            <v>SAFETY BAY</v>
          </cell>
          <cell r="P524" t="str">
            <v>RD</v>
          </cell>
          <cell r="R524" t="str">
            <v>WARNBRO</v>
          </cell>
          <cell r="S524" t="str">
            <v>6169</v>
          </cell>
        </row>
        <row r="525">
          <cell r="B525" t="str">
            <v>S0030426</v>
          </cell>
          <cell r="C525" t="str">
            <v>SPS GNANGARA DR WAIKIKI</v>
          </cell>
          <cell r="D525" t="str">
            <v>A- actual</v>
          </cell>
          <cell r="E525" t="str">
            <v>PS- pump station</v>
          </cell>
          <cell r="F525" t="str">
            <v>GNANGARA DR</v>
          </cell>
          <cell r="G525" t="str">
            <v>12</v>
          </cell>
          <cell r="H525" t="str">
            <v>W- water corporation</v>
          </cell>
          <cell r="I525" t="str">
            <v>40459</v>
          </cell>
          <cell r="J525" t="str">
            <v>19900101</v>
          </cell>
          <cell r="K525" t="str">
            <v>115.762964514</v>
          </cell>
          <cell r="L525" t="str">
            <v>-32.31126241</v>
          </cell>
          <cell r="M525" t="str">
            <v>H</v>
          </cell>
          <cell r="N525" t="str">
            <v>67</v>
          </cell>
          <cell r="O525" t="str">
            <v>GNANGARA</v>
          </cell>
          <cell r="P525" t="str">
            <v>DR</v>
          </cell>
          <cell r="R525" t="str">
            <v>WAIKIKI</v>
          </cell>
          <cell r="S525" t="str">
            <v>6169</v>
          </cell>
        </row>
        <row r="526">
          <cell r="B526" t="str">
            <v>S0030519</v>
          </cell>
          <cell r="C526" t="str">
            <v>SPS FENDAM ST WARNBRO</v>
          </cell>
          <cell r="D526" t="str">
            <v>A- actual</v>
          </cell>
          <cell r="E526" t="str">
            <v>PS- pump station</v>
          </cell>
          <cell r="F526" t="str">
            <v>FENDAM ST</v>
          </cell>
          <cell r="G526" t="str">
            <v>3</v>
          </cell>
          <cell r="H526" t="str">
            <v>W- water corporation</v>
          </cell>
          <cell r="I526" t="str">
            <v>51002</v>
          </cell>
          <cell r="J526" t="str">
            <v>19940812</v>
          </cell>
          <cell r="K526" t="str">
            <v>115.748570733</v>
          </cell>
          <cell r="L526" t="str">
            <v>-32.347179107</v>
          </cell>
          <cell r="M526" t="str">
            <v>H</v>
          </cell>
          <cell r="N526" t="str">
            <v>199</v>
          </cell>
          <cell r="O526" t="str">
            <v>FENDAM</v>
          </cell>
          <cell r="P526" t="str">
            <v>ST</v>
          </cell>
          <cell r="R526" t="str">
            <v>PORT KENNEDY</v>
          </cell>
          <cell r="S526" t="str">
            <v>6172</v>
          </cell>
        </row>
        <row r="527">
          <cell r="B527" t="str">
            <v>S0030344</v>
          </cell>
          <cell r="C527" t="str">
            <v>SPS EIGHTY RD NTH BALDIVIS</v>
          </cell>
          <cell r="D527" t="str">
            <v>A- actual</v>
          </cell>
          <cell r="E527" t="str">
            <v>PS- pump station</v>
          </cell>
          <cell r="F527" t="str">
            <v>EIGHTY RD NORTH</v>
          </cell>
          <cell r="G527" t="str">
            <v>1</v>
          </cell>
          <cell r="H527" t="str">
            <v>W- water corporation</v>
          </cell>
          <cell r="I527" t="str">
            <v>52811</v>
          </cell>
          <cell r="J527" t="str">
            <v>19950101</v>
          </cell>
          <cell r="K527" t="str">
            <v>115.803558542</v>
          </cell>
          <cell r="L527" t="str">
            <v>-32.330218598</v>
          </cell>
          <cell r="M527" t="str">
            <v>H</v>
          </cell>
          <cell r="N527" t="str">
            <v>35</v>
          </cell>
          <cell r="O527" t="str">
            <v>BRIDGEMAN</v>
          </cell>
          <cell r="P527" t="str">
            <v>WAY</v>
          </cell>
          <cell r="R527" t="str">
            <v>BALDIVIS</v>
          </cell>
          <cell r="S527" t="str">
            <v>6171</v>
          </cell>
        </row>
        <row r="528">
          <cell r="B528" t="str">
            <v>S0030479</v>
          </cell>
          <cell r="C528" t="str">
            <v>SPS SEABROOKE AV ROCKINGHAM</v>
          </cell>
          <cell r="D528" t="str">
            <v>A- actual</v>
          </cell>
          <cell r="E528" t="str">
            <v>PS- pump station</v>
          </cell>
          <cell r="F528" t="str">
            <v>SEABROOKE AV</v>
          </cell>
          <cell r="G528" t="str">
            <v>16</v>
          </cell>
          <cell r="H528" t="str">
            <v>W- water corporation</v>
          </cell>
          <cell r="I528" t="str">
            <v>18014</v>
          </cell>
          <cell r="J528" t="str">
            <v>19870619</v>
          </cell>
          <cell r="K528" t="str">
            <v>115.732664953</v>
          </cell>
          <cell r="L528" t="str">
            <v>-32.291935128</v>
          </cell>
          <cell r="M528" t="str">
            <v>H</v>
          </cell>
          <cell r="N528" t="str">
            <v>51</v>
          </cell>
          <cell r="O528" t="str">
            <v>SEABROOKE</v>
          </cell>
          <cell r="P528" t="str">
            <v>AV</v>
          </cell>
          <cell r="R528" t="str">
            <v>ROCKINGHAM</v>
          </cell>
          <cell r="S528" t="str">
            <v>6168</v>
          </cell>
        </row>
        <row r="529">
          <cell r="B529" t="str">
            <v>S0030419</v>
          </cell>
          <cell r="C529" t="str">
            <v>SPS ELANORA DR COOLOONGUP</v>
          </cell>
          <cell r="D529" t="str">
            <v>A- actual</v>
          </cell>
          <cell r="E529" t="str">
            <v>PS- pump station</v>
          </cell>
          <cell r="F529" t="str">
            <v>ELANORA DR</v>
          </cell>
          <cell r="G529" t="str">
            <v>063-05</v>
          </cell>
          <cell r="H529" t="str">
            <v>W- water corporation</v>
          </cell>
          <cell r="I529" t="str">
            <v>18183</v>
          </cell>
          <cell r="J529" t="str">
            <v>19770311</v>
          </cell>
          <cell r="K529" t="str">
            <v>115.766410055</v>
          </cell>
          <cell r="L529" t="str">
            <v>-32.292882066</v>
          </cell>
          <cell r="M529" t="str">
            <v>L</v>
          </cell>
          <cell r="N529" t="str">
            <v>4</v>
          </cell>
          <cell r="O529" t="str">
            <v>ELANORA</v>
          </cell>
          <cell r="P529" t="str">
            <v>DR</v>
          </cell>
          <cell r="R529" t="str">
            <v>COOLOONGUP</v>
          </cell>
          <cell r="S529" t="str">
            <v>6168</v>
          </cell>
        </row>
        <row r="530">
          <cell r="B530" t="str">
            <v>S0030405</v>
          </cell>
          <cell r="C530" t="str">
            <v>SPS COOMEL CL HILLMAN</v>
          </cell>
          <cell r="D530" t="str">
            <v>A- actual</v>
          </cell>
          <cell r="E530" t="str">
            <v>PS- pump station</v>
          </cell>
          <cell r="F530" t="str">
            <v>COOMEL CL</v>
          </cell>
          <cell r="G530" t="str">
            <v>2</v>
          </cell>
          <cell r="H530" t="str">
            <v>W- water corporation</v>
          </cell>
          <cell r="I530" t="str">
            <v>18180</v>
          </cell>
          <cell r="J530" t="str">
            <v>19700605</v>
          </cell>
          <cell r="K530" t="str">
            <v>115.766462845</v>
          </cell>
          <cell r="L530" t="str">
            <v>-32.281311158</v>
          </cell>
          <cell r="M530" t="str">
            <v>H</v>
          </cell>
          <cell r="N530" t="str">
            <v>16</v>
          </cell>
          <cell r="O530" t="str">
            <v>COOMEL</v>
          </cell>
          <cell r="P530" t="str">
            <v>CL</v>
          </cell>
          <cell r="R530" t="str">
            <v>HILLMAN</v>
          </cell>
          <cell r="S530" t="str">
            <v>6168</v>
          </cell>
        </row>
        <row r="531">
          <cell r="B531" t="str">
            <v>S0030448</v>
          </cell>
          <cell r="C531" t="str">
            <v>SPS NORRING ST COOLOONGUP</v>
          </cell>
          <cell r="D531" t="str">
            <v>A- actual</v>
          </cell>
          <cell r="E531" t="str">
            <v>PS- pump station</v>
          </cell>
          <cell r="F531" t="str">
            <v>NORRING ST</v>
          </cell>
          <cell r="G531" t="str">
            <v>7</v>
          </cell>
          <cell r="H531" t="str">
            <v>W- water corporation</v>
          </cell>
          <cell r="I531" t="str">
            <v>18185</v>
          </cell>
          <cell r="J531" t="str">
            <v>19771124</v>
          </cell>
          <cell r="K531" t="str">
            <v>115.750823496</v>
          </cell>
          <cell r="L531" t="str">
            <v>-32.304168241</v>
          </cell>
          <cell r="M531" t="str">
            <v>H</v>
          </cell>
          <cell r="N531" t="str">
            <v>3</v>
          </cell>
          <cell r="O531" t="str">
            <v>NORRING</v>
          </cell>
          <cell r="P531" t="str">
            <v>ST</v>
          </cell>
          <cell r="R531" t="str">
            <v>COOLOONGUP</v>
          </cell>
          <cell r="S531" t="str">
            <v>6168</v>
          </cell>
        </row>
        <row r="532">
          <cell r="B532" t="str">
            <v>S0030498</v>
          </cell>
          <cell r="C532" t="str">
            <v>SPS WENDO CT HILLMAN</v>
          </cell>
          <cell r="D532" t="str">
            <v>A- actual</v>
          </cell>
          <cell r="E532" t="str">
            <v>PS- pump station</v>
          </cell>
          <cell r="F532" t="str">
            <v>WENDO CT</v>
          </cell>
          <cell r="G532" t="str">
            <v>1</v>
          </cell>
          <cell r="H532" t="str">
            <v>W- water corporation</v>
          </cell>
          <cell r="I532" t="str">
            <v>18179</v>
          </cell>
          <cell r="J532" t="str">
            <v>19700605</v>
          </cell>
          <cell r="K532" t="str">
            <v>115.761461879</v>
          </cell>
          <cell r="L532" t="str">
            <v>-32.284100535</v>
          </cell>
          <cell r="M532" t="str">
            <v>H</v>
          </cell>
          <cell r="N532" t="str">
            <v>16</v>
          </cell>
          <cell r="O532" t="str">
            <v>WENDO</v>
          </cell>
          <cell r="P532" t="str">
            <v>CT</v>
          </cell>
          <cell r="R532" t="str">
            <v>HILLMAN</v>
          </cell>
          <cell r="S532" t="str">
            <v>6168</v>
          </cell>
        </row>
        <row r="533">
          <cell r="B533" t="str">
            <v>S0030431</v>
          </cell>
          <cell r="C533" t="str">
            <v>SPS HAWKINS ST ROCKINGHAM</v>
          </cell>
          <cell r="D533" t="str">
            <v>A- actual</v>
          </cell>
          <cell r="E533" t="str">
            <v>PS- pump station</v>
          </cell>
          <cell r="F533" t="str">
            <v>HAWKINS ST</v>
          </cell>
          <cell r="G533" t="str">
            <v>3</v>
          </cell>
          <cell r="H533" t="str">
            <v>W- water corporation</v>
          </cell>
          <cell r="I533" t="str">
            <v>18181</v>
          </cell>
          <cell r="J533" t="str">
            <v>19720726</v>
          </cell>
          <cell r="K533" t="str">
            <v>115.752468865</v>
          </cell>
          <cell r="L533" t="str">
            <v>-32.284949449</v>
          </cell>
          <cell r="M533" t="str">
            <v>L</v>
          </cell>
          <cell r="N533" t="str">
            <v>55</v>
          </cell>
          <cell r="O533" t="str">
            <v>HAWKINS</v>
          </cell>
          <cell r="P533" t="str">
            <v>ST</v>
          </cell>
          <cell r="R533" t="str">
            <v>ROCKINGHAM</v>
          </cell>
          <cell r="S533" t="str">
            <v>6168</v>
          </cell>
        </row>
        <row r="534">
          <cell r="B534" t="str">
            <v>S0030491</v>
          </cell>
          <cell r="C534" t="str">
            <v>SPS WANLISS ST ROCKINGHAM</v>
          </cell>
          <cell r="D534" t="str">
            <v>A- actual</v>
          </cell>
          <cell r="E534" t="str">
            <v>PS- pump station</v>
          </cell>
          <cell r="F534" t="str">
            <v>WANLISS ST</v>
          </cell>
          <cell r="G534" t="str">
            <v>4</v>
          </cell>
          <cell r="H534" t="str">
            <v>W- water corporation</v>
          </cell>
          <cell r="I534" t="str">
            <v>18182</v>
          </cell>
          <cell r="J534" t="str">
            <v>19760406</v>
          </cell>
          <cell r="K534" t="str">
            <v>115.735115841</v>
          </cell>
          <cell r="L534" t="str">
            <v>-32.274024328</v>
          </cell>
          <cell r="M534" t="str">
            <v>L</v>
          </cell>
          <cell r="N534" t="str">
            <v>1516</v>
          </cell>
          <cell r="O534" t="str">
            <v>KENT</v>
          </cell>
          <cell r="P534" t="str">
            <v>ST</v>
          </cell>
          <cell r="R534" t="str">
            <v>ROCKINGHAM</v>
          </cell>
          <cell r="S534" t="str">
            <v>6168</v>
          </cell>
        </row>
        <row r="535">
          <cell r="B535" t="str">
            <v>S0030438</v>
          </cell>
          <cell r="C535" t="str">
            <v>SPS KYBRA MEWS ROCKINGHAM</v>
          </cell>
          <cell r="D535" t="str">
            <v>A- actual</v>
          </cell>
          <cell r="E535" t="str">
            <v>PS- pump station</v>
          </cell>
          <cell r="F535" t="str">
            <v>KYBRA MEWS</v>
          </cell>
          <cell r="G535" t="str">
            <v>10</v>
          </cell>
          <cell r="H535" t="str">
            <v>W- water corporation</v>
          </cell>
          <cell r="I535" t="str">
            <v>40457</v>
          </cell>
          <cell r="J535" t="str">
            <v>19900826</v>
          </cell>
          <cell r="K535" t="str">
            <v>115.742437876</v>
          </cell>
          <cell r="L535" t="str">
            <v>-32.281665508</v>
          </cell>
          <cell r="M535" t="str">
            <v>H</v>
          </cell>
          <cell r="N535" t="str">
            <v>17</v>
          </cell>
          <cell r="O535" t="str">
            <v>KYBRA</v>
          </cell>
          <cell r="P535" t="str">
            <v>MEWS</v>
          </cell>
          <cell r="R535" t="str">
            <v>ROCKINGHAM</v>
          </cell>
          <cell r="S535" t="str">
            <v>6168</v>
          </cell>
        </row>
        <row r="536">
          <cell r="B536" t="str">
            <v>S0044760</v>
          </cell>
          <cell r="C536" t="str">
            <v>SPS QUARRY WY GREENFIELDS</v>
          </cell>
          <cell r="D536" t="str">
            <v>A- actual</v>
          </cell>
          <cell r="E536" t="str">
            <v>TPS- temporary pump station</v>
          </cell>
          <cell r="F536" t="str">
            <v>QUARRY WY</v>
          </cell>
          <cell r="H536" t="str">
            <v>W- water corporation</v>
          </cell>
          <cell r="J536" t="str">
            <v>19910322</v>
          </cell>
          <cell r="K536" t="str">
            <v>115.754020606</v>
          </cell>
          <cell r="L536" t="str">
            <v>-32.51429761</v>
          </cell>
          <cell r="M536" t="str">
            <v>H</v>
          </cell>
          <cell r="N536" t="str">
            <v>26</v>
          </cell>
          <cell r="O536" t="str">
            <v>QUARRY</v>
          </cell>
          <cell r="P536" t="str">
            <v>WAY</v>
          </cell>
          <cell r="R536" t="str">
            <v>GREENFIELDS</v>
          </cell>
          <cell r="S536" t="str">
            <v>6210</v>
          </cell>
        </row>
        <row r="537">
          <cell r="B537" t="str">
            <v>S0044791</v>
          </cell>
          <cell r="C537" t="str">
            <v>SPS THOMSON ST MANDURAH</v>
          </cell>
          <cell r="D537" t="str">
            <v>A- actual</v>
          </cell>
          <cell r="E537" t="str">
            <v>PS- pump station</v>
          </cell>
          <cell r="F537" t="str">
            <v>THOMSON ST</v>
          </cell>
          <cell r="G537" t="str">
            <v>5</v>
          </cell>
          <cell r="H537" t="str">
            <v>W- water corporation</v>
          </cell>
          <cell r="I537" t="str">
            <v>18490</v>
          </cell>
          <cell r="J537" t="str">
            <v>19770101</v>
          </cell>
          <cell r="K537" t="str">
            <v>115.742574929</v>
          </cell>
          <cell r="L537" t="str">
            <v>-32.5292052638</v>
          </cell>
          <cell r="M537" t="str">
            <v>H</v>
          </cell>
          <cell r="N537" t="str">
            <v>54</v>
          </cell>
          <cell r="O537" t="str">
            <v>THOMSON</v>
          </cell>
          <cell r="P537" t="str">
            <v>ST</v>
          </cell>
          <cell r="R537" t="str">
            <v>MANDURAH</v>
          </cell>
          <cell r="S537" t="str">
            <v>6210</v>
          </cell>
        </row>
        <row r="538">
          <cell r="B538" t="str">
            <v>S0044763</v>
          </cell>
          <cell r="C538" t="str">
            <v>SPS ROCKFORD ST MANDURAH</v>
          </cell>
          <cell r="D538" t="str">
            <v>A- actual</v>
          </cell>
          <cell r="E538" t="str">
            <v>PS- pump station</v>
          </cell>
          <cell r="F538" t="str">
            <v>ROCKFORD RD</v>
          </cell>
          <cell r="G538" t="str">
            <v>3</v>
          </cell>
          <cell r="H538" t="str">
            <v>W- water corporation</v>
          </cell>
          <cell r="I538" t="str">
            <v>18488</v>
          </cell>
          <cell r="J538" t="str">
            <v>19771222</v>
          </cell>
          <cell r="K538" t="str">
            <v>115.72909146</v>
          </cell>
          <cell r="L538" t="str">
            <v>-32.524703308</v>
          </cell>
          <cell r="M538" t="str">
            <v>H</v>
          </cell>
          <cell r="N538" t="str">
            <v>35</v>
          </cell>
          <cell r="O538" t="str">
            <v>ROCKFORD</v>
          </cell>
          <cell r="P538" t="str">
            <v>ST</v>
          </cell>
          <cell r="R538" t="str">
            <v>MANDURAH</v>
          </cell>
          <cell r="S538" t="str">
            <v>6210</v>
          </cell>
        </row>
        <row r="539">
          <cell r="B539" t="str">
            <v>S0044714</v>
          </cell>
          <cell r="C539" t="str">
            <v>SPS GIBLA ST MANDURAH</v>
          </cell>
          <cell r="D539" t="str">
            <v>A- actual</v>
          </cell>
          <cell r="E539" t="str">
            <v>PS- pump station</v>
          </cell>
          <cell r="F539" t="str">
            <v>GIBLA ST</v>
          </cell>
          <cell r="G539" t="str">
            <v>11</v>
          </cell>
          <cell r="H539" t="str">
            <v>W- water corporation</v>
          </cell>
          <cell r="I539" t="str">
            <v>18493</v>
          </cell>
          <cell r="J539" t="str">
            <v>19790101</v>
          </cell>
          <cell r="K539" t="str">
            <v>115.73730056</v>
          </cell>
          <cell r="L539" t="str">
            <v>-32.516949104</v>
          </cell>
          <cell r="M539" t="str">
            <v>H</v>
          </cell>
          <cell r="N539" t="str">
            <v>40</v>
          </cell>
          <cell r="O539" t="str">
            <v>GIBLA</v>
          </cell>
          <cell r="P539" t="str">
            <v>ST</v>
          </cell>
          <cell r="R539" t="str">
            <v>MANDURAH</v>
          </cell>
          <cell r="S539" t="str">
            <v>6210</v>
          </cell>
        </row>
        <row r="540">
          <cell r="D540" t="str">
            <v>N- not in use</v>
          </cell>
          <cell r="E540" t="str">
            <v>PS- pump station</v>
          </cell>
          <cell r="F540" t="str">
            <v>QUINNS TEMPORARY</v>
          </cell>
          <cell r="H540" t="str">
            <v>W- water corporation</v>
          </cell>
          <cell r="I540" t="str">
            <v>32862</v>
          </cell>
          <cell r="J540" t="str">
            <v>18000101</v>
          </cell>
          <cell r="K540" t="str">
            <v>115.707655999</v>
          </cell>
          <cell r="L540" t="str">
            <v>-31.6688417178</v>
          </cell>
          <cell r="M540" t="str">
            <v>H</v>
          </cell>
          <cell r="N540" t="str">
            <v>46</v>
          </cell>
          <cell r="O540" t="str">
            <v>LITTLEHAM</v>
          </cell>
          <cell r="P540" t="str">
            <v>LOOP</v>
          </cell>
          <cell r="R540" t="str">
            <v>QUINNS ROCKS</v>
          </cell>
          <cell r="S540" t="str">
            <v>6030</v>
          </cell>
        </row>
        <row r="541">
          <cell r="B541" t="str">
            <v>S0029141</v>
          </cell>
          <cell r="C541" t="str">
            <v>SPS STRADBROKE GDNS RIDGEWOOD</v>
          </cell>
          <cell r="D541" t="str">
            <v>A- actual</v>
          </cell>
          <cell r="E541" t="str">
            <v>PS- pump station</v>
          </cell>
          <cell r="F541" t="str">
            <v>STRADBROKE GDNS</v>
          </cell>
          <cell r="G541" t="str">
            <v>3</v>
          </cell>
          <cell r="H541" t="str">
            <v>W- water corporation</v>
          </cell>
          <cell r="I541" t="str">
            <v>32513</v>
          </cell>
          <cell r="J541" t="str">
            <v>19900101</v>
          </cell>
          <cell r="K541" t="str">
            <v>115.723235334</v>
          </cell>
          <cell r="L541" t="str">
            <v>-31.67031616</v>
          </cell>
          <cell r="M541" t="str">
            <v>H</v>
          </cell>
          <cell r="N541" t="str">
            <v>27</v>
          </cell>
          <cell r="O541" t="str">
            <v>STRADBROKE</v>
          </cell>
          <cell r="P541" t="str">
            <v>GDNS</v>
          </cell>
          <cell r="R541" t="str">
            <v>RIDGEWOOD</v>
          </cell>
          <cell r="S541" t="str">
            <v>6030</v>
          </cell>
        </row>
        <row r="542">
          <cell r="B542" t="str">
            <v>S0030326</v>
          </cell>
          <cell r="C542" t="str">
            <v>SPS JORDAN ST TWO ROCKS</v>
          </cell>
          <cell r="D542" t="str">
            <v>A- actual</v>
          </cell>
          <cell r="E542" t="str">
            <v>TPS- temporary pump station</v>
          </cell>
          <cell r="F542" t="str">
            <v>JORDAN ST</v>
          </cell>
          <cell r="H542" t="str">
            <v>W- water corporation</v>
          </cell>
          <cell r="I542" t="str">
            <v>17861</v>
          </cell>
          <cell r="J542" t="str">
            <v>19810803</v>
          </cell>
          <cell r="K542" t="str">
            <v>115.584449868</v>
          </cell>
          <cell r="L542" t="str">
            <v>-31.496589415</v>
          </cell>
          <cell r="M542" t="str">
            <v>H</v>
          </cell>
          <cell r="N542" t="str">
            <v>10</v>
          </cell>
          <cell r="O542" t="str">
            <v>ENTERPRISE</v>
          </cell>
          <cell r="P542" t="str">
            <v>AV</v>
          </cell>
          <cell r="R542" t="str">
            <v>TWO ROCKS</v>
          </cell>
          <cell r="S542" t="str">
            <v>6037</v>
          </cell>
        </row>
        <row r="543">
          <cell r="B543" t="str">
            <v>S0030331</v>
          </cell>
          <cell r="C543" t="str">
            <v>SPS ST ANDREWS DR YANCHEP</v>
          </cell>
          <cell r="D543" t="str">
            <v>A- actual</v>
          </cell>
          <cell r="E543" t="str">
            <v>PS- pump station</v>
          </cell>
          <cell r="F543" t="str">
            <v>ST ANDREWS DR</v>
          </cell>
          <cell r="G543" t="str">
            <v>1</v>
          </cell>
          <cell r="H543" t="str">
            <v>W- water corporation</v>
          </cell>
          <cell r="I543" t="str">
            <v>17859</v>
          </cell>
          <cell r="J543" t="str">
            <v>19750101</v>
          </cell>
          <cell r="K543" t="str">
            <v>115.651615688</v>
          </cell>
          <cell r="L543" t="str">
            <v>-31.540987904</v>
          </cell>
          <cell r="M543" t="str">
            <v>H</v>
          </cell>
          <cell r="N543" t="str">
            <v>78</v>
          </cell>
          <cell r="O543" t="str">
            <v>ST ANDREWS</v>
          </cell>
          <cell r="P543" t="str">
            <v>DR</v>
          </cell>
          <cell r="R543" t="str">
            <v>YANCHEP</v>
          </cell>
          <cell r="S543" t="str">
            <v>6035</v>
          </cell>
        </row>
        <row r="544">
          <cell r="D544" t="str">
            <v>D- dead</v>
          </cell>
          <cell r="E544" t="str">
            <v>PS- pump station</v>
          </cell>
          <cell r="F544" t="str">
            <v>WELWYN AV TEMP</v>
          </cell>
          <cell r="H544" t="str">
            <v>W- water corporation</v>
          </cell>
          <cell r="I544" t="str">
            <v>17860</v>
          </cell>
          <cell r="J544" t="str">
            <v>19800701</v>
          </cell>
          <cell r="K544" t="str">
            <v>115.642106148</v>
          </cell>
          <cell r="L544" t="str">
            <v>-31.545631673</v>
          </cell>
          <cell r="M544" t="str">
            <v>H</v>
          </cell>
          <cell r="N544" t="str">
            <v>2</v>
          </cell>
          <cell r="O544" t="str">
            <v>STEVENAGE</v>
          </cell>
          <cell r="P544" t="str">
            <v>ST</v>
          </cell>
          <cell r="R544" t="str">
            <v>YANCHEP</v>
          </cell>
          <cell r="S544" t="str">
            <v>6035</v>
          </cell>
        </row>
        <row r="545">
          <cell r="B545" t="str">
            <v>S0029100</v>
          </cell>
          <cell r="C545" t="str">
            <v>SPS BALTIMORE PDE MERRIWA</v>
          </cell>
          <cell r="D545" t="str">
            <v>A- actual</v>
          </cell>
          <cell r="E545" t="str">
            <v>PS- pump station</v>
          </cell>
          <cell r="F545" t="str">
            <v>BALTIMORE PDE</v>
          </cell>
          <cell r="G545" t="str">
            <v>060-01</v>
          </cell>
          <cell r="H545" t="str">
            <v>W- water corporation</v>
          </cell>
          <cell r="I545" t="str">
            <v>32358</v>
          </cell>
          <cell r="J545" t="str">
            <v>19920101</v>
          </cell>
          <cell r="K545" t="str">
            <v>115.71423707</v>
          </cell>
          <cell r="L545" t="str">
            <v>-31.66102313</v>
          </cell>
          <cell r="M545" t="str">
            <v>H</v>
          </cell>
          <cell r="N545" t="str">
            <v>163</v>
          </cell>
          <cell r="O545" t="str">
            <v>BALTIMORE</v>
          </cell>
          <cell r="P545" t="str">
            <v>PDE</v>
          </cell>
          <cell r="R545" t="str">
            <v>MERRIWA</v>
          </cell>
          <cell r="S545" t="str">
            <v>6030</v>
          </cell>
        </row>
        <row r="546">
          <cell r="B546" t="str">
            <v>S0030250</v>
          </cell>
          <cell r="C546" t="str">
            <v>SPS NORTH AV BULLSBROOK</v>
          </cell>
          <cell r="D546" t="str">
            <v>A- actual</v>
          </cell>
          <cell r="E546" t="str">
            <v>PS- pump station</v>
          </cell>
          <cell r="F546" t="str">
            <v>NORTH AV</v>
          </cell>
          <cell r="G546" t="str">
            <v>1</v>
          </cell>
          <cell r="H546" t="str">
            <v>W- water corporation</v>
          </cell>
          <cell r="I546" t="str">
            <v>32853</v>
          </cell>
          <cell r="J546" t="str">
            <v>19941101</v>
          </cell>
          <cell r="K546" t="str">
            <v>116.025710014</v>
          </cell>
          <cell r="L546" t="str">
            <v>-31.661413667</v>
          </cell>
          <cell r="M546" t="str">
            <v>L</v>
          </cell>
          <cell r="N546" t="str">
            <v>200</v>
          </cell>
          <cell r="O546" t="str">
            <v>NORTH</v>
          </cell>
          <cell r="P546" t="str">
            <v>AV</v>
          </cell>
          <cell r="R546" t="str">
            <v>BULLSBROOK</v>
          </cell>
          <cell r="S546" t="str">
            <v>6084</v>
          </cell>
        </row>
        <row r="547">
          <cell r="B547" t="str">
            <v>S0030246</v>
          </cell>
          <cell r="C547" t="str">
            <v>SPS GT NORTHERN HWY BULLSBROOK</v>
          </cell>
          <cell r="D547" t="str">
            <v>A- actual</v>
          </cell>
          <cell r="E547" t="str">
            <v>PS- pump station</v>
          </cell>
          <cell r="F547" t="str">
            <v>GT NORTHERN HWY BULLSBROOK</v>
          </cell>
          <cell r="G547" t="str">
            <v>2</v>
          </cell>
          <cell r="H547" t="str">
            <v>W- water corporation</v>
          </cell>
          <cell r="I547" t="str">
            <v>32850</v>
          </cell>
          <cell r="J547" t="str">
            <v>19910101</v>
          </cell>
          <cell r="K547" t="str">
            <v>116.031723745</v>
          </cell>
          <cell r="L547" t="str">
            <v>-31.672794961</v>
          </cell>
          <cell r="M547" t="str">
            <v>L</v>
          </cell>
          <cell r="N547" t="str">
            <v>20</v>
          </cell>
          <cell r="O547" t="str">
            <v>GREAT NORTHERN</v>
          </cell>
          <cell r="P547" t="str">
            <v>HWY</v>
          </cell>
          <cell r="R547" t="str">
            <v>BULLSBROOK</v>
          </cell>
          <cell r="S547" t="str">
            <v>6084</v>
          </cell>
        </row>
        <row r="548">
          <cell r="B548" t="str">
            <v>S0029114</v>
          </cell>
          <cell r="C548" t="str">
            <v>SPS CHRISTIAN CIR QUINNS ROCKS</v>
          </cell>
          <cell r="D548" t="str">
            <v>A- actual</v>
          </cell>
          <cell r="E548" t="str">
            <v>PS- pump station</v>
          </cell>
          <cell r="F548" t="str">
            <v>CHRISTIAN CIR</v>
          </cell>
          <cell r="G548" t="str">
            <v>060-02</v>
          </cell>
          <cell r="H548" t="str">
            <v>W- water corporation</v>
          </cell>
          <cell r="I548" t="str">
            <v>51226</v>
          </cell>
          <cell r="J548" t="str">
            <v>19960701</v>
          </cell>
          <cell r="K548" t="str">
            <v>115.698634285</v>
          </cell>
          <cell r="L548" t="str">
            <v>-31.658592108</v>
          </cell>
          <cell r="M548" t="str">
            <v>H</v>
          </cell>
          <cell r="N548" t="str">
            <v>86</v>
          </cell>
          <cell r="O548" t="str">
            <v>CHRISTIAN</v>
          </cell>
          <cell r="P548" t="str">
            <v>CIR</v>
          </cell>
          <cell r="R548" t="str">
            <v>QUINNS ROCKS</v>
          </cell>
          <cell r="S548" t="str">
            <v>6030</v>
          </cell>
        </row>
        <row r="549">
          <cell r="B549" t="str">
            <v>S0030323</v>
          </cell>
          <cell r="C549" t="str">
            <v>SPS FORESHORE VSTA YANCHEP</v>
          </cell>
          <cell r="D549" t="str">
            <v>A- actual</v>
          </cell>
          <cell r="E549" t="str">
            <v>PS- pump station</v>
          </cell>
          <cell r="F549" t="str">
            <v>FORESHORE VSTA</v>
          </cell>
          <cell r="G549" t="str">
            <v>2</v>
          </cell>
          <cell r="H549" t="str">
            <v>W- water corporation</v>
          </cell>
          <cell r="I549" t="str">
            <v>65911</v>
          </cell>
          <cell r="J549" t="str">
            <v>19960925</v>
          </cell>
          <cell r="K549" t="str">
            <v>115.63595472</v>
          </cell>
          <cell r="L549" t="str">
            <v>-31.562869224</v>
          </cell>
          <cell r="M549" t="str">
            <v>H</v>
          </cell>
          <cell r="N549" t="str">
            <v>47</v>
          </cell>
          <cell r="O549" t="str">
            <v>FORESHORE</v>
          </cell>
          <cell r="P549" t="str">
            <v>VSTA</v>
          </cell>
          <cell r="R549" t="str">
            <v>YANCHEP</v>
          </cell>
          <cell r="S549" t="str">
            <v>6035</v>
          </cell>
        </row>
        <row r="550">
          <cell r="B550" t="str">
            <v>S0027273</v>
          </cell>
          <cell r="C550" t="str">
            <v>SPS DUNSCORE WY KINROSS</v>
          </cell>
          <cell r="D550" t="str">
            <v>A- actual</v>
          </cell>
          <cell r="E550" t="str">
            <v>PS- pump station</v>
          </cell>
          <cell r="F550" t="str">
            <v>DUNSCORE WY</v>
          </cell>
          <cell r="G550" t="str">
            <v>3</v>
          </cell>
          <cell r="H550" t="str">
            <v>W- water corporation</v>
          </cell>
          <cell r="I550" t="str">
            <v>32747</v>
          </cell>
          <cell r="J550" t="str">
            <v>19920211</v>
          </cell>
          <cell r="K550" t="str">
            <v>115.7404778</v>
          </cell>
          <cell r="L550" t="str">
            <v>-31.7252359786</v>
          </cell>
          <cell r="M550" t="str">
            <v>H</v>
          </cell>
          <cell r="N550" t="str">
            <v>10</v>
          </cell>
          <cell r="O550" t="str">
            <v>DUNSCORE</v>
          </cell>
          <cell r="P550" t="str">
            <v>WAY</v>
          </cell>
          <cell r="R550" t="str">
            <v>KINROSS</v>
          </cell>
          <cell r="S550" t="str">
            <v>6028</v>
          </cell>
        </row>
        <row r="551">
          <cell r="D551" t="str">
            <v>N- not in use</v>
          </cell>
          <cell r="E551" t="str">
            <v>PS- pump station</v>
          </cell>
          <cell r="F551" t="str">
            <v>WANNEROO</v>
          </cell>
          <cell r="G551" t="str">
            <v>2</v>
          </cell>
          <cell r="H551" t="str">
            <v>W- water corporation</v>
          </cell>
          <cell r="I551" t="str">
            <v>17839</v>
          </cell>
          <cell r="J551" t="str">
            <v>19751120</v>
          </cell>
          <cell r="K551" t="str">
            <v>115.791374173</v>
          </cell>
          <cell r="L551" t="str">
            <v>-31.740085831</v>
          </cell>
          <cell r="M551" t="str">
            <v>H</v>
          </cell>
          <cell r="N551" t="str">
            <v>25</v>
          </cell>
          <cell r="O551" t="str">
            <v>BANYANDAH</v>
          </cell>
          <cell r="P551" t="str">
            <v>BVD</v>
          </cell>
          <cell r="R551" t="str">
            <v>WANNEROO</v>
          </cell>
          <cell r="S551" t="str">
            <v>6065</v>
          </cell>
        </row>
        <row r="552">
          <cell r="D552" t="str">
            <v>A- actual</v>
          </cell>
          <cell r="E552" t="str">
            <v>PS- pump station</v>
          </cell>
          <cell r="F552" t="str">
            <v>SECWA SUB STATION</v>
          </cell>
          <cell r="H552" t="str">
            <v>P- private</v>
          </cell>
          <cell r="J552" t="str">
            <v>19940520</v>
          </cell>
          <cell r="K552" t="str">
            <v>115.758671806</v>
          </cell>
          <cell r="L552" t="str">
            <v>-31.738517824</v>
          </cell>
          <cell r="M552" t="str">
            <v>L</v>
          </cell>
          <cell r="N552" t="str">
            <v>2</v>
          </cell>
          <cell r="O552" t="str">
            <v>SHENTON</v>
          </cell>
          <cell r="P552" t="str">
            <v>AV</v>
          </cell>
          <cell r="R552" t="str">
            <v>JOONDALUP</v>
          </cell>
          <cell r="S552" t="str">
            <v>6027</v>
          </cell>
        </row>
        <row r="553">
          <cell r="D553" t="str">
            <v>A- actual</v>
          </cell>
          <cell r="E553" t="str">
            <v>PS- pump station</v>
          </cell>
          <cell r="F553" t="str">
            <v>LOT 137 BELGRADE RD</v>
          </cell>
          <cell r="H553" t="str">
            <v>P- private</v>
          </cell>
          <cell r="J553" t="str">
            <v>19740604</v>
          </cell>
          <cell r="K553" t="str">
            <v>115.816266315</v>
          </cell>
          <cell r="L553" t="str">
            <v>-31.750841166</v>
          </cell>
          <cell r="M553" t="str">
            <v>H</v>
          </cell>
          <cell r="N553" t="str">
            <v>55</v>
          </cell>
          <cell r="O553" t="str">
            <v>BELGRADE</v>
          </cell>
          <cell r="P553" t="str">
            <v>RD</v>
          </cell>
          <cell r="R553" t="str">
            <v>WANNEROO</v>
          </cell>
          <cell r="S553" t="str">
            <v>6065</v>
          </cell>
        </row>
        <row r="554">
          <cell r="B554" t="str">
            <v>S0029333</v>
          </cell>
          <cell r="C554" t="str">
            <v>SPS ARITI AV WANNEROO</v>
          </cell>
          <cell r="D554" t="str">
            <v>A- actual</v>
          </cell>
          <cell r="E554" t="str">
            <v>PS- pump station</v>
          </cell>
          <cell r="F554" t="str">
            <v>ARITI AV</v>
          </cell>
          <cell r="G554" t="str">
            <v>071-01</v>
          </cell>
          <cell r="H554" t="str">
            <v>W- water corporation</v>
          </cell>
          <cell r="I554" t="str">
            <v>17838</v>
          </cell>
          <cell r="J554" t="str">
            <v>19750101</v>
          </cell>
          <cell r="K554" t="str">
            <v>115.798673678</v>
          </cell>
          <cell r="L554" t="str">
            <v>-31.761155678</v>
          </cell>
          <cell r="M554" t="str">
            <v>H</v>
          </cell>
          <cell r="N554" t="str">
            <v>86</v>
          </cell>
          <cell r="O554" t="str">
            <v>ARITI</v>
          </cell>
          <cell r="P554" t="str">
            <v>AV</v>
          </cell>
          <cell r="R554" t="str">
            <v>WANNEROO</v>
          </cell>
          <cell r="S554" t="str">
            <v>6065</v>
          </cell>
        </row>
        <row r="555">
          <cell r="D555" t="str">
            <v>N- not in use</v>
          </cell>
          <cell r="E555" t="str">
            <v>PS- pump station</v>
          </cell>
          <cell r="F555" t="str">
            <v>MULLALOO TEMPORARY</v>
          </cell>
          <cell r="H555" t="str">
            <v>W- water corporation</v>
          </cell>
          <cell r="I555" t="str">
            <v>17834</v>
          </cell>
          <cell r="J555" t="str">
            <v>19850101</v>
          </cell>
          <cell r="K555" t="str">
            <v>115.737889846</v>
          </cell>
          <cell r="L555" t="str">
            <v>-31.7607113751</v>
          </cell>
          <cell r="M555" t="str">
            <v>L</v>
          </cell>
          <cell r="N555" t="str">
            <v>10534</v>
          </cell>
          <cell r="O555" t="str">
            <v>VENTURI</v>
          </cell>
          <cell r="P555" t="str">
            <v>DR</v>
          </cell>
          <cell r="R555" t="str">
            <v>OCEAN REEF</v>
          </cell>
          <cell r="S555" t="str">
            <v>6027</v>
          </cell>
        </row>
        <row r="556">
          <cell r="B556" t="str">
            <v>S0027305</v>
          </cell>
          <cell r="C556" t="str">
            <v>SPS PRINCE REGENT DR HEATHRIDGE</v>
          </cell>
          <cell r="D556" t="str">
            <v>A- actual</v>
          </cell>
          <cell r="E556" t="str">
            <v>PS- pump station</v>
          </cell>
          <cell r="F556" t="str">
            <v>PRINCE REGENT DR</v>
          </cell>
          <cell r="G556" t="str">
            <v>3</v>
          </cell>
          <cell r="H556" t="str">
            <v>W- water corporation</v>
          </cell>
          <cell r="I556" t="str">
            <v>17832</v>
          </cell>
          <cell r="J556" t="str">
            <v>19850514</v>
          </cell>
          <cell r="K556" t="str">
            <v>115.744401179</v>
          </cell>
          <cell r="L556" t="str">
            <v>-31.758078238</v>
          </cell>
          <cell r="M556" t="str">
            <v>H</v>
          </cell>
          <cell r="N556" t="str">
            <v>4</v>
          </cell>
          <cell r="O556" t="str">
            <v>PRINCE REGENT</v>
          </cell>
          <cell r="P556" t="str">
            <v>DR</v>
          </cell>
          <cell r="R556" t="str">
            <v>HEATHRIDGE</v>
          </cell>
          <cell r="S556" t="str">
            <v>6027</v>
          </cell>
        </row>
        <row r="557">
          <cell r="B557" t="str">
            <v>S0027282</v>
          </cell>
          <cell r="C557" t="str">
            <v>SPS JOONDALUP GOLF COURSE</v>
          </cell>
          <cell r="D557" t="str">
            <v>A- actual</v>
          </cell>
          <cell r="E557" t="str">
            <v>PS- pump station</v>
          </cell>
          <cell r="F557" t="str">
            <v>JOONDALUP GOLF COURSE</v>
          </cell>
          <cell r="G557" t="str">
            <v>1</v>
          </cell>
          <cell r="H557" t="str">
            <v>W- water corporation</v>
          </cell>
          <cell r="I557" t="str">
            <v>53054</v>
          </cell>
          <cell r="J557" t="str">
            <v>19820101</v>
          </cell>
          <cell r="K557" t="str">
            <v>115.754478952</v>
          </cell>
          <cell r="L557" t="str">
            <v>-31.7503094783</v>
          </cell>
          <cell r="M557" t="str">
            <v>L</v>
          </cell>
          <cell r="N557" t="str">
            <v>11785</v>
          </cell>
          <cell r="O557" t="str">
            <v>SHENTON</v>
          </cell>
          <cell r="P557" t="str">
            <v>AV</v>
          </cell>
          <cell r="R557" t="str">
            <v>CONNOLLY</v>
          </cell>
          <cell r="S557" t="str">
            <v>6027</v>
          </cell>
        </row>
        <row r="558">
          <cell r="B558" t="str">
            <v>S0029111</v>
          </cell>
          <cell r="C558" t="str">
            <v>SPS BELGRADE RD WANNEROO</v>
          </cell>
          <cell r="D558" t="str">
            <v>A- actual</v>
          </cell>
          <cell r="E558" t="str">
            <v>PS- pump station</v>
          </cell>
          <cell r="F558" t="str">
            <v>BELGRADE RD TEMP</v>
          </cell>
          <cell r="H558" t="str">
            <v>W- water corporation</v>
          </cell>
          <cell r="I558" t="str">
            <v>49207</v>
          </cell>
          <cell r="J558" t="str">
            <v>19930101</v>
          </cell>
          <cell r="K558" t="str">
            <v>115.817663957</v>
          </cell>
          <cell r="L558" t="str">
            <v>-31.7516528627</v>
          </cell>
          <cell r="M558" t="str">
            <v>H</v>
          </cell>
          <cell r="N558" t="str">
            <v>8</v>
          </cell>
          <cell r="O558" t="str">
            <v>JOEL</v>
          </cell>
          <cell r="P558" t="str">
            <v>WAY</v>
          </cell>
          <cell r="R558" t="str">
            <v>WANNEROO</v>
          </cell>
          <cell r="S558" t="str">
            <v>6065</v>
          </cell>
        </row>
        <row r="559">
          <cell r="B559" t="str">
            <v>S0029137</v>
          </cell>
          <cell r="C559" t="str">
            <v>SPS ROSSLARE PROM MINDARIE</v>
          </cell>
          <cell r="D559" t="str">
            <v>A- actual</v>
          </cell>
          <cell r="E559" t="str">
            <v>PS- pump station</v>
          </cell>
          <cell r="F559" t="str">
            <v>ROSSLARE PROM</v>
          </cell>
          <cell r="G559" t="str">
            <v>1</v>
          </cell>
          <cell r="H559" t="str">
            <v>W- water corporation</v>
          </cell>
          <cell r="I559" t="str">
            <v>34047</v>
          </cell>
          <cell r="J559" t="str">
            <v>19880615</v>
          </cell>
          <cell r="K559" t="str">
            <v>115.700694516</v>
          </cell>
          <cell r="L559" t="str">
            <v>-31.6858040072</v>
          </cell>
          <cell r="M559" t="str">
            <v>H</v>
          </cell>
          <cell r="N559" t="str">
            <v>24</v>
          </cell>
          <cell r="O559" t="str">
            <v>ROSSLARE</v>
          </cell>
          <cell r="P559" t="str">
            <v>PROM</v>
          </cell>
          <cell r="R559" t="str">
            <v>MINDARIE</v>
          </cell>
          <cell r="S559" t="str">
            <v>6030</v>
          </cell>
        </row>
        <row r="560">
          <cell r="B560" t="str">
            <v>S0029130</v>
          </cell>
          <cell r="C560" t="str">
            <v>SPS OCEAN FALLS BVD MINDARIE</v>
          </cell>
          <cell r="D560" t="str">
            <v>A- actual</v>
          </cell>
          <cell r="E560" t="str">
            <v>PS- pump station</v>
          </cell>
          <cell r="F560" t="str">
            <v>OCEAN FALLS BVD</v>
          </cell>
          <cell r="G560" t="str">
            <v>159-02</v>
          </cell>
          <cell r="H560" t="str">
            <v>W- water corporation</v>
          </cell>
          <cell r="I560" t="str">
            <v>32857</v>
          </cell>
          <cell r="J560" t="str">
            <v>19890323</v>
          </cell>
          <cell r="K560" t="str">
            <v>115.703051182</v>
          </cell>
          <cell r="L560" t="str">
            <v>-31.691608278</v>
          </cell>
          <cell r="M560" t="str">
            <v>H</v>
          </cell>
          <cell r="N560" t="str">
            <v>23</v>
          </cell>
          <cell r="O560" t="str">
            <v>OCEAN FALLS</v>
          </cell>
          <cell r="P560" t="str">
            <v>BVD</v>
          </cell>
          <cell r="R560" t="str">
            <v>MINDARIE</v>
          </cell>
          <cell r="S560" t="str">
            <v>6030</v>
          </cell>
        </row>
        <row r="561">
          <cell r="B561" t="str">
            <v>S0029118</v>
          </cell>
          <cell r="C561" t="str">
            <v>SPS CONNOLLY DR CLARKSON</v>
          </cell>
          <cell r="D561" t="str">
            <v>A- actual</v>
          </cell>
          <cell r="E561" t="str">
            <v>PS- pump station</v>
          </cell>
          <cell r="F561" t="str">
            <v>CONNOLLY DR</v>
          </cell>
          <cell r="G561" t="str">
            <v>159-03</v>
          </cell>
          <cell r="H561" t="str">
            <v>W- water corporation</v>
          </cell>
          <cell r="I561" t="str">
            <v>34058</v>
          </cell>
          <cell r="J561" t="str">
            <v>19891201</v>
          </cell>
          <cell r="K561" t="str">
            <v>115.727795939</v>
          </cell>
          <cell r="L561" t="str">
            <v>-31.6881964665</v>
          </cell>
          <cell r="M561" t="str">
            <v>H</v>
          </cell>
          <cell r="N561" t="str">
            <v>650</v>
          </cell>
          <cell r="O561" t="str">
            <v>CONNOLLY</v>
          </cell>
          <cell r="P561" t="str">
            <v>DR</v>
          </cell>
          <cell r="R561" t="str">
            <v>CLARKSON</v>
          </cell>
          <cell r="S561" t="str">
            <v>6030</v>
          </cell>
        </row>
        <row r="562">
          <cell r="B562" t="str">
            <v>S0029126</v>
          </cell>
          <cell r="C562" t="str">
            <v>SPS LOCHY CL KINROSS</v>
          </cell>
          <cell r="D562" t="str">
            <v>A- actual</v>
          </cell>
          <cell r="E562" t="str">
            <v>PS- pump station</v>
          </cell>
          <cell r="F562" t="str">
            <v>LOCHY CL</v>
          </cell>
          <cell r="G562" t="str">
            <v>5</v>
          </cell>
          <cell r="H562" t="str">
            <v>W- water corporation</v>
          </cell>
          <cell r="I562" t="str">
            <v>51228</v>
          </cell>
          <cell r="J562" t="str">
            <v>19950704</v>
          </cell>
          <cell r="K562" t="str">
            <v>115.740313912</v>
          </cell>
          <cell r="L562" t="str">
            <v>-31.712130361</v>
          </cell>
          <cell r="M562" t="str">
            <v>H</v>
          </cell>
          <cell r="N562" t="str">
            <v>16</v>
          </cell>
          <cell r="O562" t="str">
            <v>LOCHY</v>
          </cell>
          <cell r="P562" t="str">
            <v>CL</v>
          </cell>
          <cell r="R562" t="str">
            <v>KINROSS</v>
          </cell>
          <cell r="S562" t="str">
            <v>6028</v>
          </cell>
        </row>
        <row r="563">
          <cell r="B563" t="str">
            <v>S0029149</v>
          </cell>
          <cell r="C563" t="str">
            <v>SPS WANNEROO RD CARRAMAR</v>
          </cell>
          <cell r="D563" t="str">
            <v>A- actual</v>
          </cell>
          <cell r="E563" t="str">
            <v>PS- pump station</v>
          </cell>
          <cell r="F563" t="str">
            <v>WANNEROO RD NTH TEMPORARY</v>
          </cell>
          <cell r="H563" t="str">
            <v>W- water corporation</v>
          </cell>
          <cell r="I563" t="str">
            <v>69085</v>
          </cell>
          <cell r="J563" t="str">
            <v>19950508</v>
          </cell>
          <cell r="K563" t="str">
            <v>115.776955527</v>
          </cell>
          <cell r="L563" t="str">
            <v>-31.709932952</v>
          </cell>
          <cell r="M563" t="str">
            <v>H</v>
          </cell>
          <cell r="N563" t="str">
            <v>1490</v>
          </cell>
          <cell r="O563" t="str">
            <v>WANNEROO</v>
          </cell>
          <cell r="P563" t="str">
            <v>RD</v>
          </cell>
          <cell r="R563" t="str">
            <v>CARRAMAR</v>
          </cell>
          <cell r="S563" t="str">
            <v>6031</v>
          </cell>
        </row>
        <row r="564">
          <cell r="B564" t="str">
            <v>S0028622</v>
          </cell>
          <cell r="C564" t="str">
            <v>SPS ROSETTE CL CRAIGIE</v>
          </cell>
          <cell r="D564" t="str">
            <v>A- actual</v>
          </cell>
          <cell r="E564" t="str">
            <v>PS- pump station</v>
          </cell>
          <cell r="F564" t="str">
            <v>ROSETTE CL</v>
          </cell>
          <cell r="G564" t="str">
            <v>078-03</v>
          </cell>
          <cell r="H564" t="str">
            <v>W- water corporation</v>
          </cell>
          <cell r="I564" t="str">
            <v>17844</v>
          </cell>
          <cell r="J564" t="str">
            <v>19720401</v>
          </cell>
          <cell r="K564" t="str">
            <v>115.755708618</v>
          </cell>
          <cell r="L564" t="str">
            <v>-31.795195109</v>
          </cell>
          <cell r="M564" t="str">
            <v>H</v>
          </cell>
          <cell r="N564" t="str">
            <v>28</v>
          </cell>
          <cell r="O564" t="str">
            <v>ROSETTE</v>
          </cell>
          <cell r="P564" t="str">
            <v>CL</v>
          </cell>
          <cell r="R564" t="str">
            <v>CRAIGIE</v>
          </cell>
          <cell r="S564" t="str">
            <v>6025</v>
          </cell>
        </row>
        <row r="565">
          <cell r="B565" t="str">
            <v>S0028717</v>
          </cell>
          <cell r="C565" t="str">
            <v>SPS WOODVILLE HTS HILLARYS</v>
          </cell>
          <cell r="D565" t="str">
            <v>A- actual</v>
          </cell>
          <cell r="E565" t="str">
            <v>PS- pump station</v>
          </cell>
          <cell r="F565" t="str">
            <v>WOODVILLE HTS</v>
          </cell>
          <cell r="G565" t="str">
            <v>16</v>
          </cell>
          <cell r="H565" t="str">
            <v>W- water corporation</v>
          </cell>
          <cell r="I565" t="str">
            <v>33084</v>
          </cell>
          <cell r="J565" t="str">
            <v>19890223</v>
          </cell>
          <cell r="K565" t="str">
            <v>115.73740695</v>
          </cell>
          <cell r="L565" t="str">
            <v>-31.806070485</v>
          </cell>
          <cell r="M565" t="str">
            <v>H</v>
          </cell>
          <cell r="N565" t="str">
            <v>23</v>
          </cell>
          <cell r="O565" t="str">
            <v>WOODVILLE</v>
          </cell>
          <cell r="P565" t="str">
            <v>HTS</v>
          </cell>
          <cell r="R565" t="str">
            <v>HILLARYS</v>
          </cell>
          <cell r="S565" t="str">
            <v>6025</v>
          </cell>
        </row>
        <row r="566">
          <cell r="B566" t="str">
            <v>S0028545</v>
          </cell>
          <cell r="C566" t="str">
            <v>SPS MAWSON CR HILLARYS</v>
          </cell>
          <cell r="D566" t="str">
            <v>A- actual</v>
          </cell>
          <cell r="E566" t="str">
            <v>PS- pump station</v>
          </cell>
          <cell r="F566" t="str">
            <v>MAWSON CR</v>
          </cell>
          <cell r="G566" t="str">
            <v>078-01</v>
          </cell>
          <cell r="H566" t="str">
            <v>W- water corporation</v>
          </cell>
          <cell r="I566" t="str">
            <v>17842</v>
          </cell>
          <cell r="J566" t="str">
            <v>19720101</v>
          </cell>
          <cell r="K566" t="str">
            <v>115.749538349</v>
          </cell>
          <cell r="L566" t="str">
            <v>-31.804361045</v>
          </cell>
          <cell r="M566" t="str">
            <v>H</v>
          </cell>
          <cell r="N566" t="str">
            <v>12</v>
          </cell>
          <cell r="O566" t="str">
            <v>MAWSON</v>
          </cell>
          <cell r="P566" t="str">
            <v>CR</v>
          </cell>
          <cell r="R566" t="str">
            <v>HILLARYS</v>
          </cell>
          <cell r="S566" t="str">
            <v>6025</v>
          </cell>
        </row>
        <row r="567">
          <cell r="B567" t="str">
            <v>S0028325</v>
          </cell>
          <cell r="C567" t="str">
            <v>SPS DAMPIER AV KALLAROO</v>
          </cell>
          <cell r="D567" t="str">
            <v>A- actual</v>
          </cell>
          <cell r="E567" t="str">
            <v>PS- pump station</v>
          </cell>
          <cell r="F567" t="str">
            <v>DAMPIER AV</v>
          </cell>
          <cell r="G567" t="str">
            <v>2</v>
          </cell>
          <cell r="H567" t="str">
            <v>W- water corporation</v>
          </cell>
          <cell r="I567" t="str">
            <v>17843</v>
          </cell>
          <cell r="J567" t="str">
            <v>19710101</v>
          </cell>
          <cell r="K567" t="str">
            <v>115.748864125</v>
          </cell>
          <cell r="L567" t="str">
            <v>-31.7951822277</v>
          </cell>
          <cell r="M567" t="str">
            <v>H</v>
          </cell>
          <cell r="N567" t="str">
            <v>275</v>
          </cell>
          <cell r="O567" t="str">
            <v>DAMPIER</v>
          </cell>
          <cell r="P567" t="str">
            <v>AV</v>
          </cell>
          <cell r="R567" t="str">
            <v>KALLAROO</v>
          </cell>
          <cell r="S567" t="str">
            <v>6025</v>
          </cell>
        </row>
        <row r="568">
          <cell r="B568" t="str">
            <v>S0028306</v>
          </cell>
          <cell r="C568" t="str">
            <v>SPS CONTEST CL KALLAROO</v>
          </cell>
          <cell r="D568" t="str">
            <v>A- actual</v>
          </cell>
          <cell r="E568" t="str">
            <v>PS- pump station</v>
          </cell>
          <cell r="F568" t="str">
            <v>CONTEST CL</v>
          </cell>
          <cell r="G568" t="str">
            <v>14</v>
          </cell>
          <cell r="H568" t="str">
            <v>W- water corporation</v>
          </cell>
          <cell r="I568" t="str">
            <v>17855</v>
          </cell>
          <cell r="J568" t="str">
            <v>19750101</v>
          </cell>
          <cell r="K568" t="str">
            <v>115.74397986</v>
          </cell>
          <cell r="L568" t="str">
            <v>-31.791477072</v>
          </cell>
          <cell r="M568" t="str">
            <v>H</v>
          </cell>
          <cell r="N568" t="str">
            <v>15</v>
          </cell>
          <cell r="O568" t="str">
            <v>CONTEST</v>
          </cell>
          <cell r="P568" t="str">
            <v>CL</v>
          </cell>
          <cell r="R568" t="str">
            <v>KALLAROO</v>
          </cell>
          <cell r="S568" t="str">
            <v>6025</v>
          </cell>
        </row>
        <row r="569">
          <cell r="B569" t="str">
            <v>S0028646</v>
          </cell>
          <cell r="C569" t="str">
            <v>SPS ST IVES LOOP KALLAROO</v>
          </cell>
          <cell r="D569" t="str">
            <v>A- actual</v>
          </cell>
          <cell r="E569" t="str">
            <v>PS- pump station</v>
          </cell>
          <cell r="F569" t="str">
            <v>ST IVES LOOP</v>
          </cell>
          <cell r="G569" t="str">
            <v>15</v>
          </cell>
          <cell r="H569" t="str">
            <v>W- water corporation</v>
          </cell>
          <cell r="I569" t="str">
            <v>17856</v>
          </cell>
          <cell r="J569" t="str">
            <v>19790101</v>
          </cell>
          <cell r="K569" t="str">
            <v>115.735752616</v>
          </cell>
          <cell r="L569" t="str">
            <v>-31.7931939</v>
          </cell>
          <cell r="M569" t="str">
            <v>H</v>
          </cell>
          <cell r="N569" t="str">
            <v>11</v>
          </cell>
          <cell r="O569" t="str">
            <v>ST IVES</v>
          </cell>
          <cell r="P569" t="str">
            <v>LOOP</v>
          </cell>
          <cell r="R569" t="str">
            <v>KALLAROO</v>
          </cell>
          <cell r="S569" t="str">
            <v>6025</v>
          </cell>
        </row>
        <row r="570">
          <cell r="B570" t="str">
            <v>S0028227</v>
          </cell>
          <cell r="C570" t="str">
            <v>SPS ALEXANDER RD PADBURY</v>
          </cell>
          <cell r="D570" t="str">
            <v>A- actual</v>
          </cell>
          <cell r="E570" t="str">
            <v>PS- pump station</v>
          </cell>
          <cell r="F570" t="str">
            <v>ALEXANDER RD</v>
          </cell>
          <cell r="G570" t="str">
            <v>4</v>
          </cell>
          <cell r="H570" t="str">
            <v>W- water corporation</v>
          </cell>
          <cell r="I570" t="str">
            <v>17845</v>
          </cell>
          <cell r="J570" t="str">
            <v>19720101</v>
          </cell>
          <cell r="K570" t="str">
            <v>115.762452192</v>
          </cell>
          <cell r="L570" t="str">
            <v>-31.799848065</v>
          </cell>
          <cell r="M570" t="str">
            <v>H</v>
          </cell>
          <cell r="N570" t="str">
            <v>7</v>
          </cell>
          <cell r="O570" t="str">
            <v>ALEXANDER</v>
          </cell>
          <cell r="P570" t="str">
            <v>RD</v>
          </cell>
          <cell r="R570" t="str">
            <v>PADBURY</v>
          </cell>
          <cell r="S570" t="str">
            <v>6025</v>
          </cell>
        </row>
        <row r="571">
          <cell r="B571" t="str">
            <v>S0028404</v>
          </cell>
          <cell r="C571" t="str">
            <v>SPS FENELLIA CR CRAIGIE</v>
          </cell>
          <cell r="D571" t="str">
            <v>A- actual</v>
          </cell>
          <cell r="E571" t="str">
            <v>PS- pump station</v>
          </cell>
          <cell r="F571" t="str">
            <v>FENELLIA CR</v>
          </cell>
          <cell r="G571" t="str">
            <v>078-08</v>
          </cell>
          <cell r="H571" t="str">
            <v>W- water corporation</v>
          </cell>
          <cell r="I571" t="str">
            <v>17849</v>
          </cell>
          <cell r="J571" t="str">
            <v>19730117</v>
          </cell>
          <cell r="K571" t="str">
            <v>115.763519391</v>
          </cell>
          <cell r="L571" t="str">
            <v>-31.786315348</v>
          </cell>
          <cell r="M571" t="str">
            <v>H</v>
          </cell>
          <cell r="N571" t="str">
            <v>3</v>
          </cell>
          <cell r="O571" t="str">
            <v>FENELLIA</v>
          </cell>
          <cell r="P571" t="str">
            <v>CR</v>
          </cell>
          <cell r="R571" t="str">
            <v>CRAIGIE</v>
          </cell>
          <cell r="S571" t="str">
            <v>6025</v>
          </cell>
        </row>
        <row r="572">
          <cell r="B572" t="str">
            <v>S0028281</v>
          </cell>
          <cell r="C572" t="str">
            <v>SPS CAMBERWARRA DR CRAIGIE</v>
          </cell>
          <cell r="D572" t="str">
            <v>A- actual</v>
          </cell>
          <cell r="E572" t="str">
            <v>PS- pump station</v>
          </cell>
          <cell r="F572" t="str">
            <v>CAMBERWARRA DR</v>
          </cell>
          <cell r="G572" t="str">
            <v>7</v>
          </cell>
          <cell r="H572" t="str">
            <v>W- water corporation</v>
          </cell>
          <cell r="I572" t="str">
            <v>17848</v>
          </cell>
          <cell r="J572" t="str">
            <v>19720802</v>
          </cell>
          <cell r="K572" t="str">
            <v>115.758041688</v>
          </cell>
          <cell r="L572" t="str">
            <v>-31.786403703</v>
          </cell>
          <cell r="M572" t="str">
            <v>H</v>
          </cell>
          <cell r="N572" t="str">
            <v>274</v>
          </cell>
          <cell r="O572" t="str">
            <v>CAMBERWARRA</v>
          </cell>
          <cell r="P572" t="str">
            <v>DR</v>
          </cell>
          <cell r="R572" t="str">
            <v>CRAIGIE</v>
          </cell>
          <cell r="S572" t="str">
            <v>6025</v>
          </cell>
        </row>
        <row r="573">
          <cell r="D573" t="str">
            <v>N- not in use</v>
          </cell>
          <cell r="E573" t="str">
            <v>PS- pump station</v>
          </cell>
          <cell r="F573" t="str">
            <v>REDCLIFFE MOTEL</v>
          </cell>
          <cell r="H573" t="str">
            <v>P- private</v>
          </cell>
          <cell r="J573" t="str">
            <v>19740626</v>
          </cell>
          <cell r="K573" t="str">
            <v>115.941586884</v>
          </cell>
          <cell r="L573" t="str">
            <v>-31.9331452536</v>
          </cell>
          <cell r="M573" t="str">
            <v>H</v>
          </cell>
          <cell r="N573" t="str">
            <v>5</v>
          </cell>
          <cell r="O573" t="str">
            <v>THE COURT</v>
          </cell>
          <cell r="R573" t="str">
            <v>REDCLIFFE</v>
          </cell>
          <cell r="S573" t="str">
            <v>6104</v>
          </cell>
        </row>
        <row r="574">
          <cell r="D574" t="str">
            <v>A- actual</v>
          </cell>
          <cell r="E574" t="str">
            <v>PS- pump station</v>
          </cell>
          <cell r="F574" t="str">
            <v>STIRLING GOLF LINKS</v>
          </cell>
          <cell r="H574" t="str">
            <v>P- private</v>
          </cell>
          <cell r="J574" t="str">
            <v>19960701</v>
          </cell>
          <cell r="K574" t="str">
            <v>115.90267013</v>
          </cell>
          <cell r="L574" t="str">
            <v>-31.940859035</v>
          </cell>
          <cell r="M574" t="str">
            <v>H</v>
          </cell>
          <cell r="N574" t="str">
            <v>12</v>
          </cell>
          <cell r="O574" t="str">
            <v>SWAN BANK</v>
          </cell>
          <cell r="P574" t="str">
            <v>RD</v>
          </cell>
          <cell r="R574" t="str">
            <v>MAYLANDS</v>
          </cell>
          <cell r="S574" t="str">
            <v>6051</v>
          </cell>
        </row>
        <row r="575">
          <cell r="B575" t="str">
            <v>S0031728</v>
          </cell>
          <cell r="C575" t="str">
            <v>SPS JOHNSON RD MAYLANDS</v>
          </cell>
          <cell r="D575" t="str">
            <v>A- actual</v>
          </cell>
          <cell r="E575" t="str">
            <v>PS- pump station</v>
          </cell>
          <cell r="F575" t="str">
            <v>JOHNSON RD</v>
          </cell>
          <cell r="G575" t="str">
            <v>058-17</v>
          </cell>
          <cell r="H575" t="str">
            <v>W- water corporation</v>
          </cell>
          <cell r="I575" t="str">
            <v>17704</v>
          </cell>
          <cell r="J575" t="str">
            <v>19730413</v>
          </cell>
          <cell r="K575" t="str">
            <v>115.908748028</v>
          </cell>
          <cell r="L575" t="str">
            <v>-31.941885985</v>
          </cell>
          <cell r="M575" t="str">
            <v>L</v>
          </cell>
          <cell r="N575" t="str">
            <v>18</v>
          </cell>
          <cell r="O575" t="str">
            <v>PENINSULA</v>
          </cell>
          <cell r="P575" t="str">
            <v>RD</v>
          </cell>
          <cell r="R575" t="str">
            <v>MAYLANDS</v>
          </cell>
          <cell r="S575" t="str">
            <v>6051</v>
          </cell>
        </row>
        <row r="576">
          <cell r="B576" t="str">
            <v>S0031733</v>
          </cell>
          <cell r="C576" t="str">
            <v>SPS KELVIN ST MAYLANDS</v>
          </cell>
          <cell r="D576" t="str">
            <v>A- actual</v>
          </cell>
          <cell r="E576" t="str">
            <v>PS- pump station</v>
          </cell>
          <cell r="F576" t="str">
            <v>KELVIN ST</v>
          </cell>
          <cell r="G576" t="str">
            <v>6</v>
          </cell>
          <cell r="H576" t="str">
            <v>W- water corporation</v>
          </cell>
          <cell r="I576" t="str">
            <v>17688</v>
          </cell>
          <cell r="J576" t="str">
            <v>19691001</v>
          </cell>
          <cell r="K576" t="str">
            <v>115.905007535</v>
          </cell>
          <cell r="L576" t="str">
            <v>-31.9343410881</v>
          </cell>
          <cell r="M576" t="str">
            <v>H</v>
          </cell>
          <cell r="N576" t="str">
            <v>75</v>
          </cell>
          <cell r="O576" t="str">
            <v>KELVIN</v>
          </cell>
          <cell r="P576" t="str">
            <v>ST</v>
          </cell>
          <cell r="R576" t="str">
            <v>MAYLANDS</v>
          </cell>
          <cell r="S576" t="str">
            <v>6051</v>
          </cell>
        </row>
        <row r="577">
          <cell r="B577" t="str">
            <v>S0034174</v>
          </cell>
          <cell r="C577" t="str">
            <v>SPS STONEHAM ST ASCOT</v>
          </cell>
          <cell r="D577" t="str">
            <v>A- actual</v>
          </cell>
          <cell r="E577" t="str">
            <v>PS- pump station</v>
          </cell>
          <cell r="F577" t="str">
            <v>STONEHAM ST</v>
          </cell>
          <cell r="G577" t="str">
            <v>5</v>
          </cell>
          <cell r="H577" t="str">
            <v>W- water corporation</v>
          </cell>
          <cell r="I577" t="str">
            <v>18112</v>
          </cell>
          <cell r="J577" t="str">
            <v>19881122</v>
          </cell>
          <cell r="K577" t="str">
            <v>115.922201347</v>
          </cell>
          <cell r="L577" t="str">
            <v>-31.941397005</v>
          </cell>
          <cell r="M577" t="str">
            <v>L</v>
          </cell>
          <cell r="N577" t="str">
            <v>50</v>
          </cell>
          <cell r="O577" t="str">
            <v>STONEHAM</v>
          </cell>
          <cell r="P577" t="str">
            <v>ST</v>
          </cell>
          <cell r="R577" t="str">
            <v>ASCOT</v>
          </cell>
          <cell r="S577" t="str">
            <v>6104</v>
          </cell>
        </row>
        <row r="578">
          <cell r="B578" t="str">
            <v>S0034072</v>
          </cell>
          <cell r="C578" t="str">
            <v>SPS HARDEY RD BELMONT</v>
          </cell>
          <cell r="D578" t="str">
            <v>A- actual</v>
          </cell>
          <cell r="E578" t="str">
            <v>PS- pump station</v>
          </cell>
          <cell r="F578" t="str">
            <v>HARDEY RD</v>
          </cell>
          <cell r="G578" t="str">
            <v>1</v>
          </cell>
          <cell r="H578" t="str">
            <v>W- water corporation</v>
          </cell>
          <cell r="I578" t="str">
            <v>18108</v>
          </cell>
          <cell r="J578" t="str">
            <v>19720701</v>
          </cell>
          <cell r="K578" t="str">
            <v>115.930110866</v>
          </cell>
          <cell r="L578" t="str">
            <v>-31.9436176294</v>
          </cell>
          <cell r="M578" t="str">
            <v>H</v>
          </cell>
          <cell r="N578" t="str">
            <v>76</v>
          </cell>
          <cell r="O578" t="str">
            <v>HARDEY</v>
          </cell>
          <cell r="P578" t="str">
            <v>RD</v>
          </cell>
          <cell r="R578" t="str">
            <v>BELMONT</v>
          </cell>
          <cell r="S578" t="str">
            <v>6104</v>
          </cell>
        </row>
        <row r="579">
          <cell r="D579" t="str">
            <v>N- not in use</v>
          </cell>
          <cell r="E579" t="str">
            <v>PS- pump station</v>
          </cell>
          <cell r="F579" t="str">
            <v>ASCOTT INN</v>
          </cell>
          <cell r="H579" t="str">
            <v>P- private</v>
          </cell>
          <cell r="J579" t="str">
            <v>19800229</v>
          </cell>
          <cell r="K579" t="str">
            <v>115.93024303</v>
          </cell>
          <cell r="L579" t="str">
            <v>-31.9321518726</v>
          </cell>
          <cell r="M579" t="str">
            <v>L</v>
          </cell>
          <cell r="N579" t="str">
            <v>10030</v>
          </cell>
          <cell r="O579" t="str">
            <v>ASCOT</v>
          </cell>
          <cell r="P579" t="str">
            <v>PL</v>
          </cell>
          <cell r="R579" t="str">
            <v>ASCOT</v>
          </cell>
          <cell r="S579" t="str">
            <v>6104</v>
          </cell>
        </row>
        <row r="580">
          <cell r="B580" t="str">
            <v>S0033967</v>
          </cell>
          <cell r="C580" t="str">
            <v>SPS ASCOT PL ASCOT</v>
          </cell>
          <cell r="D580" t="str">
            <v>A- actual</v>
          </cell>
          <cell r="E580" t="str">
            <v>PS- pump station</v>
          </cell>
          <cell r="F580" t="str">
            <v>ASCOT PL</v>
          </cell>
          <cell r="G580" t="str">
            <v>3</v>
          </cell>
          <cell r="H580" t="str">
            <v>W- water corporation</v>
          </cell>
          <cell r="I580" t="str">
            <v>18110</v>
          </cell>
          <cell r="J580" t="str">
            <v>19850701</v>
          </cell>
          <cell r="K580" t="str">
            <v>115.928869191</v>
          </cell>
          <cell r="L580" t="str">
            <v>-31.9325131667</v>
          </cell>
          <cell r="M580" t="str">
            <v>L</v>
          </cell>
          <cell r="N580" t="str">
            <v>10913</v>
          </cell>
          <cell r="O580" t="str">
            <v>ASCOT</v>
          </cell>
          <cell r="P580" t="str">
            <v>PL</v>
          </cell>
          <cell r="R580" t="str">
            <v>ASCOT</v>
          </cell>
          <cell r="S580" t="str">
            <v>6104</v>
          </cell>
        </row>
        <row r="581">
          <cell r="D581" t="str">
            <v>A- actual</v>
          </cell>
          <cell r="E581" t="str">
            <v>PS- pump station</v>
          </cell>
          <cell r="F581" t="str">
            <v>PERTH AIRPORT</v>
          </cell>
          <cell r="H581" t="str">
            <v>P- private</v>
          </cell>
          <cell r="J581" t="str">
            <v>19850101</v>
          </cell>
          <cell r="K581" t="str">
            <v>115.953678259</v>
          </cell>
          <cell r="L581" t="str">
            <v>-31.9278066947</v>
          </cell>
          <cell r="M581" t="str">
            <v>H</v>
          </cell>
          <cell r="N581" t="str">
            <v>47</v>
          </cell>
          <cell r="O581" t="str">
            <v>REDCLIFFE</v>
          </cell>
          <cell r="P581" t="str">
            <v>RD</v>
          </cell>
          <cell r="R581" t="str">
            <v>REDCLIFFE</v>
          </cell>
          <cell r="S581" t="str">
            <v>6104</v>
          </cell>
        </row>
        <row r="582">
          <cell r="B582" t="str">
            <v>S0034024</v>
          </cell>
          <cell r="C582" t="str">
            <v>SPS COOLGARDIE AV ASCOT</v>
          </cell>
          <cell r="D582" t="str">
            <v>A- actual</v>
          </cell>
          <cell r="E582" t="str">
            <v>PS- pump station</v>
          </cell>
          <cell r="F582" t="str">
            <v>COOLGARDIE AVE</v>
          </cell>
          <cell r="G582" t="str">
            <v>4</v>
          </cell>
          <cell r="H582" t="str">
            <v>W- water corporation</v>
          </cell>
          <cell r="I582" t="str">
            <v>18111</v>
          </cell>
          <cell r="J582" t="str">
            <v>19910521</v>
          </cell>
          <cell r="K582" t="str">
            <v>115.942727616</v>
          </cell>
          <cell r="L582" t="str">
            <v>-31.9273452102</v>
          </cell>
          <cell r="M582" t="str">
            <v>L</v>
          </cell>
          <cell r="N582" t="str">
            <v>1</v>
          </cell>
          <cell r="O582" t="str">
            <v>COOLGARDIE</v>
          </cell>
          <cell r="P582" t="str">
            <v>AV</v>
          </cell>
          <cell r="R582" t="str">
            <v>ASCOT</v>
          </cell>
          <cell r="S582" t="str">
            <v>6104</v>
          </cell>
        </row>
        <row r="583">
          <cell r="B583" t="str">
            <v>S0030203</v>
          </cell>
          <cell r="C583" t="str">
            <v>SPS SLADE ST BAYSWATER</v>
          </cell>
          <cell r="D583" t="str">
            <v>A- actual</v>
          </cell>
          <cell r="E583" t="str">
            <v>PS- pump station</v>
          </cell>
          <cell r="F583" t="str">
            <v>SLADE ST</v>
          </cell>
          <cell r="H583" t="str">
            <v>W- water corporation</v>
          </cell>
          <cell r="J583" t="str">
            <v>19930201</v>
          </cell>
          <cell r="K583" t="str">
            <v>115.921860512</v>
          </cell>
          <cell r="L583" t="str">
            <v>-31.924768815</v>
          </cell>
          <cell r="M583" t="str">
            <v>H</v>
          </cell>
          <cell r="N583" t="str">
            <v>104</v>
          </cell>
          <cell r="O583" t="str">
            <v>SLADE</v>
          </cell>
          <cell r="P583" t="str">
            <v>ST</v>
          </cell>
          <cell r="R583" t="str">
            <v>BAYSWATER</v>
          </cell>
          <cell r="S583" t="str">
            <v>6053</v>
          </cell>
        </row>
        <row r="584">
          <cell r="D584" t="str">
            <v>A- actual</v>
          </cell>
          <cell r="E584" t="str">
            <v>PS- pump station</v>
          </cell>
          <cell r="F584" t="str">
            <v>HINES RESERVE</v>
          </cell>
          <cell r="H584" t="str">
            <v>P- private</v>
          </cell>
          <cell r="J584" t="str">
            <v>19930805</v>
          </cell>
          <cell r="K584" t="str">
            <v>115.91803985</v>
          </cell>
          <cell r="L584" t="str">
            <v>-31.930206089</v>
          </cell>
          <cell r="M584" t="str">
            <v>L</v>
          </cell>
          <cell r="N584" t="str">
            <v>455</v>
          </cell>
          <cell r="O584" t="str">
            <v>MILNE</v>
          </cell>
          <cell r="P584" t="str">
            <v>ST</v>
          </cell>
          <cell r="R584" t="str">
            <v>BAYSWATER</v>
          </cell>
          <cell r="S584" t="str">
            <v>6053</v>
          </cell>
        </row>
        <row r="585">
          <cell r="B585" t="str">
            <v>S0029340</v>
          </cell>
          <cell r="C585" t="str">
            <v>SPS KINGSWAY CARAVAN PK KINGSWAY RD PRIV</v>
          </cell>
          <cell r="D585" t="str">
            <v>A- actual</v>
          </cell>
          <cell r="E585" t="str">
            <v>PS- pump station</v>
          </cell>
          <cell r="F585" t="str">
            <v>KINGSLEY CARAVAN PARK</v>
          </cell>
          <cell r="H585" t="str">
            <v>P- private</v>
          </cell>
          <cell r="J585" t="str">
            <v>19780109</v>
          </cell>
          <cell r="K585" t="str">
            <v>115.82128896</v>
          </cell>
          <cell r="L585" t="str">
            <v>-31.81519576</v>
          </cell>
          <cell r="M585" t="str">
            <v>H</v>
          </cell>
          <cell r="N585" t="str">
            <v>210</v>
          </cell>
          <cell r="O585" t="str">
            <v>WANNEROO</v>
          </cell>
          <cell r="P585" t="str">
            <v>RD</v>
          </cell>
          <cell r="R585" t="str">
            <v>MADELEY</v>
          </cell>
          <cell r="S585" t="str">
            <v>6065</v>
          </cell>
        </row>
        <row r="586">
          <cell r="D586" t="str">
            <v>N- not in use</v>
          </cell>
          <cell r="E586" t="str">
            <v>PS- pump station</v>
          </cell>
          <cell r="F586" t="str">
            <v>RIVER FIG PL TEMP</v>
          </cell>
          <cell r="H586" t="str">
            <v>W- water corporation</v>
          </cell>
          <cell r="I586" t="str">
            <v>42173</v>
          </cell>
          <cell r="J586" t="str">
            <v>19920619</v>
          </cell>
          <cell r="K586" t="str">
            <v>115.854323532</v>
          </cell>
          <cell r="L586" t="str">
            <v>-31.825700082</v>
          </cell>
          <cell r="M586" t="str">
            <v>H</v>
          </cell>
          <cell r="N586" t="str">
            <v>32</v>
          </cell>
          <cell r="O586" t="str">
            <v>RIVER FIG</v>
          </cell>
          <cell r="P586" t="str">
            <v>PL</v>
          </cell>
          <cell r="R586" t="str">
            <v>ALEXANDER HEIGHTS</v>
          </cell>
          <cell r="S586" t="str">
            <v>6064</v>
          </cell>
        </row>
        <row r="587">
          <cell r="B587" t="str">
            <v>S0029329</v>
          </cell>
          <cell r="C587" t="str">
            <v>SPS ACTION PL WANGARA</v>
          </cell>
          <cell r="D587" t="str">
            <v>A- actual</v>
          </cell>
          <cell r="E587" t="str">
            <v>PS- pump station</v>
          </cell>
          <cell r="F587" t="str">
            <v>ACTION PL TEMP</v>
          </cell>
          <cell r="H587" t="str">
            <v>W- water corporation</v>
          </cell>
          <cell r="I587" t="str">
            <v>32357</v>
          </cell>
          <cell r="J587" t="str">
            <v>19930107</v>
          </cell>
          <cell r="K587" t="str">
            <v>115.829882494</v>
          </cell>
          <cell r="L587" t="str">
            <v>-31.793671483</v>
          </cell>
          <cell r="M587" t="str">
            <v>H</v>
          </cell>
          <cell r="N587" t="str">
            <v>4</v>
          </cell>
          <cell r="O587" t="str">
            <v>ACTION</v>
          </cell>
          <cell r="P587" t="str">
            <v>PL</v>
          </cell>
          <cell r="R587" t="str">
            <v>WANGARA</v>
          </cell>
          <cell r="S587" t="str">
            <v>6065</v>
          </cell>
        </row>
        <row r="588">
          <cell r="B588" t="str">
            <v>S0029341</v>
          </cell>
          <cell r="C588" t="str">
            <v>SPS ROGERS WY LANDSDALE</v>
          </cell>
          <cell r="D588" t="str">
            <v>A- actual</v>
          </cell>
          <cell r="E588" t="str">
            <v>PS- pump station</v>
          </cell>
          <cell r="F588" t="str">
            <v>ROGERS WY</v>
          </cell>
          <cell r="G588" t="str">
            <v>1</v>
          </cell>
          <cell r="H588" t="str">
            <v>W- water corporation</v>
          </cell>
          <cell r="I588" t="str">
            <v>17786</v>
          </cell>
          <cell r="J588" t="str">
            <v>19781207</v>
          </cell>
          <cell r="K588" t="str">
            <v>115.846271104</v>
          </cell>
          <cell r="L588" t="str">
            <v>-31.802822908</v>
          </cell>
          <cell r="M588" t="str">
            <v>H</v>
          </cell>
          <cell r="N588" t="str">
            <v>26</v>
          </cell>
          <cell r="O588" t="str">
            <v>ROGERS</v>
          </cell>
          <cell r="P588" t="str">
            <v>WAY</v>
          </cell>
          <cell r="R588" t="str">
            <v>LANDSDALE</v>
          </cell>
          <cell r="S588" t="str">
            <v>6065</v>
          </cell>
        </row>
        <row r="589">
          <cell r="B589" t="str">
            <v>S0029348</v>
          </cell>
          <cell r="C589" t="str">
            <v>SPS WARRADALE TCE LANDSDALE</v>
          </cell>
          <cell r="D589" t="str">
            <v>A- actual</v>
          </cell>
          <cell r="E589" t="str">
            <v>PS- pump station</v>
          </cell>
          <cell r="F589" t="str">
            <v>WARRADALE TCE</v>
          </cell>
          <cell r="G589" t="str">
            <v>2</v>
          </cell>
          <cell r="H589" t="str">
            <v>W- water corporation</v>
          </cell>
          <cell r="I589" t="str">
            <v>52726</v>
          </cell>
          <cell r="J589" t="str">
            <v>19960328</v>
          </cell>
          <cell r="K589" t="str">
            <v>115.863832095</v>
          </cell>
          <cell r="L589" t="str">
            <v>-31.802634668</v>
          </cell>
          <cell r="M589" t="str">
            <v>H</v>
          </cell>
          <cell r="N589" t="str">
            <v>25</v>
          </cell>
          <cell r="O589" t="str">
            <v>WARRADALE</v>
          </cell>
          <cell r="P589" t="str">
            <v>TCE</v>
          </cell>
          <cell r="R589" t="str">
            <v>LANDSDALE</v>
          </cell>
          <cell r="S589" t="str">
            <v>6065</v>
          </cell>
        </row>
        <row r="590">
          <cell r="B590" t="str">
            <v>S2001427</v>
          </cell>
          <cell r="C590" t="str">
            <v>SPS HERMITAGE DR THE VINES</v>
          </cell>
          <cell r="D590" t="str">
            <v>A- actual</v>
          </cell>
          <cell r="E590" t="str">
            <v>PS- pump station</v>
          </cell>
          <cell r="F590" t="str">
            <v>HERMITAGE DR THE VINES</v>
          </cell>
          <cell r="H590" t="str">
            <v>W- water corporation</v>
          </cell>
          <cell r="J590" t="str">
            <v>19910315</v>
          </cell>
          <cell r="K590" t="str">
            <v>116.010188634</v>
          </cell>
          <cell r="L590" t="str">
            <v>-31.763270487</v>
          </cell>
          <cell r="M590" t="str">
            <v>L</v>
          </cell>
          <cell r="N590" t="str">
            <v>457</v>
          </cell>
          <cell r="O590" t="str">
            <v>HERMITAGE</v>
          </cell>
          <cell r="P590" t="str">
            <v>DR</v>
          </cell>
          <cell r="R590" t="str">
            <v>THE VINES</v>
          </cell>
          <cell r="S590" t="str">
            <v>6069</v>
          </cell>
        </row>
        <row r="591">
          <cell r="B591" t="str">
            <v>S2001428</v>
          </cell>
          <cell r="C591" t="str">
            <v>SPS CHENIN LANE THE VINES</v>
          </cell>
          <cell r="D591" t="str">
            <v>A- actual</v>
          </cell>
          <cell r="E591" t="str">
            <v>PS- pump station</v>
          </cell>
          <cell r="F591" t="str">
            <v>CHENIN LANE</v>
          </cell>
          <cell r="H591" t="str">
            <v>W- water corporation</v>
          </cell>
          <cell r="J591" t="str">
            <v>19910315</v>
          </cell>
          <cell r="K591" t="str">
            <v>116.015280477</v>
          </cell>
          <cell r="L591" t="str">
            <v>-31.76634648</v>
          </cell>
          <cell r="M591" t="str">
            <v>L</v>
          </cell>
          <cell r="N591" t="str">
            <v>456</v>
          </cell>
          <cell r="O591" t="str">
            <v>CHENIN</v>
          </cell>
          <cell r="P591" t="str">
            <v>LANE</v>
          </cell>
          <cell r="R591" t="str">
            <v>THE VINES</v>
          </cell>
          <cell r="S591" t="str">
            <v>6069</v>
          </cell>
        </row>
        <row r="592">
          <cell r="B592" t="str">
            <v>S0027268</v>
          </cell>
          <cell r="C592" t="str">
            <v>SPS DAYLIGHT CL BELDON</v>
          </cell>
          <cell r="D592" t="str">
            <v>A- actual</v>
          </cell>
          <cell r="E592" t="str">
            <v>PS- pump station</v>
          </cell>
          <cell r="F592" t="str">
            <v>DAYLIGHT CL</v>
          </cell>
          <cell r="G592" t="str">
            <v>2</v>
          </cell>
          <cell r="H592" t="str">
            <v>W- water corporation</v>
          </cell>
          <cell r="I592" t="str">
            <v>17831</v>
          </cell>
          <cell r="J592" t="str">
            <v>19830518</v>
          </cell>
          <cell r="K592" t="str">
            <v>115.771469</v>
          </cell>
          <cell r="L592" t="str">
            <v>-31.775590852</v>
          </cell>
          <cell r="M592" t="str">
            <v>H</v>
          </cell>
          <cell r="N592" t="str">
            <v>9</v>
          </cell>
          <cell r="O592" t="str">
            <v>DAYLIGHT</v>
          </cell>
          <cell r="P592" t="str">
            <v>CL</v>
          </cell>
          <cell r="R592" t="str">
            <v>BELDON</v>
          </cell>
          <cell r="S592" t="str">
            <v>6027</v>
          </cell>
        </row>
        <row r="593">
          <cell r="D593" t="str">
            <v>A- actual</v>
          </cell>
          <cell r="E593" t="str">
            <v>PS- pump station</v>
          </cell>
          <cell r="F593" t="str">
            <v>WANNEROO</v>
          </cell>
          <cell r="H593" t="str">
            <v>P- private</v>
          </cell>
          <cell r="J593" t="str">
            <v>19920122</v>
          </cell>
          <cell r="K593" t="str">
            <v>115.800739751</v>
          </cell>
          <cell r="L593" t="str">
            <v>-31.777399478</v>
          </cell>
          <cell r="M593" t="str">
            <v>H</v>
          </cell>
          <cell r="N593" t="str">
            <v>3</v>
          </cell>
          <cell r="O593" t="str">
            <v>BACKSHALL</v>
          </cell>
          <cell r="P593" t="str">
            <v>PL</v>
          </cell>
          <cell r="R593" t="str">
            <v>WANNEROO</v>
          </cell>
          <cell r="S593" t="str">
            <v>6065</v>
          </cell>
        </row>
        <row r="594">
          <cell r="D594" t="str">
            <v>A- actual</v>
          </cell>
          <cell r="E594" t="str">
            <v>PS- pump station</v>
          </cell>
          <cell r="H594" t="str">
            <v>P- private</v>
          </cell>
          <cell r="J594" t="str">
            <v>19890522</v>
          </cell>
          <cell r="K594" t="str">
            <v>115.755342812</v>
          </cell>
          <cell r="L594" t="str">
            <v>-31.847624513</v>
          </cell>
          <cell r="M594" t="str">
            <v>H</v>
          </cell>
          <cell r="N594" t="str">
            <v>19</v>
          </cell>
          <cell r="O594" t="str">
            <v>FLORA</v>
          </cell>
          <cell r="P594" t="str">
            <v>TCE</v>
          </cell>
          <cell r="R594" t="str">
            <v>WATERMANS BAY</v>
          </cell>
          <cell r="S594" t="str">
            <v>6020</v>
          </cell>
        </row>
        <row r="595">
          <cell r="B595" t="str">
            <v>S0028390</v>
          </cell>
          <cell r="C595" t="str">
            <v>SPS CRESSBROOK WY CARINE</v>
          </cell>
          <cell r="D595" t="str">
            <v>A- actual</v>
          </cell>
          <cell r="E595" t="str">
            <v>PS- pump station</v>
          </cell>
          <cell r="F595" t="str">
            <v>CRESSBROOK WY</v>
          </cell>
          <cell r="G595" t="str">
            <v>032-11</v>
          </cell>
          <cell r="H595" t="str">
            <v>W- water corporation</v>
          </cell>
          <cell r="I595" t="str">
            <v>17799</v>
          </cell>
          <cell r="J595" t="str">
            <v>19781101</v>
          </cell>
          <cell r="K595" t="str">
            <v>115.765150341</v>
          </cell>
          <cell r="L595" t="str">
            <v>-31.847816464</v>
          </cell>
          <cell r="M595" t="str">
            <v>H</v>
          </cell>
          <cell r="N595" t="str">
            <v>55</v>
          </cell>
          <cell r="O595" t="str">
            <v>CRESSBROOK</v>
          </cell>
          <cell r="P595" t="str">
            <v>WAY</v>
          </cell>
          <cell r="R595" t="str">
            <v>CARINE</v>
          </cell>
          <cell r="S595" t="str">
            <v>6020</v>
          </cell>
        </row>
        <row r="596">
          <cell r="B596" t="str">
            <v>S0028552</v>
          </cell>
          <cell r="C596" t="str">
            <v>SPS MCKIRDY WY MARMION</v>
          </cell>
          <cell r="D596" t="str">
            <v>A- actual</v>
          </cell>
          <cell r="E596" t="str">
            <v>PS- pump station</v>
          </cell>
          <cell r="F596" t="str">
            <v>MCKIRDY WY</v>
          </cell>
          <cell r="G596" t="str">
            <v>032-09</v>
          </cell>
          <cell r="H596" t="str">
            <v>W- water corporation</v>
          </cell>
          <cell r="I596" t="str">
            <v>17797</v>
          </cell>
          <cell r="J596" t="str">
            <v>19760101</v>
          </cell>
          <cell r="K596" t="str">
            <v>115.760068795</v>
          </cell>
          <cell r="L596" t="str">
            <v>-31.839246417</v>
          </cell>
          <cell r="M596" t="str">
            <v>H</v>
          </cell>
          <cell r="N596" t="str">
            <v>51</v>
          </cell>
          <cell r="O596" t="str">
            <v>MCKIRDY</v>
          </cell>
          <cell r="P596" t="str">
            <v>WAY</v>
          </cell>
          <cell r="R596" t="str">
            <v>MARMION</v>
          </cell>
          <cell r="S596" t="str">
            <v>6020</v>
          </cell>
        </row>
        <row r="597">
          <cell r="B597" t="str">
            <v>S0028383</v>
          </cell>
          <cell r="C597" t="str">
            <v>SPS ELMHURST WY GREENWOOD</v>
          </cell>
          <cell r="D597" t="str">
            <v>A- actual</v>
          </cell>
          <cell r="E597" t="str">
            <v>PS- pump station</v>
          </cell>
          <cell r="F597" t="str">
            <v>ELMHURST WY</v>
          </cell>
          <cell r="G597" t="str">
            <v>052-02</v>
          </cell>
          <cell r="H597" t="str">
            <v>W- water corporation</v>
          </cell>
          <cell r="I597" t="str">
            <v>17820</v>
          </cell>
          <cell r="J597" t="str">
            <v>19720811</v>
          </cell>
          <cell r="K597" t="str">
            <v>115.813654184</v>
          </cell>
          <cell r="L597" t="str">
            <v>-31.824255243</v>
          </cell>
          <cell r="M597" t="str">
            <v>H</v>
          </cell>
          <cell r="N597" t="str">
            <v>8</v>
          </cell>
          <cell r="O597" t="str">
            <v>ELMHURST</v>
          </cell>
          <cell r="P597" t="str">
            <v>WAY</v>
          </cell>
          <cell r="R597" t="str">
            <v>GREENWOOD</v>
          </cell>
          <cell r="S597" t="str">
            <v>6024</v>
          </cell>
        </row>
        <row r="598">
          <cell r="B598" t="str">
            <v>S0028423</v>
          </cell>
          <cell r="C598" t="str">
            <v>SPS GOOLLELAL DR KINGSLEY</v>
          </cell>
          <cell r="D598" t="str">
            <v>A- actual</v>
          </cell>
          <cell r="E598" t="str">
            <v>PS- pump station</v>
          </cell>
          <cell r="F598" t="str">
            <v>GOOLLELAL DR</v>
          </cell>
          <cell r="G598" t="str">
            <v>032-12</v>
          </cell>
          <cell r="H598" t="str">
            <v>W- water corporation</v>
          </cell>
          <cell r="I598" t="str">
            <v>17800</v>
          </cell>
          <cell r="J598" t="str">
            <v>19760909</v>
          </cell>
          <cell r="K598" t="str">
            <v>115.810707419</v>
          </cell>
          <cell r="L598" t="str">
            <v>-31.813972236</v>
          </cell>
          <cell r="M598" t="str">
            <v>H</v>
          </cell>
          <cell r="N598" t="str">
            <v>68</v>
          </cell>
          <cell r="O598" t="str">
            <v>GOOLLELAL</v>
          </cell>
          <cell r="P598" t="str">
            <v>DR</v>
          </cell>
          <cell r="R598" t="str">
            <v>KINGSLEY</v>
          </cell>
          <cell r="S598" t="str">
            <v>6026</v>
          </cell>
        </row>
        <row r="599">
          <cell r="B599" t="str">
            <v>S0030134</v>
          </cell>
          <cell r="C599" t="str">
            <v>SPS HANWELL WY BASSENDEAN</v>
          </cell>
          <cell r="D599" t="str">
            <v>A- actual</v>
          </cell>
          <cell r="E599" t="str">
            <v>PS- pump station</v>
          </cell>
          <cell r="F599" t="str">
            <v>HANWELL WY</v>
          </cell>
          <cell r="G599" t="str">
            <v>5</v>
          </cell>
          <cell r="H599" t="str">
            <v>W- water corporation</v>
          </cell>
          <cell r="I599" t="str">
            <v>17773</v>
          </cell>
          <cell r="J599" t="str">
            <v>19861127</v>
          </cell>
          <cell r="K599" t="str">
            <v>115.928964882</v>
          </cell>
          <cell r="L599" t="str">
            <v>-31.90237103</v>
          </cell>
          <cell r="M599" t="str">
            <v>H</v>
          </cell>
          <cell r="N599" t="str">
            <v>3</v>
          </cell>
          <cell r="O599" t="str">
            <v>HANWELL</v>
          </cell>
          <cell r="P599" t="str">
            <v>WAY</v>
          </cell>
          <cell r="R599" t="str">
            <v>BASSENDEAN</v>
          </cell>
          <cell r="S599" t="str">
            <v>6054</v>
          </cell>
        </row>
        <row r="600">
          <cell r="B600" t="str">
            <v>S0030145</v>
          </cell>
          <cell r="C600" t="str">
            <v>SPS HESTER ST BAYSWATER</v>
          </cell>
          <cell r="D600" t="str">
            <v>A- actual</v>
          </cell>
          <cell r="E600" t="str">
            <v>PS- pump station</v>
          </cell>
          <cell r="F600" t="str">
            <v>HESTER ST</v>
          </cell>
          <cell r="G600" t="str">
            <v>2</v>
          </cell>
          <cell r="H600" t="str">
            <v>W- water corporation</v>
          </cell>
          <cell r="I600" t="str">
            <v>17772</v>
          </cell>
          <cell r="J600" t="str">
            <v>19780106</v>
          </cell>
          <cell r="K600" t="str">
            <v>115.905308989</v>
          </cell>
          <cell r="L600" t="str">
            <v>-31.9135978569</v>
          </cell>
          <cell r="M600" t="str">
            <v>L</v>
          </cell>
          <cell r="N600" t="str">
            <v>2</v>
          </cell>
          <cell r="O600" t="str">
            <v>HESTER</v>
          </cell>
          <cell r="P600" t="str">
            <v>ST</v>
          </cell>
          <cell r="R600" t="str">
            <v>BAYSWATER</v>
          </cell>
          <cell r="S600" t="str">
            <v>6053</v>
          </cell>
        </row>
        <row r="601">
          <cell r="D601" t="str">
            <v>P- proposed</v>
          </cell>
          <cell r="E601" t="str">
            <v>PS- pump station</v>
          </cell>
          <cell r="F601" t="str">
            <v>WESTRAC EQUIPMENT</v>
          </cell>
          <cell r="H601" t="str">
            <v>P- private</v>
          </cell>
          <cell r="J601" t="str">
            <v>19910722</v>
          </cell>
          <cell r="K601" t="str">
            <v>115.965070234</v>
          </cell>
          <cell r="L601" t="str">
            <v>-31.9111450228</v>
          </cell>
          <cell r="M601" t="str">
            <v>H</v>
          </cell>
          <cell r="N601" t="str">
            <v>123</v>
          </cell>
          <cell r="O601" t="str">
            <v>GREAT EASTERN</v>
          </cell>
          <cell r="P601" t="str">
            <v>HWY</v>
          </cell>
          <cell r="R601" t="str">
            <v>SOUTH GUILDFORD</v>
          </cell>
          <cell r="S601" t="str">
            <v>6055</v>
          </cell>
        </row>
        <row r="602">
          <cell r="B602" t="str">
            <v>S0030159</v>
          </cell>
          <cell r="C602" t="str">
            <v>SPS HYLAND ST BASSENDEAN</v>
          </cell>
          <cell r="D602" t="str">
            <v>A- actual</v>
          </cell>
          <cell r="E602" t="str">
            <v>PS- pump station</v>
          </cell>
          <cell r="F602" t="str">
            <v>HYLAND ST</v>
          </cell>
          <cell r="G602" t="str">
            <v>008-01</v>
          </cell>
          <cell r="H602" t="str">
            <v>W- water corporation</v>
          </cell>
          <cell r="I602" t="str">
            <v>17767</v>
          </cell>
          <cell r="J602" t="str">
            <v>19411029</v>
          </cell>
          <cell r="K602" t="str">
            <v>115.955170346</v>
          </cell>
          <cell r="L602" t="str">
            <v>-31.9098212443</v>
          </cell>
          <cell r="M602" t="str">
            <v>H</v>
          </cell>
          <cell r="N602" t="str">
            <v>42</v>
          </cell>
          <cell r="O602" t="str">
            <v>HYLAND</v>
          </cell>
          <cell r="P602" t="str">
            <v>ST</v>
          </cell>
          <cell r="R602" t="str">
            <v>BASSENDEAN</v>
          </cell>
          <cell r="S602" t="str">
            <v>6054</v>
          </cell>
        </row>
        <row r="603">
          <cell r="D603" t="str">
            <v>A- actual</v>
          </cell>
          <cell r="E603" t="str">
            <v>PS- pump station</v>
          </cell>
          <cell r="F603" t="str">
            <v>MORLEY TEMP.</v>
          </cell>
          <cell r="H603" t="str">
            <v>P- private</v>
          </cell>
          <cell r="J603" t="str">
            <v>19911201</v>
          </cell>
          <cell r="K603" t="str">
            <v>115.901738533</v>
          </cell>
          <cell r="L603" t="str">
            <v>-31.899988689</v>
          </cell>
          <cell r="M603" t="str">
            <v>H</v>
          </cell>
          <cell r="N603" t="str">
            <v>10</v>
          </cell>
          <cell r="O603" t="str">
            <v>DEWAR</v>
          </cell>
          <cell r="P603" t="str">
            <v>ST</v>
          </cell>
          <cell r="R603" t="str">
            <v>MORLEY</v>
          </cell>
          <cell r="S603" t="str">
            <v>6062</v>
          </cell>
        </row>
        <row r="604">
          <cell r="B604" t="str">
            <v>S0030052</v>
          </cell>
          <cell r="C604" t="str">
            <v>SPS BEST WY BASSENDEAN</v>
          </cell>
          <cell r="D604" t="str">
            <v>A- actual</v>
          </cell>
          <cell r="E604" t="str">
            <v>PS- pump station</v>
          </cell>
          <cell r="F604" t="str">
            <v>BEST ST</v>
          </cell>
          <cell r="G604" t="str">
            <v>2</v>
          </cell>
          <cell r="H604" t="str">
            <v>W- water corporation</v>
          </cell>
          <cell r="I604" t="str">
            <v>17768</v>
          </cell>
          <cell r="J604" t="str">
            <v>19800101</v>
          </cell>
          <cell r="K604" t="str">
            <v>115.947248251</v>
          </cell>
          <cell r="L604" t="str">
            <v>-31.9163210246</v>
          </cell>
          <cell r="M604" t="str">
            <v>H</v>
          </cell>
          <cell r="N604" t="str">
            <v>27</v>
          </cell>
          <cell r="O604" t="str">
            <v>IVESON</v>
          </cell>
          <cell r="P604" t="str">
            <v>PL</v>
          </cell>
          <cell r="R604" t="str">
            <v>BASSENDEAN</v>
          </cell>
          <cell r="S604" t="str">
            <v>6054</v>
          </cell>
        </row>
        <row r="605">
          <cell r="D605" t="str">
            <v>N- not in use</v>
          </cell>
          <cell r="E605" t="str">
            <v>PS- pump station</v>
          </cell>
          <cell r="F605" t="str">
            <v>ALICE ST TEMP</v>
          </cell>
          <cell r="H605" t="str">
            <v>W- water corporation</v>
          </cell>
          <cell r="I605" t="str">
            <v>51119</v>
          </cell>
          <cell r="J605" t="str">
            <v>19940816</v>
          </cell>
          <cell r="K605" t="str">
            <v>115.93189303</v>
          </cell>
          <cell r="L605" t="str">
            <v>-31.90705917</v>
          </cell>
          <cell r="M605" t="str">
            <v>H</v>
          </cell>
          <cell r="N605" t="str">
            <v>80</v>
          </cell>
          <cell r="O605" t="str">
            <v>MAY HOLMAN</v>
          </cell>
          <cell r="P605" t="str">
            <v>DR</v>
          </cell>
          <cell r="R605" t="str">
            <v>BASSENDEAN</v>
          </cell>
          <cell r="S605" t="str">
            <v>6054</v>
          </cell>
        </row>
        <row r="606">
          <cell r="D606" t="str">
            <v>A- actual</v>
          </cell>
          <cell r="E606" t="str">
            <v>PS- pump station</v>
          </cell>
          <cell r="F606" t="str">
            <v>LOT 31 COLLIER RD</v>
          </cell>
          <cell r="H606" t="str">
            <v>P- private</v>
          </cell>
          <cell r="J606" t="str">
            <v>19971125</v>
          </cell>
          <cell r="K606" t="str">
            <v>115.914131576</v>
          </cell>
          <cell r="L606" t="str">
            <v>-31.904016489</v>
          </cell>
          <cell r="M606" t="str">
            <v>H</v>
          </cell>
          <cell r="N606" t="str">
            <v>19</v>
          </cell>
          <cell r="O606" t="str">
            <v>DOHERTY</v>
          </cell>
          <cell r="P606" t="str">
            <v>ST</v>
          </cell>
          <cell r="R606" t="str">
            <v>EMBLETON</v>
          </cell>
          <cell r="S606" t="str">
            <v>6062</v>
          </cell>
        </row>
        <row r="607">
          <cell r="D607" t="str">
            <v>A- actual</v>
          </cell>
          <cell r="E607" t="str">
            <v>PS- pump station</v>
          </cell>
          <cell r="F607" t="str">
            <v>LOT 1 NORTH RD</v>
          </cell>
          <cell r="H607" t="str">
            <v>P- private</v>
          </cell>
          <cell r="J607" t="str">
            <v>19961001</v>
          </cell>
          <cell r="K607" t="str">
            <v>115.960333693</v>
          </cell>
          <cell r="L607" t="str">
            <v>-31.9118651746</v>
          </cell>
          <cell r="M607" t="str">
            <v>H</v>
          </cell>
          <cell r="N607" t="str">
            <v>101</v>
          </cell>
          <cell r="O607" t="str">
            <v>NORTH</v>
          </cell>
          <cell r="P607" t="str">
            <v>RD</v>
          </cell>
          <cell r="R607" t="str">
            <v>BASSENDEAN</v>
          </cell>
          <cell r="S607" t="str">
            <v>6054</v>
          </cell>
        </row>
        <row r="608">
          <cell r="B608" t="str">
            <v>S0028369</v>
          </cell>
          <cell r="C608" t="str">
            <v>SPS DUFFY TCE WOODVALE</v>
          </cell>
          <cell r="D608" t="str">
            <v>A- actual</v>
          </cell>
          <cell r="E608" t="str">
            <v>PS- pump station</v>
          </cell>
          <cell r="F608" t="str">
            <v>DUFFY TCE</v>
          </cell>
          <cell r="G608" t="str">
            <v>2</v>
          </cell>
          <cell r="H608" t="str">
            <v>W- water corporation</v>
          </cell>
          <cell r="I608" t="str">
            <v>17775</v>
          </cell>
          <cell r="J608" t="str">
            <v>19850101</v>
          </cell>
          <cell r="K608" t="str">
            <v>115.803254659</v>
          </cell>
          <cell r="L608" t="str">
            <v>-31.79628842</v>
          </cell>
          <cell r="M608" t="str">
            <v>H</v>
          </cell>
          <cell r="N608" t="str">
            <v>79</v>
          </cell>
          <cell r="O608" t="str">
            <v>DUFFY</v>
          </cell>
          <cell r="P608" t="str">
            <v>TCE</v>
          </cell>
          <cell r="R608" t="str">
            <v>WOODVALE</v>
          </cell>
          <cell r="S608" t="str">
            <v>6026</v>
          </cell>
        </row>
        <row r="609">
          <cell r="D609" t="str">
            <v>A- actual</v>
          </cell>
          <cell r="E609" t="str">
            <v>PS- pump station</v>
          </cell>
          <cell r="F609" t="str">
            <v>WANNEROO AQUATIC CENTRE</v>
          </cell>
          <cell r="H609" t="str">
            <v>P- private</v>
          </cell>
          <cell r="J609" t="str">
            <v>19780101</v>
          </cell>
          <cell r="K609" t="str">
            <v>115.776079266</v>
          </cell>
          <cell r="L609" t="str">
            <v>-31.795016459</v>
          </cell>
          <cell r="M609" t="str">
            <v>H</v>
          </cell>
          <cell r="N609" t="str">
            <v>751</v>
          </cell>
          <cell r="O609" t="str">
            <v>WHITFORDS</v>
          </cell>
          <cell r="P609" t="str">
            <v>AV</v>
          </cell>
          <cell r="R609" t="str">
            <v>CRAIGIE</v>
          </cell>
          <cell r="S609" t="str">
            <v>6025</v>
          </cell>
        </row>
        <row r="610">
          <cell r="D610" t="str">
            <v>A- actual</v>
          </cell>
          <cell r="E610" t="str">
            <v>PS- pump station</v>
          </cell>
          <cell r="F610" t="str">
            <v>WOODVALE HIGH SCHOOL</v>
          </cell>
          <cell r="H610" t="str">
            <v>P- private</v>
          </cell>
          <cell r="J610" t="str">
            <v>19880802</v>
          </cell>
          <cell r="K610" t="str">
            <v>115.80167482</v>
          </cell>
          <cell r="L610" t="str">
            <v>-31.791962154</v>
          </cell>
          <cell r="M610" t="str">
            <v>H</v>
          </cell>
          <cell r="N610" t="str">
            <v>1</v>
          </cell>
          <cell r="O610" t="str">
            <v>WATERVIEW</v>
          </cell>
          <cell r="P610" t="str">
            <v>DR</v>
          </cell>
          <cell r="R610" t="str">
            <v>WOODVALE</v>
          </cell>
          <cell r="S610" t="str">
            <v>6026</v>
          </cell>
        </row>
        <row r="611">
          <cell r="D611" t="str">
            <v>A- actual</v>
          </cell>
          <cell r="E611" t="str">
            <v>PS- pump station</v>
          </cell>
          <cell r="F611" t="str">
            <v>WHITFORDS STATION</v>
          </cell>
          <cell r="H611" t="str">
            <v>P- private</v>
          </cell>
          <cell r="J611" t="str">
            <v>19920914</v>
          </cell>
          <cell r="K611" t="str">
            <v>115.785089731</v>
          </cell>
          <cell r="L611" t="str">
            <v>-31.79899703</v>
          </cell>
          <cell r="M611" t="str">
            <v>H</v>
          </cell>
          <cell r="N611" t="str">
            <v>45</v>
          </cell>
          <cell r="O611" t="str">
            <v>TWICKENHAM</v>
          </cell>
          <cell r="P611" t="str">
            <v>DR</v>
          </cell>
          <cell r="R611" t="str">
            <v>KINGSLEY</v>
          </cell>
          <cell r="S611" t="str">
            <v>6026</v>
          </cell>
        </row>
        <row r="612">
          <cell r="D612" t="str">
            <v>A- actual</v>
          </cell>
          <cell r="E612" t="str">
            <v>PS- pump station</v>
          </cell>
          <cell r="F612" t="str">
            <v>CHICHESTER RESERVE</v>
          </cell>
          <cell r="H612" t="str">
            <v>P- private</v>
          </cell>
          <cell r="J612" t="str">
            <v>19921130</v>
          </cell>
          <cell r="K612" t="str">
            <v>115.787217744</v>
          </cell>
          <cell r="L612" t="str">
            <v>-31.788251437</v>
          </cell>
          <cell r="M612" t="str">
            <v>H</v>
          </cell>
          <cell r="N612" t="str">
            <v>100</v>
          </cell>
          <cell r="O612" t="str">
            <v>TRAPPERS</v>
          </cell>
          <cell r="P612" t="str">
            <v>DR</v>
          </cell>
          <cell r="R612" t="str">
            <v>WOODVALE</v>
          </cell>
          <cell r="S612" t="str">
            <v>6026</v>
          </cell>
        </row>
        <row r="613">
          <cell r="B613" t="str">
            <v>S0028571</v>
          </cell>
          <cell r="C613" t="str">
            <v>SPS MUIRHEAD WY KINGSLEY</v>
          </cell>
          <cell r="D613" t="str">
            <v>A- actual</v>
          </cell>
          <cell r="E613" t="str">
            <v>PS- pump station</v>
          </cell>
          <cell r="F613" t="str">
            <v>MUIRHEAD WY</v>
          </cell>
          <cell r="G613" t="str">
            <v>3</v>
          </cell>
          <cell r="H613" t="str">
            <v>W- water corporation</v>
          </cell>
          <cell r="I613" t="str">
            <v>32852</v>
          </cell>
          <cell r="J613" t="str">
            <v>19900101</v>
          </cell>
          <cell r="K613" t="str">
            <v>115.794151737</v>
          </cell>
          <cell r="L613" t="str">
            <v>-31.80280922</v>
          </cell>
          <cell r="M613" t="str">
            <v>H</v>
          </cell>
          <cell r="N613" t="str">
            <v>11</v>
          </cell>
          <cell r="O613" t="str">
            <v>MUIRHEAD</v>
          </cell>
          <cell r="P613" t="str">
            <v>WAY</v>
          </cell>
          <cell r="R613" t="str">
            <v>KINGSLEY</v>
          </cell>
          <cell r="S613" t="str">
            <v>6026</v>
          </cell>
        </row>
        <row r="614">
          <cell r="B614" t="str">
            <v>S0028641</v>
          </cell>
          <cell r="C614" t="str">
            <v>SPS ST HELIER DR SORRENTO</v>
          </cell>
          <cell r="D614" t="str">
            <v>A- actual</v>
          </cell>
          <cell r="E614" t="str">
            <v>PS- pump station</v>
          </cell>
          <cell r="F614" t="str">
            <v>ST HELIER DR</v>
          </cell>
          <cell r="G614" t="str">
            <v>17</v>
          </cell>
          <cell r="H614" t="str">
            <v>W- water corporation</v>
          </cell>
          <cell r="I614" t="str">
            <v>17805</v>
          </cell>
          <cell r="J614" t="str">
            <v>19851015</v>
          </cell>
          <cell r="K614" t="str">
            <v>115.743608156</v>
          </cell>
          <cell r="L614" t="str">
            <v>-31.825800148</v>
          </cell>
          <cell r="M614" t="str">
            <v>H</v>
          </cell>
          <cell r="N614" t="str">
            <v>80</v>
          </cell>
          <cell r="O614" t="str">
            <v>ST HELIER</v>
          </cell>
          <cell r="P614" t="str">
            <v>DR</v>
          </cell>
          <cell r="R614" t="str">
            <v>SORRENTO</v>
          </cell>
          <cell r="S614" t="str">
            <v>6020</v>
          </cell>
        </row>
        <row r="615">
          <cell r="B615" t="str">
            <v>S0028485</v>
          </cell>
          <cell r="C615" t="str">
            <v>SPS MARINA SOUTH HILLARYS</v>
          </cell>
          <cell r="D615" t="str">
            <v>A- actual</v>
          </cell>
          <cell r="E615" t="str">
            <v>PS- pump station</v>
          </cell>
          <cell r="F615" t="str">
            <v>HILLARYS BOAT HARBOUR</v>
          </cell>
          <cell r="G615" t="str">
            <v>1</v>
          </cell>
          <cell r="H615" t="str">
            <v>P- private</v>
          </cell>
          <cell r="I615" t="str">
            <v>32698</v>
          </cell>
          <cell r="J615" t="str">
            <v>19870422</v>
          </cell>
          <cell r="K615" t="str">
            <v>115.743304927</v>
          </cell>
          <cell r="L615" t="str">
            <v>-31.825453456</v>
          </cell>
          <cell r="M615" t="str">
            <v>H</v>
          </cell>
          <cell r="N615" t="str">
            <v>54</v>
          </cell>
          <cell r="O615" t="str">
            <v>SEAWARD</v>
          </cell>
          <cell r="P615" t="str">
            <v>LOOP</v>
          </cell>
          <cell r="R615" t="str">
            <v>SORRENTO</v>
          </cell>
          <cell r="S615" t="str">
            <v>6020</v>
          </cell>
        </row>
        <row r="616">
          <cell r="B616" t="str">
            <v>S0028481</v>
          </cell>
          <cell r="C616" t="str">
            <v>SPS MARINA NORTH HILLARYS</v>
          </cell>
          <cell r="D616" t="str">
            <v>A- actual</v>
          </cell>
          <cell r="E616" t="str">
            <v>unknown</v>
          </cell>
          <cell r="F616" t="str">
            <v>HILLARYS BOAT HARBOUR</v>
          </cell>
          <cell r="G616" t="str">
            <v>2</v>
          </cell>
          <cell r="H616" t="str">
            <v>P- private</v>
          </cell>
          <cell r="I616" t="str">
            <v>32697</v>
          </cell>
          <cell r="J616" t="str">
            <v>19870710</v>
          </cell>
          <cell r="K616" t="str">
            <v>115.737831353</v>
          </cell>
          <cell r="L616" t="str">
            <v>-31.823716651</v>
          </cell>
          <cell r="M616" t="str">
            <v>H</v>
          </cell>
          <cell r="N616" t="str">
            <v>255</v>
          </cell>
          <cell r="O616" t="str">
            <v>WEST COAST</v>
          </cell>
          <cell r="P616" t="str">
            <v>DR</v>
          </cell>
          <cell r="R616" t="str">
            <v>HILLARYS</v>
          </cell>
          <cell r="S616" t="str">
            <v>6025</v>
          </cell>
        </row>
        <row r="617">
          <cell r="B617" t="str">
            <v>S0028234</v>
          </cell>
          <cell r="C617" t="str">
            <v>SPS ANGOVE DR HILLARYS</v>
          </cell>
          <cell r="D617" t="str">
            <v>A- actual</v>
          </cell>
          <cell r="E617" t="str">
            <v>PS- pump station</v>
          </cell>
          <cell r="F617" t="str">
            <v>ANGOVE DR</v>
          </cell>
          <cell r="G617" t="str">
            <v>078-10</v>
          </cell>
          <cell r="H617" t="str">
            <v>W- water corporation</v>
          </cell>
          <cell r="I617" t="str">
            <v>17851</v>
          </cell>
          <cell r="J617" t="str">
            <v>19890101</v>
          </cell>
          <cell r="K617" t="str">
            <v>115.740426807</v>
          </cell>
          <cell r="L617" t="str">
            <v>-31.814083639</v>
          </cell>
          <cell r="M617" t="str">
            <v>H</v>
          </cell>
          <cell r="N617" t="str">
            <v>31</v>
          </cell>
          <cell r="O617" t="str">
            <v>ANGOVE</v>
          </cell>
          <cell r="P617" t="str">
            <v>DR</v>
          </cell>
          <cell r="R617" t="str">
            <v>HILLARYS</v>
          </cell>
          <cell r="S617" t="str">
            <v>6025</v>
          </cell>
        </row>
        <row r="618">
          <cell r="D618" t="str">
            <v>N- not in use</v>
          </cell>
          <cell r="E618" t="str">
            <v>PS- pump station</v>
          </cell>
          <cell r="F618" t="str">
            <v>HAMERSLEY TEMPORARY</v>
          </cell>
          <cell r="H618" t="str">
            <v>W- water corporation</v>
          </cell>
          <cell r="I618" t="str">
            <v>17806</v>
          </cell>
          <cell r="J618" t="str">
            <v>19870723</v>
          </cell>
          <cell r="K618" t="str">
            <v>115.753467092</v>
          </cell>
          <cell r="L618" t="str">
            <v>-31.828110768</v>
          </cell>
          <cell r="M618" t="str">
            <v>H</v>
          </cell>
          <cell r="N618" t="str">
            <v>52</v>
          </cell>
          <cell r="O618" t="str">
            <v>KEMPENFELDT</v>
          </cell>
          <cell r="P618" t="str">
            <v>AV</v>
          </cell>
          <cell r="R618" t="str">
            <v>SORRENTO</v>
          </cell>
          <cell r="S618" t="str">
            <v>6020</v>
          </cell>
        </row>
        <row r="619">
          <cell r="B619" t="str">
            <v>S0028698</v>
          </cell>
          <cell r="C619" t="str">
            <v>SPS WATERFORD DR HILLARYS</v>
          </cell>
          <cell r="D619" t="str">
            <v>A- actual</v>
          </cell>
          <cell r="E619" t="str">
            <v>PS- pump station</v>
          </cell>
          <cell r="F619" t="str">
            <v>WATERFORD DR</v>
          </cell>
          <cell r="G619" t="str">
            <v>6</v>
          </cell>
          <cell r="H619" t="str">
            <v>W- water corporation</v>
          </cell>
          <cell r="I619" t="str">
            <v>17847</v>
          </cell>
          <cell r="J619" t="str">
            <v>19731101</v>
          </cell>
          <cell r="K619" t="str">
            <v>115.753707225</v>
          </cell>
          <cell r="L619" t="str">
            <v>-31.811244637</v>
          </cell>
          <cell r="M619" t="str">
            <v>H</v>
          </cell>
          <cell r="N619" t="str">
            <v>18</v>
          </cell>
          <cell r="O619" t="str">
            <v>WATERFORD</v>
          </cell>
          <cell r="P619" t="str">
            <v>DR</v>
          </cell>
          <cell r="R619" t="str">
            <v>HILLARYS</v>
          </cell>
          <cell r="S619" t="str">
            <v>6025</v>
          </cell>
        </row>
        <row r="620">
          <cell r="B620" t="str">
            <v>S0028253</v>
          </cell>
          <cell r="C620" t="str">
            <v>SPS BARCLAY AV PADBURY</v>
          </cell>
          <cell r="D620" t="str">
            <v>A- actual</v>
          </cell>
          <cell r="E620" t="str">
            <v>PS- pump station</v>
          </cell>
          <cell r="F620" t="str">
            <v>BARCLAY AV</v>
          </cell>
          <cell r="G620" t="str">
            <v>078-11</v>
          </cell>
          <cell r="H620" t="str">
            <v>W- water corporation</v>
          </cell>
          <cell r="I620" t="str">
            <v>17852</v>
          </cell>
          <cell r="J620" t="str">
            <v>19730720</v>
          </cell>
          <cell r="K620" t="str">
            <v>115.76840684</v>
          </cell>
          <cell r="L620" t="str">
            <v>-31.809343157</v>
          </cell>
          <cell r="M620" t="str">
            <v>H</v>
          </cell>
          <cell r="N620" t="str">
            <v>39</v>
          </cell>
          <cell r="O620" t="str">
            <v>BARCLAY</v>
          </cell>
          <cell r="P620" t="str">
            <v>AV</v>
          </cell>
          <cell r="R620" t="str">
            <v>PADBURY</v>
          </cell>
          <cell r="S620" t="str">
            <v>6025</v>
          </cell>
        </row>
        <row r="621">
          <cell r="D621" t="str">
            <v>A- actual</v>
          </cell>
          <cell r="E621" t="str">
            <v>PS- pump station</v>
          </cell>
          <cell r="F621" t="str">
            <v>SORRENTO BEACH RESORT</v>
          </cell>
          <cell r="H621" t="str">
            <v>P- private</v>
          </cell>
          <cell r="J621" t="str">
            <v>19930101</v>
          </cell>
          <cell r="K621" t="str">
            <v>115.746952981</v>
          </cell>
          <cell r="L621" t="str">
            <v>-31.830720833</v>
          </cell>
          <cell r="M621" t="str">
            <v>H</v>
          </cell>
          <cell r="N621" t="str">
            <v>1</v>
          </cell>
          <cell r="O621" t="str">
            <v>PADBURY</v>
          </cell>
          <cell r="P621" t="str">
            <v>CIR</v>
          </cell>
          <cell r="R621" t="str">
            <v>SORRENTO</v>
          </cell>
          <cell r="S621" t="str">
            <v>6020</v>
          </cell>
        </row>
        <row r="622">
          <cell r="D622" t="str">
            <v>N- not in use</v>
          </cell>
          <cell r="E622" t="str">
            <v>PS- pump station</v>
          </cell>
          <cell r="F622" t="str">
            <v>SORRENTO BEACH CARAVAN PARK</v>
          </cell>
          <cell r="H622" t="str">
            <v>P- private</v>
          </cell>
          <cell r="J622" t="str">
            <v>19000101</v>
          </cell>
          <cell r="K622" t="str">
            <v>115.746924217</v>
          </cell>
          <cell r="L622" t="str">
            <v>-31.829396528</v>
          </cell>
          <cell r="M622" t="str">
            <v>H</v>
          </cell>
          <cell r="N622" t="str">
            <v>160</v>
          </cell>
          <cell r="O622" t="str">
            <v>WEST COAST</v>
          </cell>
          <cell r="P622" t="str">
            <v>DR</v>
          </cell>
          <cell r="R622" t="str">
            <v>SORRENTO</v>
          </cell>
          <cell r="S622" t="str">
            <v>6020</v>
          </cell>
        </row>
        <row r="623">
          <cell r="D623" t="str">
            <v>A- actual</v>
          </cell>
          <cell r="E623" t="str">
            <v>PS- pump station</v>
          </cell>
          <cell r="F623" t="str">
            <v>SUNSET HOMES</v>
          </cell>
          <cell r="H623" t="str">
            <v>P- private</v>
          </cell>
          <cell r="J623" t="str">
            <v>19930101</v>
          </cell>
          <cell r="K623" t="str">
            <v>115.746924217</v>
          </cell>
          <cell r="L623" t="str">
            <v>-31.829396528</v>
          </cell>
          <cell r="M623" t="str">
            <v>H</v>
          </cell>
          <cell r="N623" t="str">
            <v>160</v>
          </cell>
          <cell r="O623" t="str">
            <v>WEST COAST</v>
          </cell>
          <cell r="P623" t="str">
            <v>DR</v>
          </cell>
          <cell r="R623" t="str">
            <v>SORRENTO</v>
          </cell>
          <cell r="S623" t="str">
            <v>6020</v>
          </cell>
        </row>
        <row r="624">
          <cell r="B624" t="str">
            <v>S0028691</v>
          </cell>
          <cell r="C624" t="str">
            <v>SPS WARRIGAL WY GREENWOOD</v>
          </cell>
          <cell r="D624" t="str">
            <v>A- actual</v>
          </cell>
          <cell r="E624" t="str">
            <v>PS- pump station</v>
          </cell>
          <cell r="F624" t="str">
            <v>WARRIGAL WY</v>
          </cell>
          <cell r="G624" t="str">
            <v>032-06</v>
          </cell>
          <cell r="H624" t="str">
            <v>W- water corporation</v>
          </cell>
          <cell r="I624" t="str">
            <v>17794</v>
          </cell>
          <cell r="J624" t="str">
            <v>19701209</v>
          </cell>
          <cell r="K624" t="str">
            <v>115.792978247</v>
          </cell>
          <cell r="L624" t="str">
            <v>-31.824919907</v>
          </cell>
          <cell r="M624" t="str">
            <v>H</v>
          </cell>
          <cell r="N624" t="str">
            <v>14</v>
          </cell>
          <cell r="O624" t="str">
            <v>WARRIGAL</v>
          </cell>
          <cell r="P624" t="str">
            <v>WAY</v>
          </cell>
          <cell r="R624" t="str">
            <v>GREENWOOD</v>
          </cell>
          <cell r="S624" t="str">
            <v>6024</v>
          </cell>
        </row>
        <row r="625">
          <cell r="B625" t="str">
            <v>S0028241</v>
          </cell>
          <cell r="C625" t="str">
            <v>SPS AYTON WY DUNCRAIG</v>
          </cell>
          <cell r="D625" t="str">
            <v>A- actual</v>
          </cell>
          <cell r="E625" t="str">
            <v>PS- pump station</v>
          </cell>
          <cell r="F625" t="str">
            <v>AYTON WY</v>
          </cell>
          <cell r="G625" t="str">
            <v>032-05</v>
          </cell>
          <cell r="H625" t="str">
            <v>W- water corporation</v>
          </cell>
          <cell r="I625" t="str">
            <v>17793</v>
          </cell>
          <cell r="J625" t="str">
            <v>19711201</v>
          </cell>
          <cell r="K625" t="str">
            <v>115.770451115</v>
          </cell>
          <cell r="L625" t="str">
            <v>-31.827686146</v>
          </cell>
          <cell r="M625" t="str">
            <v>H</v>
          </cell>
          <cell r="N625" t="str">
            <v>18</v>
          </cell>
          <cell r="O625" t="str">
            <v>AYTON</v>
          </cell>
          <cell r="P625" t="str">
            <v>WAY</v>
          </cell>
          <cell r="R625" t="str">
            <v>DUNCRAIG</v>
          </cell>
          <cell r="S625" t="str">
            <v>6023</v>
          </cell>
        </row>
        <row r="626">
          <cell r="B626" t="str">
            <v>S0028355</v>
          </cell>
          <cell r="C626" t="str">
            <v>SPS DOVERIDGE DR DUNCRAIG</v>
          </cell>
          <cell r="D626" t="str">
            <v>A- actual</v>
          </cell>
          <cell r="E626" t="str">
            <v>PS- pump station</v>
          </cell>
          <cell r="F626" t="str">
            <v>DOVERIDGE DR</v>
          </cell>
          <cell r="G626" t="str">
            <v>032-10</v>
          </cell>
          <cell r="H626" t="str">
            <v>W- water corporation</v>
          </cell>
          <cell r="I626" t="str">
            <v>17798</v>
          </cell>
          <cell r="J626" t="str">
            <v>19750918</v>
          </cell>
          <cell r="K626" t="str">
            <v>115.783336995</v>
          </cell>
          <cell r="L626" t="str">
            <v>-31.824315701</v>
          </cell>
          <cell r="M626" t="str">
            <v>H</v>
          </cell>
          <cell r="N626" t="str">
            <v>52</v>
          </cell>
          <cell r="O626" t="str">
            <v>DOVERIDGE</v>
          </cell>
          <cell r="P626" t="str">
            <v>DR</v>
          </cell>
          <cell r="R626" t="str">
            <v>DUNCRAIG</v>
          </cell>
          <cell r="S626" t="str">
            <v>6023</v>
          </cell>
        </row>
        <row r="627">
          <cell r="B627" t="str">
            <v>S0028519</v>
          </cell>
          <cell r="C627" t="str">
            <v>SPS KINGSLEY DR KINGSLEY</v>
          </cell>
          <cell r="D627" t="str">
            <v>A- actual</v>
          </cell>
          <cell r="E627" t="str">
            <v>PS- pump station</v>
          </cell>
          <cell r="F627" t="str">
            <v>KINGSLEY DR</v>
          </cell>
          <cell r="G627" t="str">
            <v>1</v>
          </cell>
          <cell r="H627" t="str">
            <v>W- water corporation</v>
          </cell>
          <cell r="I627" t="str">
            <v>17774</v>
          </cell>
          <cell r="J627" t="str">
            <v>19801215</v>
          </cell>
          <cell r="K627" t="str">
            <v>115.789134821</v>
          </cell>
          <cell r="L627" t="str">
            <v>-31.811824816</v>
          </cell>
          <cell r="M627" t="str">
            <v>H</v>
          </cell>
          <cell r="N627" t="str">
            <v>136</v>
          </cell>
          <cell r="O627" t="str">
            <v>KINGSLEY</v>
          </cell>
          <cell r="P627" t="str">
            <v>DR</v>
          </cell>
          <cell r="R627" t="str">
            <v>KINGSLEY</v>
          </cell>
          <cell r="S627" t="str">
            <v>6026</v>
          </cell>
        </row>
        <row r="628">
          <cell r="B628" t="str">
            <v>S0028653</v>
          </cell>
          <cell r="C628" t="str">
            <v>SPS STANFORD RD KALLAROO</v>
          </cell>
          <cell r="D628" t="str">
            <v>A- actual</v>
          </cell>
          <cell r="E628" t="str">
            <v>PS- pump station</v>
          </cell>
          <cell r="F628" t="str">
            <v>STANFORD RD</v>
          </cell>
          <cell r="G628" t="str">
            <v>078-05</v>
          </cell>
          <cell r="H628" t="str">
            <v>W- water corporation</v>
          </cell>
          <cell r="I628" t="str">
            <v>17846</v>
          </cell>
          <cell r="J628" t="str">
            <v>19720101</v>
          </cell>
          <cell r="K628" t="str">
            <v>115.747815875</v>
          </cell>
          <cell r="L628" t="str">
            <v>-31.784584546</v>
          </cell>
          <cell r="M628" t="str">
            <v>L</v>
          </cell>
          <cell r="N628" t="str">
            <v>470</v>
          </cell>
          <cell r="O628" t="str">
            <v>STANFORD</v>
          </cell>
          <cell r="P628" t="str">
            <v>RD</v>
          </cell>
          <cell r="R628" t="str">
            <v>KALLAROO</v>
          </cell>
          <cell r="S628" t="str">
            <v>6025</v>
          </cell>
        </row>
        <row r="629">
          <cell r="B629" t="str">
            <v>S0027289</v>
          </cell>
          <cell r="C629" t="str">
            <v>SPS KARALUNDIE WY MULLALOO</v>
          </cell>
          <cell r="D629" t="str">
            <v>A- actual</v>
          </cell>
          <cell r="E629" t="str">
            <v>PS- pump station</v>
          </cell>
          <cell r="F629" t="str">
            <v>KARALUNDIE WY</v>
          </cell>
          <cell r="G629" t="str">
            <v>1</v>
          </cell>
          <cell r="H629" t="str">
            <v>W- water corporation</v>
          </cell>
          <cell r="I629" t="str">
            <v>17830</v>
          </cell>
          <cell r="J629" t="str">
            <v>19760823</v>
          </cell>
          <cell r="K629" t="str">
            <v>115.741885179</v>
          </cell>
          <cell r="L629" t="str">
            <v>-31.782678853</v>
          </cell>
          <cell r="M629" t="str">
            <v>H</v>
          </cell>
          <cell r="N629" t="str">
            <v>34</v>
          </cell>
          <cell r="O629" t="str">
            <v>KARALUNDIE</v>
          </cell>
          <cell r="P629" t="str">
            <v>WAY</v>
          </cell>
          <cell r="R629" t="str">
            <v>MULLALOO</v>
          </cell>
          <cell r="S629" t="str">
            <v>6027</v>
          </cell>
        </row>
        <row r="630">
          <cell r="B630" t="str">
            <v>S0027277</v>
          </cell>
          <cell r="C630" t="str">
            <v>SPS GAINSBOROUGH WY MULLALOO</v>
          </cell>
          <cell r="D630" t="str">
            <v>A- actual</v>
          </cell>
          <cell r="E630" t="str">
            <v>PS- pump station</v>
          </cell>
          <cell r="F630" t="str">
            <v>GAINSBOROUGH WY</v>
          </cell>
          <cell r="G630" t="str">
            <v>4</v>
          </cell>
          <cell r="H630" t="str">
            <v>W- water corporation</v>
          </cell>
          <cell r="I630" t="str">
            <v>17833</v>
          </cell>
          <cell r="J630" t="str">
            <v>19850101</v>
          </cell>
          <cell r="K630" t="str">
            <v>115.737311598</v>
          </cell>
          <cell r="L630" t="str">
            <v>-31.773678547</v>
          </cell>
          <cell r="M630" t="str">
            <v>L</v>
          </cell>
          <cell r="N630" t="str">
            <v>412</v>
          </cell>
          <cell r="O630" t="str">
            <v>GAINSBOROUGH</v>
          </cell>
          <cell r="P630" t="str">
            <v>WAY</v>
          </cell>
          <cell r="R630" t="str">
            <v>MULLALOO</v>
          </cell>
          <cell r="S630" t="str">
            <v>6027</v>
          </cell>
        </row>
        <row r="631">
          <cell r="B631" t="str">
            <v>S0028260</v>
          </cell>
          <cell r="C631" t="str">
            <v>SPS BARWON RD CRAIGIE</v>
          </cell>
          <cell r="D631" t="str">
            <v>A- actual</v>
          </cell>
          <cell r="E631" t="str">
            <v>PS- pump station</v>
          </cell>
          <cell r="F631" t="str">
            <v>BARWON RD</v>
          </cell>
          <cell r="G631" t="str">
            <v>078-09</v>
          </cell>
          <cell r="H631" t="str">
            <v>W- water corporation</v>
          </cell>
          <cell r="I631" t="str">
            <v>17850</v>
          </cell>
          <cell r="J631" t="str">
            <v>19720401</v>
          </cell>
          <cell r="K631" t="str">
            <v>115.759169313</v>
          </cell>
          <cell r="L631" t="str">
            <v>-31.781935632</v>
          </cell>
          <cell r="M631" t="str">
            <v>H</v>
          </cell>
          <cell r="N631" t="str">
            <v>17</v>
          </cell>
          <cell r="O631" t="str">
            <v>BARWON</v>
          </cell>
          <cell r="P631" t="str">
            <v>RD</v>
          </cell>
          <cell r="R631" t="str">
            <v>CRAIGIE</v>
          </cell>
          <cell r="S631" t="str">
            <v>6025</v>
          </cell>
        </row>
        <row r="632">
          <cell r="B632" t="str">
            <v>S0028533</v>
          </cell>
          <cell r="C632" t="str">
            <v>SPS LEMONGRASS TCE BALLAJURA</v>
          </cell>
          <cell r="D632" t="str">
            <v>A- actual</v>
          </cell>
          <cell r="E632" t="str">
            <v>PS- pump station</v>
          </cell>
          <cell r="F632" t="str">
            <v>LEMONGRASS TCE</v>
          </cell>
          <cell r="G632" t="str">
            <v>4</v>
          </cell>
          <cell r="H632" t="str">
            <v>W- water corporation</v>
          </cell>
          <cell r="I632" t="str">
            <v>17765</v>
          </cell>
          <cell r="J632" t="str">
            <v>19830825</v>
          </cell>
          <cell r="K632" t="str">
            <v>115.882560651</v>
          </cell>
          <cell r="L632" t="str">
            <v>-31.824007219</v>
          </cell>
          <cell r="M632" t="str">
            <v>H</v>
          </cell>
          <cell r="N632" t="str">
            <v>8</v>
          </cell>
          <cell r="O632" t="str">
            <v>LEMONGRASS</v>
          </cell>
          <cell r="P632" t="str">
            <v>TCE</v>
          </cell>
          <cell r="R632" t="str">
            <v>BALLAJURA</v>
          </cell>
          <cell r="S632" t="str">
            <v>6066</v>
          </cell>
        </row>
        <row r="633">
          <cell r="B633" t="str">
            <v>S0028430</v>
          </cell>
          <cell r="C633" t="str">
            <v>SPS GREENPARK RD ALEXANDER HEIGHTS</v>
          </cell>
          <cell r="D633" t="str">
            <v>A- actual</v>
          </cell>
          <cell r="E633" t="str">
            <v>PS- pump station</v>
          </cell>
          <cell r="F633" t="str">
            <v>GREENPARK RD</v>
          </cell>
          <cell r="G633" t="str">
            <v>007-01</v>
          </cell>
          <cell r="H633" t="str">
            <v>W- water corporation</v>
          </cell>
          <cell r="I633" t="str">
            <v>17762</v>
          </cell>
          <cell r="J633" t="str">
            <v>19800101</v>
          </cell>
          <cell r="K633" t="str">
            <v>115.876377801</v>
          </cell>
          <cell r="L633" t="str">
            <v>-31.829609422</v>
          </cell>
          <cell r="M633" t="str">
            <v>H</v>
          </cell>
          <cell r="N633" t="str">
            <v>233</v>
          </cell>
          <cell r="O633" t="str">
            <v>ALEXANDER</v>
          </cell>
          <cell r="P633" t="str">
            <v>DR</v>
          </cell>
          <cell r="R633" t="str">
            <v>ALEXANDER HEIGHTS</v>
          </cell>
          <cell r="S633" t="str">
            <v>6064</v>
          </cell>
        </row>
        <row r="634">
          <cell r="B634" t="str">
            <v>S0033788</v>
          </cell>
          <cell r="C634" t="str">
            <v>SPS MCCOMBE AV SAMSON</v>
          </cell>
          <cell r="D634" t="str">
            <v>A- actual</v>
          </cell>
          <cell r="E634" t="str">
            <v>PS- pump station</v>
          </cell>
          <cell r="F634" t="str">
            <v>MCCOMBE AVE</v>
          </cell>
          <cell r="G634" t="str">
            <v>2</v>
          </cell>
          <cell r="H634" t="str">
            <v>W- water corporation</v>
          </cell>
          <cell r="I634" t="str">
            <v>18077</v>
          </cell>
          <cell r="J634" t="str">
            <v>19780105</v>
          </cell>
          <cell r="K634" t="str">
            <v>115.800820271</v>
          </cell>
          <cell r="L634" t="str">
            <v>-32.0702148946</v>
          </cell>
          <cell r="M634" t="str">
            <v>L</v>
          </cell>
          <cell r="N634" t="str">
            <v>630</v>
          </cell>
          <cell r="O634" t="str">
            <v>MCCOMBE</v>
          </cell>
          <cell r="P634" t="str">
            <v>AV</v>
          </cell>
          <cell r="R634" t="str">
            <v>SAMSON</v>
          </cell>
          <cell r="S634" t="str">
            <v>6163</v>
          </cell>
        </row>
        <row r="635">
          <cell r="B635" t="str">
            <v>S0033742</v>
          </cell>
          <cell r="C635" t="str">
            <v>SPS LE SOUEF DR KARDINYA</v>
          </cell>
          <cell r="D635" t="str">
            <v>A- actual</v>
          </cell>
          <cell r="E635" t="str">
            <v>PS- pump station</v>
          </cell>
          <cell r="F635" t="str">
            <v>LE SOUEF DR</v>
          </cell>
          <cell r="G635" t="str">
            <v>4</v>
          </cell>
          <cell r="H635" t="str">
            <v>W- water corporation</v>
          </cell>
          <cell r="I635" t="str">
            <v>18079</v>
          </cell>
          <cell r="J635" t="str">
            <v>19831013</v>
          </cell>
          <cell r="K635" t="str">
            <v>115.813967662</v>
          </cell>
          <cell r="L635" t="str">
            <v>-32.061017363</v>
          </cell>
          <cell r="M635" t="str">
            <v>H</v>
          </cell>
          <cell r="N635" t="str">
            <v>180</v>
          </cell>
          <cell r="O635" t="str">
            <v>LE SOUEF</v>
          </cell>
          <cell r="P635" t="str">
            <v>DR</v>
          </cell>
          <cell r="R635" t="str">
            <v>KARDINYA</v>
          </cell>
          <cell r="S635" t="str">
            <v>6163</v>
          </cell>
        </row>
        <row r="636">
          <cell r="B636" t="str">
            <v>S0033569</v>
          </cell>
          <cell r="C636" t="str">
            <v>SPS ADAMS ST O'CONNOR</v>
          </cell>
          <cell r="D636" t="str">
            <v>A- actual</v>
          </cell>
          <cell r="E636" t="str">
            <v>PS- pump station</v>
          </cell>
          <cell r="F636" t="str">
            <v>ADAMS ST TEMP</v>
          </cell>
          <cell r="H636" t="str">
            <v>W- water corporation</v>
          </cell>
          <cell r="I636" t="str">
            <v>40482</v>
          </cell>
          <cell r="J636" t="str">
            <v>19900926</v>
          </cell>
          <cell r="K636" t="str">
            <v>115.801620022</v>
          </cell>
          <cell r="L636" t="str">
            <v>-32.061006927</v>
          </cell>
          <cell r="M636" t="str">
            <v>H</v>
          </cell>
          <cell r="N636" t="str">
            <v>5</v>
          </cell>
          <cell r="O636" t="str">
            <v>ADAMS</v>
          </cell>
          <cell r="P636" t="str">
            <v>ST</v>
          </cell>
          <cell r="R636" t="str">
            <v>O'CONNOR</v>
          </cell>
          <cell r="S636" t="str">
            <v>6163</v>
          </cell>
        </row>
        <row r="637">
          <cell r="D637" t="str">
            <v>N- not in use</v>
          </cell>
          <cell r="E637" t="str">
            <v>PS- pump station</v>
          </cell>
          <cell r="F637" t="str">
            <v>SPEARWOOD TEMPORARY</v>
          </cell>
          <cell r="G637" t="str">
            <v>18</v>
          </cell>
          <cell r="H637" t="str">
            <v>W- water corporation</v>
          </cell>
          <cell r="I637" t="str">
            <v>18140</v>
          </cell>
          <cell r="J637" t="str">
            <v>19821026</v>
          </cell>
          <cell r="K637" t="str">
            <v>115.794780077</v>
          </cell>
          <cell r="L637" t="str">
            <v>-32.0643571115</v>
          </cell>
          <cell r="M637" t="str">
            <v>H</v>
          </cell>
          <cell r="N637" t="str">
            <v>43</v>
          </cell>
          <cell r="O637" t="str">
            <v>MARSHALL</v>
          </cell>
          <cell r="P637" t="str">
            <v>WAY</v>
          </cell>
          <cell r="R637" t="str">
            <v>SAMSON</v>
          </cell>
          <cell r="S637" t="str">
            <v>6163</v>
          </cell>
        </row>
        <row r="638">
          <cell r="D638" t="str">
            <v>A- actual</v>
          </cell>
          <cell r="E638" t="str">
            <v>PS- pump station</v>
          </cell>
          <cell r="F638" t="str">
            <v>L88 STOCKDALE RD</v>
          </cell>
          <cell r="H638" t="str">
            <v>P- private</v>
          </cell>
          <cell r="J638" t="str">
            <v>19990305</v>
          </cell>
          <cell r="K638" t="str">
            <v>115.7902566</v>
          </cell>
          <cell r="L638" t="str">
            <v>-32.06042459</v>
          </cell>
          <cell r="M638" t="str">
            <v>H</v>
          </cell>
          <cell r="N638" t="str">
            <v>11</v>
          </cell>
          <cell r="O638" t="str">
            <v>PEEL</v>
          </cell>
          <cell r="P638" t="str">
            <v>RD</v>
          </cell>
          <cell r="R638" t="str">
            <v>O'CONNOR</v>
          </cell>
          <cell r="S638" t="str">
            <v>6163</v>
          </cell>
        </row>
        <row r="639">
          <cell r="D639" t="str">
            <v>A- actual</v>
          </cell>
          <cell r="E639" t="str">
            <v>PS- pump station</v>
          </cell>
          <cell r="F639" t="str">
            <v>PEEL RD</v>
          </cell>
          <cell r="H639" t="str">
            <v>P- private</v>
          </cell>
          <cell r="J639" t="str">
            <v>19851210</v>
          </cell>
          <cell r="K639" t="str">
            <v>115.797071073</v>
          </cell>
          <cell r="L639" t="str">
            <v>-32.0608189414</v>
          </cell>
          <cell r="M639" t="str">
            <v>H</v>
          </cell>
          <cell r="N639" t="str">
            <v>2</v>
          </cell>
          <cell r="O639" t="str">
            <v>ROPER</v>
          </cell>
          <cell r="P639" t="str">
            <v>ST</v>
          </cell>
          <cell r="R639" t="str">
            <v>O'CONNOR</v>
          </cell>
          <cell r="S639" t="str">
            <v>6163</v>
          </cell>
        </row>
        <row r="640">
          <cell r="B640" t="str">
            <v>S0033217</v>
          </cell>
          <cell r="C640" t="str">
            <v>SPS FORSYTH ST O'CONNOR</v>
          </cell>
          <cell r="D640" t="str">
            <v>A- actual</v>
          </cell>
          <cell r="E640" t="str">
            <v>PS- pump station</v>
          </cell>
          <cell r="F640" t="str">
            <v>FORSYTH ST</v>
          </cell>
          <cell r="G640" t="str">
            <v>10</v>
          </cell>
          <cell r="H640" t="str">
            <v>W- water corporation</v>
          </cell>
          <cell r="I640" t="str">
            <v>18139</v>
          </cell>
          <cell r="J640" t="str">
            <v>19660601</v>
          </cell>
          <cell r="K640" t="str">
            <v>115.783592869</v>
          </cell>
          <cell r="L640" t="str">
            <v>-32.0566629876</v>
          </cell>
          <cell r="M640" t="str">
            <v>H</v>
          </cell>
          <cell r="N640" t="str">
            <v>35</v>
          </cell>
          <cell r="O640" t="str">
            <v>FORSYTH</v>
          </cell>
          <cell r="P640" t="str">
            <v>ST</v>
          </cell>
          <cell r="R640" t="str">
            <v>O'CONNOR</v>
          </cell>
          <cell r="S640" t="str">
            <v>6163</v>
          </cell>
        </row>
        <row r="641">
          <cell r="B641" t="str">
            <v>S0033205</v>
          </cell>
          <cell r="C641" t="str">
            <v>SPS DODD ST HAMILTON HILL</v>
          </cell>
          <cell r="D641" t="str">
            <v>A- actual</v>
          </cell>
          <cell r="E641" t="str">
            <v>PS- pump station</v>
          </cell>
          <cell r="F641" t="str">
            <v>DODD ST</v>
          </cell>
          <cell r="G641" t="str">
            <v>12</v>
          </cell>
          <cell r="H641" t="str">
            <v>W- water corporation</v>
          </cell>
          <cell r="I641" t="str">
            <v>56580</v>
          </cell>
          <cell r="J641" t="str">
            <v>19950921</v>
          </cell>
          <cell r="K641" t="str">
            <v>115.78268486</v>
          </cell>
          <cell r="L641" t="str">
            <v>-32.075550722</v>
          </cell>
          <cell r="M641" t="str">
            <v>H</v>
          </cell>
          <cell r="N641" t="str">
            <v>14</v>
          </cell>
          <cell r="O641" t="str">
            <v>DODD</v>
          </cell>
          <cell r="P641" t="str">
            <v>ST</v>
          </cell>
          <cell r="R641" t="str">
            <v>HAMILTON HILL</v>
          </cell>
          <cell r="S641" t="str">
            <v>6163</v>
          </cell>
        </row>
        <row r="642">
          <cell r="B642" t="str">
            <v>S0028559</v>
          </cell>
          <cell r="C642" t="str">
            <v>SPS MILLPORT DR WARWICK</v>
          </cell>
          <cell r="D642" t="str">
            <v>A- actual</v>
          </cell>
          <cell r="E642" t="str">
            <v>PS- pump station</v>
          </cell>
          <cell r="F642" t="str">
            <v>MILLPORT DR</v>
          </cell>
          <cell r="G642" t="str">
            <v>16</v>
          </cell>
          <cell r="H642" t="str">
            <v>W- water corporation</v>
          </cell>
          <cell r="I642" t="str">
            <v>17804</v>
          </cell>
          <cell r="J642" t="str">
            <v>19820601</v>
          </cell>
          <cell r="K642" t="str">
            <v>115.800051564</v>
          </cell>
          <cell r="L642" t="str">
            <v>-31.840016046</v>
          </cell>
          <cell r="M642" t="str">
            <v>H</v>
          </cell>
          <cell r="N642" t="str">
            <v>31</v>
          </cell>
          <cell r="O642" t="str">
            <v>MILLPORT</v>
          </cell>
          <cell r="P642" t="str">
            <v>DR</v>
          </cell>
          <cell r="R642" t="str">
            <v>WARWICK</v>
          </cell>
          <cell r="S642" t="str">
            <v>6024</v>
          </cell>
        </row>
        <row r="643">
          <cell r="B643" t="str">
            <v>S0028416</v>
          </cell>
          <cell r="C643" t="str">
            <v>SPS GLENBAR RD DUNCRAIG</v>
          </cell>
          <cell r="D643" t="str">
            <v>A- actual</v>
          </cell>
          <cell r="E643" t="str">
            <v>PS- pump station</v>
          </cell>
          <cell r="F643" t="str">
            <v>GLENBAR RD</v>
          </cell>
          <cell r="G643" t="str">
            <v>15</v>
          </cell>
          <cell r="H643" t="str">
            <v>W- water corporation</v>
          </cell>
          <cell r="I643" t="str">
            <v>17803</v>
          </cell>
          <cell r="J643" t="str">
            <v>19800101</v>
          </cell>
          <cell r="K643" t="str">
            <v>115.773415165</v>
          </cell>
          <cell r="L643" t="str">
            <v>-31.844913915</v>
          </cell>
          <cell r="M643" t="str">
            <v>H</v>
          </cell>
          <cell r="N643" t="str">
            <v>26</v>
          </cell>
          <cell r="O643" t="str">
            <v>GLENBAR</v>
          </cell>
          <cell r="P643" t="str">
            <v>RD</v>
          </cell>
          <cell r="R643" t="str">
            <v>DUNCRAIG</v>
          </cell>
          <cell r="S643" t="str">
            <v>6023</v>
          </cell>
        </row>
        <row r="644">
          <cell r="B644" t="str">
            <v>S0028526</v>
          </cell>
          <cell r="C644" t="str">
            <v>SPS KINLOCH PL DUNCRAIG</v>
          </cell>
          <cell r="D644" t="str">
            <v>A- actual</v>
          </cell>
          <cell r="E644" t="str">
            <v>PS- pump station</v>
          </cell>
          <cell r="F644" t="str">
            <v>KINLOCH PL</v>
          </cell>
          <cell r="G644" t="str">
            <v>032-07</v>
          </cell>
          <cell r="H644" t="str">
            <v>W- water corporation</v>
          </cell>
          <cell r="I644" t="str">
            <v>17795</v>
          </cell>
          <cell r="J644" t="str">
            <v>19730709</v>
          </cell>
          <cell r="K644" t="str">
            <v>115.786328223</v>
          </cell>
          <cell r="L644" t="str">
            <v>-31.833841084</v>
          </cell>
          <cell r="M644" t="str">
            <v>L</v>
          </cell>
          <cell r="N644" t="str">
            <v>372</v>
          </cell>
          <cell r="O644" t="str">
            <v>KINLOCH</v>
          </cell>
          <cell r="P644" t="str">
            <v>PL</v>
          </cell>
          <cell r="R644" t="str">
            <v>DUNCRAIG</v>
          </cell>
          <cell r="S644" t="str">
            <v>6023</v>
          </cell>
        </row>
        <row r="645">
          <cell r="B645" t="str">
            <v>S0028274</v>
          </cell>
          <cell r="C645" t="str">
            <v>SPS BEDELIA WY HAMERSLEY</v>
          </cell>
          <cell r="D645" t="str">
            <v>A- actual</v>
          </cell>
          <cell r="E645" t="str">
            <v>PS- pump station</v>
          </cell>
          <cell r="F645" t="str">
            <v>BEDELIA WY</v>
          </cell>
          <cell r="G645" t="str">
            <v>1</v>
          </cell>
          <cell r="H645" t="str">
            <v>W- water corporation</v>
          </cell>
          <cell r="I645" t="str">
            <v>17789</v>
          </cell>
          <cell r="J645" t="str">
            <v>19691217</v>
          </cell>
          <cell r="K645" t="str">
            <v>115.797878693</v>
          </cell>
          <cell r="L645" t="str">
            <v>-31.8470074073</v>
          </cell>
          <cell r="M645" t="str">
            <v>H</v>
          </cell>
          <cell r="N645" t="str">
            <v>55</v>
          </cell>
          <cell r="O645" t="str">
            <v>BEDELIA</v>
          </cell>
          <cell r="P645" t="str">
            <v>WAY</v>
          </cell>
          <cell r="R645" t="str">
            <v>HAMERSLEY</v>
          </cell>
          <cell r="S645" t="str">
            <v>6022</v>
          </cell>
        </row>
        <row r="646">
          <cell r="B646" t="str">
            <v>S0028564</v>
          </cell>
          <cell r="C646" t="str">
            <v>SPS MONYASH RD CARINE</v>
          </cell>
          <cell r="D646" t="str">
            <v>A- actual</v>
          </cell>
          <cell r="E646" t="str">
            <v>PS- pump station</v>
          </cell>
          <cell r="F646" t="str">
            <v>MONYASH RD</v>
          </cell>
          <cell r="G646" t="str">
            <v>032-08</v>
          </cell>
          <cell r="H646" t="str">
            <v>W- water corporation</v>
          </cell>
          <cell r="I646" t="str">
            <v>17796</v>
          </cell>
          <cell r="J646" t="str">
            <v>19740201</v>
          </cell>
          <cell r="K646" t="str">
            <v>115.791018925</v>
          </cell>
          <cell r="L646" t="str">
            <v>-31.8535181341</v>
          </cell>
          <cell r="M646" t="str">
            <v>H</v>
          </cell>
          <cell r="N646" t="str">
            <v>28</v>
          </cell>
          <cell r="O646" t="str">
            <v>MONYASH</v>
          </cell>
          <cell r="P646" t="str">
            <v>RD</v>
          </cell>
          <cell r="R646" t="str">
            <v>CARINE</v>
          </cell>
          <cell r="S646" t="str">
            <v>6020</v>
          </cell>
        </row>
        <row r="647">
          <cell r="B647" t="str">
            <v>S0028267</v>
          </cell>
          <cell r="C647" t="str">
            <v>SPS BEACH RD DUNCRAIG</v>
          </cell>
          <cell r="D647" t="str">
            <v>A- actual</v>
          </cell>
          <cell r="E647" t="str">
            <v>PS- pump station</v>
          </cell>
          <cell r="F647" t="str">
            <v>BEACH RD</v>
          </cell>
          <cell r="G647" t="str">
            <v>032-03</v>
          </cell>
          <cell r="H647" t="str">
            <v>W- water corporation</v>
          </cell>
          <cell r="I647" t="str">
            <v>17791</v>
          </cell>
          <cell r="J647" t="str">
            <v>19700715</v>
          </cell>
          <cell r="K647" t="str">
            <v>115.78718759</v>
          </cell>
          <cell r="L647" t="str">
            <v>-31.8455664713</v>
          </cell>
          <cell r="M647" t="str">
            <v>H</v>
          </cell>
          <cell r="N647" t="str">
            <v>489</v>
          </cell>
          <cell r="O647" t="str">
            <v>BEACH</v>
          </cell>
          <cell r="P647" t="str">
            <v>RD</v>
          </cell>
          <cell r="R647" t="str">
            <v>DUNCRAIG</v>
          </cell>
          <cell r="S647" t="str">
            <v>6023</v>
          </cell>
        </row>
        <row r="648">
          <cell r="B648" t="str">
            <v>S0028313</v>
          </cell>
          <cell r="C648" t="str">
            <v>SPS COOLIBAH DR GREENWOOD</v>
          </cell>
          <cell r="D648" t="str">
            <v>A- actual</v>
          </cell>
          <cell r="E648" t="str">
            <v>PS- pump station</v>
          </cell>
          <cell r="F648" t="str">
            <v>COOLIBAH DR</v>
          </cell>
          <cell r="G648" t="str">
            <v>4</v>
          </cell>
          <cell r="H648" t="str">
            <v>W- water corporation</v>
          </cell>
          <cell r="I648" t="str">
            <v>17792</v>
          </cell>
          <cell r="J648" t="str">
            <v>19701124</v>
          </cell>
          <cell r="K648" t="str">
            <v>115.801430712</v>
          </cell>
          <cell r="L648" t="str">
            <v>-31.832113428</v>
          </cell>
          <cell r="M648" t="str">
            <v>H</v>
          </cell>
          <cell r="N648" t="str">
            <v>1</v>
          </cell>
          <cell r="O648" t="str">
            <v>CALECTASIA</v>
          </cell>
          <cell r="P648" t="str">
            <v>ST</v>
          </cell>
          <cell r="R648" t="str">
            <v>GREENWOOD</v>
          </cell>
          <cell r="S648" t="str">
            <v>6024</v>
          </cell>
        </row>
        <row r="649">
          <cell r="B649" t="str">
            <v>S0028538</v>
          </cell>
          <cell r="C649" t="str">
            <v>SPS LIDDELL ST GIRRAWHEEN</v>
          </cell>
          <cell r="D649" t="str">
            <v>A- actual</v>
          </cell>
          <cell r="E649" t="str">
            <v>PS- pump station</v>
          </cell>
          <cell r="F649" t="str">
            <v>LIDDELL ST</v>
          </cell>
          <cell r="G649" t="str">
            <v>1</v>
          </cell>
          <cell r="H649" t="str">
            <v>W- water corporation</v>
          </cell>
          <cell r="I649" t="str">
            <v>17819</v>
          </cell>
          <cell r="J649" t="str">
            <v>19730502</v>
          </cell>
          <cell r="K649" t="str">
            <v>115.82369066</v>
          </cell>
          <cell r="L649" t="str">
            <v>-31.840469552</v>
          </cell>
          <cell r="M649" t="str">
            <v>H</v>
          </cell>
          <cell r="N649" t="str">
            <v>15</v>
          </cell>
          <cell r="O649" t="str">
            <v>LIDDELL</v>
          </cell>
          <cell r="P649" t="str">
            <v>ST</v>
          </cell>
          <cell r="R649" t="str">
            <v>GIRRAWHEEN</v>
          </cell>
          <cell r="S649" t="str">
            <v>6064</v>
          </cell>
        </row>
        <row r="650">
          <cell r="B650" t="str">
            <v>S0028454</v>
          </cell>
          <cell r="C650" t="str">
            <v>SPS HANWORTH ST BALCATTA</v>
          </cell>
          <cell r="D650" t="str">
            <v>A- actual</v>
          </cell>
          <cell r="E650" t="str">
            <v>PS- pump station</v>
          </cell>
          <cell r="F650" t="str">
            <v>HANWORTH ST</v>
          </cell>
          <cell r="G650" t="str">
            <v>005-06</v>
          </cell>
          <cell r="H650" t="str">
            <v>W- water corporation</v>
          </cell>
          <cell r="I650" t="str">
            <v>17752</v>
          </cell>
          <cell r="J650" t="str">
            <v>19850723</v>
          </cell>
          <cell r="K650" t="str">
            <v>115.821030399</v>
          </cell>
          <cell r="L650" t="str">
            <v>-31.8729450202</v>
          </cell>
          <cell r="M650" t="str">
            <v>H</v>
          </cell>
          <cell r="N650" t="str">
            <v>198</v>
          </cell>
          <cell r="O650" t="str">
            <v>JONES</v>
          </cell>
          <cell r="P650" t="str">
            <v>ST</v>
          </cell>
          <cell r="R650" t="str">
            <v>BALCATTA</v>
          </cell>
          <cell r="S650" t="str">
            <v>6021</v>
          </cell>
        </row>
        <row r="651">
          <cell r="B651" t="str">
            <v>S0028248</v>
          </cell>
          <cell r="C651" t="str">
            <v>SPS BALCATTA RD BALCATTA</v>
          </cell>
          <cell r="D651" t="str">
            <v>A- actual</v>
          </cell>
          <cell r="E651" t="str">
            <v>PS- pump station</v>
          </cell>
          <cell r="F651" t="str">
            <v>BALCATTA RD</v>
          </cell>
          <cell r="G651" t="str">
            <v>3</v>
          </cell>
          <cell r="H651" t="str">
            <v>W- water corporation</v>
          </cell>
          <cell r="I651" t="str">
            <v>17759</v>
          </cell>
          <cell r="J651" t="str">
            <v>19850904</v>
          </cell>
          <cell r="K651" t="str">
            <v>115.825555548</v>
          </cell>
          <cell r="L651" t="str">
            <v>-31.8634206923</v>
          </cell>
          <cell r="M651" t="str">
            <v>H</v>
          </cell>
          <cell r="N651" t="str">
            <v>257</v>
          </cell>
          <cell r="O651" t="str">
            <v>BALCATTA</v>
          </cell>
          <cell r="P651" t="str">
            <v>RD</v>
          </cell>
          <cell r="R651" t="str">
            <v>BALCATTA</v>
          </cell>
          <cell r="S651" t="str">
            <v>6021</v>
          </cell>
        </row>
        <row r="652">
          <cell r="B652" t="str">
            <v>S0028502</v>
          </cell>
          <cell r="C652" t="str">
            <v>SPS JONES ST BALCATTA</v>
          </cell>
          <cell r="D652" t="str">
            <v>A- actual</v>
          </cell>
          <cell r="E652" t="str">
            <v>PS- pump station</v>
          </cell>
          <cell r="F652" t="str">
            <v>JONES ST</v>
          </cell>
          <cell r="G652" t="str">
            <v>1</v>
          </cell>
          <cell r="H652" t="str">
            <v>W- water corporation</v>
          </cell>
          <cell r="I652" t="str">
            <v>17747</v>
          </cell>
          <cell r="J652" t="str">
            <v>19731108</v>
          </cell>
          <cell r="K652" t="str">
            <v>115.820566815</v>
          </cell>
          <cell r="L652" t="str">
            <v>-31.8688440337</v>
          </cell>
          <cell r="M652" t="str">
            <v>H</v>
          </cell>
          <cell r="N652" t="str">
            <v>239</v>
          </cell>
          <cell r="O652" t="str">
            <v>JONES</v>
          </cell>
          <cell r="P652" t="str">
            <v>ST</v>
          </cell>
          <cell r="R652" t="str">
            <v>BALCATTA</v>
          </cell>
          <cell r="S652" t="str">
            <v>6021</v>
          </cell>
        </row>
        <row r="653">
          <cell r="B653" t="str">
            <v>S0028687</v>
          </cell>
          <cell r="C653" t="str">
            <v>SPS WANNEROO RD HAMERSLEY</v>
          </cell>
          <cell r="D653" t="str">
            <v>A- actual</v>
          </cell>
          <cell r="E653" t="str">
            <v>PS- pump station</v>
          </cell>
          <cell r="F653" t="str">
            <v>WANNEROO RD</v>
          </cell>
          <cell r="G653" t="str">
            <v>5</v>
          </cell>
          <cell r="H653" t="str">
            <v>W- water corporation</v>
          </cell>
          <cell r="I653" t="str">
            <v>33082</v>
          </cell>
          <cell r="J653" t="str">
            <v>19870101</v>
          </cell>
          <cell r="K653" t="str">
            <v>115.824911565</v>
          </cell>
          <cell r="L653" t="str">
            <v>-31.8567244421</v>
          </cell>
          <cell r="M653" t="str">
            <v>H</v>
          </cell>
          <cell r="N653" t="str">
            <v>567</v>
          </cell>
          <cell r="O653" t="str">
            <v>WANNEROO</v>
          </cell>
          <cell r="P653" t="str">
            <v>RD</v>
          </cell>
          <cell r="R653" t="str">
            <v>HAMERSLEY</v>
          </cell>
          <cell r="S653" t="str">
            <v>6022</v>
          </cell>
        </row>
        <row r="654">
          <cell r="B654" t="str">
            <v>S0028467</v>
          </cell>
          <cell r="C654" t="str">
            <v>SPS HARRIS WY WESTMINSTER</v>
          </cell>
          <cell r="D654" t="str">
            <v>A- actual</v>
          </cell>
          <cell r="E654" t="str">
            <v>PS- pump station</v>
          </cell>
          <cell r="F654" t="str">
            <v>HARRIS WY</v>
          </cell>
          <cell r="G654" t="str">
            <v>006-02</v>
          </cell>
          <cell r="H654" t="str">
            <v>W- water corporation</v>
          </cell>
          <cell r="I654" t="str">
            <v>17758</v>
          </cell>
          <cell r="J654" t="str">
            <v>19800103</v>
          </cell>
          <cell r="K654" t="str">
            <v>115.852532052</v>
          </cell>
          <cell r="L654" t="str">
            <v>-31.8684965754</v>
          </cell>
          <cell r="M654" t="str">
            <v>H</v>
          </cell>
          <cell r="N654" t="str">
            <v>41</v>
          </cell>
          <cell r="O654" t="str">
            <v>HARRIS</v>
          </cell>
          <cell r="P654" t="str">
            <v>WAY</v>
          </cell>
          <cell r="R654" t="str">
            <v>WESTMINSTER</v>
          </cell>
          <cell r="S654" t="str">
            <v>6061</v>
          </cell>
        </row>
        <row r="655">
          <cell r="D655" t="str">
            <v>N- not in use</v>
          </cell>
          <cell r="E655" t="str">
            <v>PS- pump station</v>
          </cell>
          <cell r="H655" t="str">
            <v>P- private</v>
          </cell>
          <cell r="J655" t="str">
            <v>19890810</v>
          </cell>
          <cell r="K655" t="str">
            <v>115.853402305</v>
          </cell>
          <cell r="L655" t="str">
            <v>-31.8627318024</v>
          </cell>
          <cell r="M655" t="str">
            <v>H</v>
          </cell>
          <cell r="N655" t="str">
            <v>18</v>
          </cell>
          <cell r="O655" t="str">
            <v>LOXWOOD</v>
          </cell>
          <cell r="P655" t="str">
            <v>RD</v>
          </cell>
          <cell r="R655" t="str">
            <v>BALGA</v>
          </cell>
          <cell r="S655" t="str">
            <v>6061</v>
          </cell>
        </row>
        <row r="656">
          <cell r="B656" t="str">
            <v>S0028629</v>
          </cell>
          <cell r="C656" t="str">
            <v>SPS SHELDRAKE ST STIRLING</v>
          </cell>
          <cell r="D656" t="str">
            <v>A- actual</v>
          </cell>
          <cell r="E656" t="str">
            <v>PS- pump station</v>
          </cell>
          <cell r="F656" t="str">
            <v>SHELDRAKE ST</v>
          </cell>
          <cell r="G656" t="str">
            <v>005-02</v>
          </cell>
          <cell r="H656" t="str">
            <v>W- water corporation</v>
          </cell>
          <cell r="I656" t="str">
            <v>17748</v>
          </cell>
          <cell r="J656" t="str">
            <v>19760525</v>
          </cell>
          <cell r="K656" t="str">
            <v>115.804073582</v>
          </cell>
          <cell r="L656" t="str">
            <v>-31.8779643918</v>
          </cell>
          <cell r="M656" t="str">
            <v>H</v>
          </cell>
          <cell r="N656" t="str">
            <v>52</v>
          </cell>
          <cell r="O656" t="str">
            <v>SHELDRAKE</v>
          </cell>
          <cell r="P656" t="str">
            <v>ST</v>
          </cell>
          <cell r="R656" t="str">
            <v>STIRLING</v>
          </cell>
          <cell r="S656" t="str">
            <v>6021</v>
          </cell>
        </row>
        <row r="657">
          <cell r="B657" t="str">
            <v>S0028474</v>
          </cell>
          <cell r="C657" t="str">
            <v>SPS HASTINGS ST SCARBOROUGH</v>
          </cell>
          <cell r="D657" t="str">
            <v>A- actual</v>
          </cell>
          <cell r="E657" t="str">
            <v>PS- pump station</v>
          </cell>
          <cell r="F657" t="str">
            <v>HASTINGS ST</v>
          </cell>
          <cell r="G657" t="str">
            <v>064-01</v>
          </cell>
          <cell r="H657" t="str">
            <v>W- water corporation</v>
          </cell>
          <cell r="I657" t="str">
            <v>17705</v>
          </cell>
          <cell r="J657" t="str">
            <v>19700609</v>
          </cell>
          <cell r="K657" t="str">
            <v>115.75897906</v>
          </cell>
          <cell r="L657" t="str">
            <v>-31.895239731</v>
          </cell>
          <cell r="M657" t="str">
            <v>H</v>
          </cell>
          <cell r="N657" t="str">
            <v>11</v>
          </cell>
          <cell r="O657" t="str">
            <v>HASTINGS</v>
          </cell>
          <cell r="P657" t="str">
            <v>ST</v>
          </cell>
          <cell r="R657" t="str">
            <v>SCARBOROUGH</v>
          </cell>
          <cell r="S657" t="str">
            <v>6019</v>
          </cell>
        </row>
        <row r="658">
          <cell r="B658" t="str">
            <v>S0028299</v>
          </cell>
          <cell r="C658" t="str">
            <v>SPS CLIFTON ST SCARBOROUGH</v>
          </cell>
          <cell r="D658" t="str">
            <v>A- actual</v>
          </cell>
          <cell r="E658" t="str">
            <v>PS- pump station</v>
          </cell>
          <cell r="F658" t="str">
            <v>CLIFTON ST</v>
          </cell>
          <cell r="G658" t="str">
            <v>3</v>
          </cell>
          <cell r="H658" t="str">
            <v>W- water corporation</v>
          </cell>
          <cell r="I658" t="str">
            <v>17706</v>
          </cell>
          <cell r="J658" t="str">
            <v>19781205</v>
          </cell>
          <cell r="K658" t="str">
            <v>115.763942382</v>
          </cell>
          <cell r="L658" t="str">
            <v>-31.8968399286</v>
          </cell>
          <cell r="M658" t="str">
            <v>H</v>
          </cell>
          <cell r="N658" t="str">
            <v>4</v>
          </cell>
          <cell r="O658" t="str">
            <v>CLIFTON</v>
          </cell>
          <cell r="P658" t="str">
            <v>ST</v>
          </cell>
          <cell r="R658" t="str">
            <v>SCARBOROUGH</v>
          </cell>
          <cell r="S658" t="str">
            <v>6019</v>
          </cell>
        </row>
        <row r="659">
          <cell r="D659" t="str">
            <v>N- not in use</v>
          </cell>
          <cell r="E659" t="str">
            <v>PS- pump station</v>
          </cell>
          <cell r="F659" t="str">
            <v>SACKVILLE TCE</v>
          </cell>
          <cell r="H659" t="str">
            <v>P- private</v>
          </cell>
          <cell r="J659" t="str">
            <v>19620414</v>
          </cell>
          <cell r="K659" t="str">
            <v>115.765690141</v>
          </cell>
          <cell r="L659" t="str">
            <v>-31.889091352</v>
          </cell>
          <cell r="M659" t="str">
            <v>H</v>
          </cell>
          <cell r="N659" t="str">
            <v>31</v>
          </cell>
          <cell r="O659" t="str">
            <v>SACKVILLE</v>
          </cell>
          <cell r="P659" t="str">
            <v>TCE</v>
          </cell>
          <cell r="R659" t="str">
            <v>SCARBOROUGH</v>
          </cell>
          <cell r="S659" t="str">
            <v>6019</v>
          </cell>
        </row>
        <row r="660">
          <cell r="B660" t="str">
            <v>S0028489</v>
          </cell>
          <cell r="C660" t="str">
            <v>SPS IBIS ST STIRLING</v>
          </cell>
          <cell r="D660" t="str">
            <v>A- actual</v>
          </cell>
          <cell r="E660" t="str">
            <v>PS- pump station</v>
          </cell>
          <cell r="F660" t="str">
            <v>IBIS ST</v>
          </cell>
          <cell r="G660" t="str">
            <v>005-03</v>
          </cell>
          <cell r="H660" t="str">
            <v>W- water corporation</v>
          </cell>
          <cell r="I660" t="str">
            <v>17749</v>
          </cell>
          <cell r="J660" t="str">
            <v>19770101</v>
          </cell>
          <cell r="K660" t="str">
            <v>115.812819597</v>
          </cell>
          <cell r="L660" t="str">
            <v>-31.883597013</v>
          </cell>
          <cell r="M660" t="str">
            <v>H</v>
          </cell>
          <cell r="N660" t="str">
            <v>5</v>
          </cell>
          <cell r="O660" t="str">
            <v>IBIS</v>
          </cell>
          <cell r="P660" t="str">
            <v>ST</v>
          </cell>
          <cell r="R660" t="str">
            <v>STIRLING</v>
          </cell>
          <cell r="S660" t="str">
            <v>6021</v>
          </cell>
        </row>
        <row r="661">
          <cell r="D661" t="str">
            <v>A- actual</v>
          </cell>
          <cell r="E661" t="str">
            <v>PS- pump station</v>
          </cell>
          <cell r="F661" t="str">
            <v>ABBETT STREET</v>
          </cell>
          <cell r="H661" t="str">
            <v>P- private</v>
          </cell>
          <cell r="I661" t="str">
            <v>45239</v>
          </cell>
          <cell r="J661" t="str">
            <v>19781003</v>
          </cell>
          <cell r="K661" t="str">
            <v>115.769296355</v>
          </cell>
          <cell r="L661" t="str">
            <v>-31.8936491299</v>
          </cell>
          <cell r="M661" t="str">
            <v>H</v>
          </cell>
          <cell r="N661" t="str">
            <v>162</v>
          </cell>
          <cell r="O661" t="str">
            <v>ABBETT</v>
          </cell>
          <cell r="P661" t="str">
            <v>ST</v>
          </cell>
          <cell r="R661" t="str">
            <v>SCARBOROUGH</v>
          </cell>
          <cell r="S661" t="str">
            <v>6019</v>
          </cell>
        </row>
        <row r="662">
          <cell r="D662" t="str">
            <v>A- actual</v>
          </cell>
          <cell r="E662" t="str">
            <v>PS- pump station</v>
          </cell>
          <cell r="F662" t="str">
            <v>NEWHAVEN VILLAGE</v>
          </cell>
          <cell r="H662" t="str">
            <v>P- private</v>
          </cell>
          <cell r="J662" t="str">
            <v>19781003</v>
          </cell>
          <cell r="K662" t="str">
            <v>115.768532564</v>
          </cell>
          <cell r="L662" t="str">
            <v>-31.893641629</v>
          </cell>
          <cell r="M662" t="str">
            <v>H</v>
          </cell>
          <cell r="N662" t="str">
            <v>163</v>
          </cell>
          <cell r="O662" t="str">
            <v>ABBETT</v>
          </cell>
          <cell r="P662" t="str">
            <v>ST</v>
          </cell>
          <cell r="R662" t="str">
            <v>SCARBOROUGH</v>
          </cell>
          <cell r="S662" t="str">
            <v>6019</v>
          </cell>
        </row>
        <row r="663">
          <cell r="B663" t="str">
            <v>S0028509</v>
          </cell>
          <cell r="C663" t="str">
            <v>SPS KARRINYUP RD STIRLING</v>
          </cell>
          <cell r="D663" t="str">
            <v>A- actual</v>
          </cell>
          <cell r="E663" t="str">
            <v>PS- pump station</v>
          </cell>
          <cell r="F663" t="str">
            <v>KARRINYUP RD TEMP</v>
          </cell>
          <cell r="H663" t="str">
            <v>W- water corporation</v>
          </cell>
          <cell r="I663" t="str">
            <v>17756</v>
          </cell>
          <cell r="J663" t="str">
            <v>19870101</v>
          </cell>
          <cell r="K663" t="str">
            <v>115.814459577</v>
          </cell>
          <cell r="L663" t="str">
            <v>-31.889165366</v>
          </cell>
          <cell r="M663" t="str">
            <v>H</v>
          </cell>
          <cell r="N663" t="str">
            <v>663</v>
          </cell>
          <cell r="O663" t="str">
            <v>KARRINYUP</v>
          </cell>
          <cell r="P663" t="str">
            <v>RD</v>
          </cell>
          <cell r="R663" t="str">
            <v>STIRLING</v>
          </cell>
          <cell r="S663" t="str">
            <v>6021</v>
          </cell>
        </row>
        <row r="664">
          <cell r="D664" t="str">
            <v>P- proposed</v>
          </cell>
          <cell r="E664" t="str">
            <v>PS- pump station</v>
          </cell>
          <cell r="F664" t="str">
            <v>BALCATTA</v>
          </cell>
          <cell r="H664" t="str">
            <v>P- private</v>
          </cell>
          <cell r="J664" t="str">
            <v>19000101</v>
          </cell>
          <cell r="K664" t="str">
            <v>115.805984548</v>
          </cell>
          <cell r="L664" t="str">
            <v>-31.892767257</v>
          </cell>
          <cell r="M664" t="str">
            <v>L</v>
          </cell>
          <cell r="N664" t="str">
            <v>50</v>
          </cell>
          <cell r="O664" t="str">
            <v>CEDRIC</v>
          </cell>
          <cell r="P664" t="str">
            <v>ST</v>
          </cell>
          <cell r="R664" t="str">
            <v>STIRLING</v>
          </cell>
          <cell r="S664" t="str">
            <v>6021</v>
          </cell>
        </row>
        <row r="665">
          <cell r="B665" t="str">
            <v>S0028223</v>
          </cell>
          <cell r="C665" t="str">
            <v>SPS ABBETT PARK SCARBOROUGH</v>
          </cell>
          <cell r="D665" t="str">
            <v>A- actual</v>
          </cell>
          <cell r="E665" t="str">
            <v>PS- pump station</v>
          </cell>
          <cell r="F665" t="str">
            <v>ABBETT PARK</v>
          </cell>
          <cell r="G665" t="str">
            <v>6</v>
          </cell>
          <cell r="H665" t="str">
            <v>W- water corporation</v>
          </cell>
          <cell r="J665" t="str">
            <v>19930601</v>
          </cell>
          <cell r="K665" t="str">
            <v>115.763953951</v>
          </cell>
          <cell r="L665" t="str">
            <v>-31.8909039198</v>
          </cell>
          <cell r="M665" t="str">
            <v>H</v>
          </cell>
          <cell r="N665" t="str">
            <v>15</v>
          </cell>
          <cell r="O665" t="str">
            <v>JOYCE</v>
          </cell>
          <cell r="P665" t="str">
            <v>ST</v>
          </cell>
          <cell r="R665" t="str">
            <v>SCARBOROUGH</v>
          </cell>
          <cell r="S665" t="str">
            <v>6019</v>
          </cell>
        </row>
        <row r="666">
          <cell r="B666" t="str">
            <v>S0028296</v>
          </cell>
          <cell r="C666" t="str">
            <v>SPS CIVIC PL STIRLING</v>
          </cell>
          <cell r="D666" t="str">
            <v>A- actual</v>
          </cell>
          <cell r="E666" t="str">
            <v>PS- pump station</v>
          </cell>
          <cell r="F666" t="str">
            <v>CIVIC PL</v>
          </cell>
          <cell r="G666" t="str">
            <v>11</v>
          </cell>
          <cell r="H666" t="str">
            <v>W- water corporation</v>
          </cell>
          <cell r="J666" t="str">
            <v>19950101</v>
          </cell>
          <cell r="K666" t="str">
            <v>115.806097543</v>
          </cell>
          <cell r="L666" t="str">
            <v>-31.888551806</v>
          </cell>
          <cell r="M666" t="str">
            <v>H</v>
          </cell>
          <cell r="N666" t="str">
            <v>26</v>
          </cell>
          <cell r="O666" t="str">
            <v>ELTON</v>
          </cell>
          <cell r="P666" t="str">
            <v>PL</v>
          </cell>
          <cell r="R666" t="str">
            <v>STIRLING</v>
          </cell>
          <cell r="S666" t="str">
            <v>6021</v>
          </cell>
        </row>
        <row r="667">
          <cell r="D667" t="str">
            <v>A- actual</v>
          </cell>
          <cell r="E667" t="str">
            <v>PS- pump station</v>
          </cell>
          <cell r="F667" t="str">
            <v>BIRRALEE PRIMARY SCHOOL</v>
          </cell>
          <cell r="H667" t="str">
            <v>P- private</v>
          </cell>
          <cell r="J667" t="str">
            <v>19811006</v>
          </cell>
          <cell r="K667" t="str">
            <v>115.801332616</v>
          </cell>
          <cell r="L667" t="str">
            <v>-31.892894105</v>
          </cell>
          <cell r="M667" t="str">
            <v>H</v>
          </cell>
          <cell r="N667" t="str">
            <v>54</v>
          </cell>
          <cell r="O667" t="str">
            <v>HERTHA</v>
          </cell>
          <cell r="P667" t="str">
            <v>RD</v>
          </cell>
          <cell r="R667" t="str">
            <v>INNALOO</v>
          </cell>
          <cell r="S667" t="str">
            <v>6018</v>
          </cell>
        </row>
        <row r="668">
          <cell r="B668" t="str">
            <v>S0028671</v>
          </cell>
          <cell r="C668" t="str">
            <v>SPS TWYFORD PL INNALOO</v>
          </cell>
          <cell r="D668" t="str">
            <v>A- actual</v>
          </cell>
          <cell r="E668" t="str">
            <v>PS- pump station</v>
          </cell>
          <cell r="F668" t="str">
            <v>TWYFORD PL</v>
          </cell>
          <cell r="G668" t="str">
            <v>10</v>
          </cell>
          <cell r="H668" t="str">
            <v>W- water corporation</v>
          </cell>
          <cell r="I668" t="str">
            <v>50742</v>
          </cell>
          <cell r="J668" t="str">
            <v>19941221</v>
          </cell>
          <cell r="K668" t="str">
            <v>115.802722882</v>
          </cell>
          <cell r="L668" t="str">
            <v>-31.8980945119</v>
          </cell>
          <cell r="M668" t="str">
            <v>H</v>
          </cell>
          <cell r="N668" t="str">
            <v>39</v>
          </cell>
          <cell r="O668" t="str">
            <v>ELLEN STIRLING</v>
          </cell>
          <cell r="P668" t="str">
            <v>BVD</v>
          </cell>
          <cell r="R668" t="str">
            <v>INNALOO</v>
          </cell>
          <cell r="S668" t="str">
            <v>6018</v>
          </cell>
        </row>
        <row r="669">
          <cell r="D669" t="str">
            <v>A- actual</v>
          </cell>
          <cell r="E669" t="str">
            <v>PS- pump station</v>
          </cell>
          <cell r="F669" t="str">
            <v>TARCA HOMES</v>
          </cell>
          <cell r="H669" t="str">
            <v>P- private</v>
          </cell>
          <cell r="J669" t="str">
            <v>19950308</v>
          </cell>
          <cell r="K669" t="str">
            <v>115.78329162</v>
          </cell>
          <cell r="L669" t="str">
            <v>-31.8955450204</v>
          </cell>
          <cell r="M669" t="str">
            <v>H</v>
          </cell>
          <cell r="N669" t="str">
            <v>253</v>
          </cell>
          <cell r="O669" t="str">
            <v>WOODSIDE</v>
          </cell>
          <cell r="P669" t="str">
            <v>ST</v>
          </cell>
          <cell r="R669" t="str">
            <v>DOUBLEVIEW</v>
          </cell>
          <cell r="S669" t="str">
            <v>6018</v>
          </cell>
        </row>
        <row r="670">
          <cell r="B670" t="str">
            <v>S0028291</v>
          </cell>
          <cell r="C670" t="str">
            <v>SPS CASSOWARY DR BALLAJURA</v>
          </cell>
          <cell r="D670" t="str">
            <v>A- actual</v>
          </cell>
          <cell r="E670" t="str">
            <v>PS- pump station</v>
          </cell>
          <cell r="F670" t="str">
            <v>CASSOWARY DR</v>
          </cell>
          <cell r="G670" t="str">
            <v>005-09</v>
          </cell>
          <cell r="H670" t="str">
            <v>W- water corporation</v>
          </cell>
          <cell r="I670" t="str">
            <v>17763</v>
          </cell>
          <cell r="J670" t="str">
            <v>19861125</v>
          </cell>
          <cell r="K670" t="str">
            <v>115.896150693</v>
          </cell>
          <cell r="L670" t="str">
            <v>-31.845907068</v>
          </cell>
          <cell r="M670" t="str">
            <v>H</v>
          </cell>
          <cell r="N670" t="str">
            <v>39</v>
          </cell>
          <cell r="O670" t="str">
            <v>CASSOWARY</v>
          </cell>
          <cell r="P670" t="str">
            <v>DR</v>
          </cell>
          <cell r="R670" t="str">
            <v>BALLAJURA</v>
          </cell>
          <cell r="S670" t="str">
            <v>6066</v>
          </cell>
        </row>
        <row r="671">
          <cell r="B671" t="str">
            <v>S0028604</v>
          </cell>
          <cell r="C671" t="str">
            <v>SPS RENDELL WY KOONDOOLA</v>
          </cell>
          <cell r="D671" t="str">
            <v>A- actual</v>
          </cell>
          <cell r="E671" t="str">
            <v>PS- pump station</v>
          </cell>
          <cell r="F671" t="str">
            <v>RENDELL WY</v>
          </cell>
          <cell r="G671" t="str">
            <v>006-01</v>
          </cell>
          <cell r="H671" t="str">
            <v>W- water corporation</v>
          </cell>
          <cell r="I671" t="str">
            <v>17757</v>
          </cell>
          <cell r="J671" t="str">
            <v>19880617</v>
          </cell>
          <cell r="K671" t="str">
            <v>115.870120176</v>
          </cell>
          <cell r="L671" t="str">
            <v>-31.848251076</v>
          </cell>
          <cell r="M671" t="str">
            <v>H</v>
          </cell>
          <cell r="N671" t="str">
            <v>15</v>
          </cell>
          <cell r="O671" t="str">
            <v>RENDELL</v>
          </cell>
          <cell r="P671" t="str">
            <v>WAY</v>
          </cell>
          <cell r="R671" t="str">
            <v>KOONDOOLA</v>
          </cell>
          <cell r="S671" t="str">
            <v>6064</v>
          </cell>
        </row>
        <row r="672">
          <cell r="B672" t="str">
            <v>S0028514</v>
          </cell>
          <cell r="C672" t="str">
            <v>SPS KINGFISHER AV BALLAJURA</v>
          </cell>
          <cell r="D672" t="str">
            <v>A- actual</v>
          </cell>
          <cell r="E672" t="str">
            <v>PS- pump station</v>
          </cell>
          <cell r="F672" t="str">
            <v>KINGFISHER AV</v>
          </cell>
          <cell r="G672" t="str">
            <v>007-05</v>
          </cell>
          <cell r="H672" t="str">
            <v>W- water corporation</v>
          </cell>
          <cell r="I672" t="str">
            <v>17766</v>
          </cell>
          <cell r="J672" t="str">
            <v>19850420</v>
          </cell>
          <cell r="K672" t="str">
            <v>115.89566793</v>
          </cell>
          <cell r="L672" t="str">
            <v>-31.838733572</v>
          </cell>
          <cell r="M672" t="str">
            <v>L</v>
          </cell>
          <cell r="N672" t="str">
            <v>12</v>
          </cell>
          <cell r="O672" t="str">
            <v>KINGFISHER</v>
          </cell>
          <cell r="P672" t="str">
            <v>AV</v>
          </cell>
          <cell r="R672" t="str">
            <v>BALLAJURA</v>
          </cell>
          <cell r="S672" t="str">
            <v>6066</v>
          </cell>
        </row>
        <row r="673">
          <cell r="B673" t="str">
            <v>S0028660</v>
          </cell>
          <cell r="C673" t="str">
            <v>SPS SUMMERLAKES PDE BALLAJURA</v>
          </cell>
          <cell r="D673" t="str">
            <v>A- actual</v>
          </cell>
          <cell r="E673" t="str">
            <v>PS- pump station</v>
          </cell>
          <cell r="F673" t="str">
            <v>SUMMERLAKES PDE</v>
          </cell>
          <cell r="G673" t="str">
            <v>3</v>
          </cell>
          <cell r="H673" t="str">
            <v>W- water corporation</v>
          </cell>
          <cell r="I673" t="str">
            <v>17764</v>
          </cell>
          <cell r="J673" t="str">
            <v>19900101</v>
          </cell>
          <cell r="K673" t="str">
            <v>115.88042521</v>
          </cell>
          <cell r="L673" t="str">
            <v>-31.842769079</v>
          </cell>
          <cell r="M673" t="str">
            <v>L</v>
          </cell>
          <cell r="N673" t="str">
            <v>72</v>
          </cell>
          <cell r="O673" t="str">
            <v>SUMMERLAKES</v>
          </cell>
          <cell r="P673" t="str">
            <v>PDE</v>
          </cell>
          <cell r="R673" t="str">
            <v>BALLAJURA</v>
          </cell>
          <cell r="S673" t="str">
            <v>6066</v>
          </cell>
        </row>
        <row r="674">
          <cell r="B674" t="str">
            <v>S0028578</v>
          </cell>
          <cell r="C674" t="str">
            <v>SPS PINEWOOD GRN MIRRABOOKA</v>
          </cell>
          <cell r="D674" t="str">
            <v>A- actual</v>
          </cell>
          <cell r="E674" t="str">
            <v>PS- pump station</v>
          </cell>
          <cell r="F674" t="str">
            <v>PINEWOOD GRN</v>
          </cell>
          <cell r="G674" t="str">
            <v>006-04</v>
          </cell>
          <cell r="H674" t="str">
            <v>W- water corporation</v>
          </cell>
          <cell r="I674" t="str">
            <v>17760</v>
          </cell>
          <cell r="J674" t="str">
            <v>19850605</v>
          </cell>
          <cell r="K674" t="str">
            <v>115.865905667</v>
          </cell>
          <cell r="L674" t="str">
            <v>-31.853647406</v>
          </cell>
          <cell r="M674" t="str">
            <v>H</v>
          </cell>
          <cell r="N674" t="str">
            <v>8</v>
          </cell>
          <cell r="O674" t="str">
            <v>PINEWOOD</v>
          </cell>
          <cell r="P674" t="str">
            <v>GRN</v>
          </cell>
          <cell r="R674" t="str">
            <v>MIRRABOOKA</v>
          </cell>
          <cell r="S674" t="str">
            <v>6061</v>
          </cell>
        </row>
        <row r="675">
          <cell r="B675" t="str">
            <v>S0030184</v>
          </cell>
          <cell r="C675" t="str">
            <v>SPS MCGILVRAY AV NTH NORANDA</v>
          </cell>
          <cell r="D675" t="str">
            <v>A- actual</v>
          </cell>
          <cell r="E675" t="str">
            <v>PS- pump station</v>
          </cell>
          <cell r="F675" t="str">
            <v>MCGILVRAY AV</v>
          </cell>
          <cell r="G675" t="str">
            <v>4</v>
          </cell>
          <cell r="H675" t="str">
            <v>W- water corporation</v>
          </cell>
          <cell r="I675" t="str">
            <v>17825</v>
          </cell>
          <cell r="J675" t="str">
            <v>19810423</v>
          </cell>
          <cell r="K675" t="str">
            <v>115.896291249</v>
          </cell>
          <cell r="L675" t="str">
            <v>-31.874974387</v>
          </cell>
          <cell r="M675" t="str">
            <v>L</v>
          </cell>
          <cell r="N675" t="str">
            <v>118</v>
          </cell>
          <cell r="O675" t="str">
            <v>MCGILVRAY</v>
          </cell>
          <cell r="P675" t="str">
            <v>AV</v>
          </cell>
          <cell r="R675" t="str">
            <v>NORANDA</v>
          </cell>
          <cell r="S675" t="str">
            <v>6062</v>
          </cell>
        </row>
        <row r="676">
          <cell r="B676" t="str">
            <v>S0030228</v>
          </cell>
          <cell r="C676" t="str">
            <v>SPS WIDGEE RD NORANDA</v>
          </cell>
          <cell r="D676" t="str">
            <v>A- actual</v>
          </cell>
          <cell r="E676" t="str">
            <v>PS- pump station</v>
          </cell>
          <cell r="F676" t="str">
            <v>WIDGEE RD</v>
          </cell>
          <cell r="G676" t="str">
            <v>3</v>
          </cell>
          <cell r="H676" t="str">
            <v>W- water corporation</v>
          </cell>
          <cell r="I676" t="str">
            <v>17824</v>
          </cell>
          <cell r="J676" t="str">
            <v>19790829</v>
          </cell>
          <cell r="K676" t="str">
            <v>115.893300161</v>
          </cell>
          <cell r="L676" t="str">
            <v>-31.871346637</v>
          </cell>
          <cell r="M676" t="str">
            <v>L</v>
          </cell>
          <cell r="N676" t="str">
            <v>373</v>
          </cell>
          <cell r="O676" t="str">
            <v>WIDGEE</v>
          </cell>
          <cell r="P676" t="str">
            <v>RD</v>
          </cell>
          <cell r="R676" t="str">
            <v>NORANDA</v>
          </cell>
          <cell r="S676" t="str">
            <v>6062</v>
          </cell>
        </row>
        <row r="677">
          <cell r="B677" t="str">
            <v>S0028496</v>
          </cell>
          <cell r="C677" t="str">
            <v>SPS IRVINE DR MALAGA</v>
          </cell>
          <cell r="D677" t="str">
            <v>A- actual</v>
          </cell>
          <cell r="E677" t="str">
            <v>PS- pump station</v>
          </cell>
          <cell r="F677" t="str">
            <v>IRVINE DR</v>
          </cell>
          <cell r="G677" t="str">
            <v>1</v>
          </cell>
          <cell r="H677" t="str">
            <v>W- water corporation</v>
          </cell>
          <cell r="I677" t="str">
            <v>17807</v>
          </cell>
          <cell r="J677" t="str">
            <v>19870320</v>
          </cell>
          <cell r="K677" t="str">
            <v>115.884553478</v>
          </cell>
          <cell r="L677" t="str">
            <v>-31.855149755</v>
          </cell>
          <cell r="M677" t="str">
            <v>H</v>
          </cell>
          <cell r="N677" t="str">
            <v>39</v>
          </cell>
          <cell r="O677" t="str">
            <v>IRVINE</v>
          </cell>
          <cell r="P677" t="str">
            <v>DR</v>
          </cell>
          <cell r="R677" t="str">
            <v>MALAGA</v>
          </cell>
          <cell r="S677" t="str">
            <v>6090</v>
          </cell>
        </row>
        <row r="678">
          <cell r="B678" t="str">
            <v>S0028459</v>
          </cell>
          <cell r="C678" t="str">
            <v>SPS HARRIS RD MALAGA</v>
          </cell>
          <cell r="D678" t="str">
            <v>A- actual</v>
          </cell>
          <cell r="E678" t="str">
            <v>PS- pump station</v>
          </cell>
          <cell r="F678" t="str">
            <v>HARRIS RD</v>
          </cell>
          <cell r="G678" t="str">
            <v>2</v>
          </cell>
          <cell r="H678" t="str">
            <v>W- water corporation</v>
          </cell>
          <cell r="I678" t="str">
            <v>17808</v>
          </cell>
          <cell r="J678" t="str">
            <v>19830503</v>
          </cell>
          <cell r="K678" t="str">
            <v>115.883412162</v>
          </cell>
          <cell r="L678" t="str">
            <v>-31.8663367192</v>
          </cell>
          <cell r="M678" t="str">
            <v>L</v>
          </cell>
          <cell r="N678" t="str">
            <v>412</v>
          </cell>
          <cell r="O678" t="str">
            <v>AGETT</v>
          </cell>
          <cell r="P678" t="str">
            <v>RD</v>
          </cell>
          <cell r="R678" t="str">
            <v>MALAGA</v>
          </cell>
          <cell r="S678" t="str">
            <v>6090</v>
          </cell>
        </row>
        <row r="679">
          <cell r="B679" t="str">
            <v>S0030059</v>
          </cell>
          <cell r="C679" t="str">
            <v>SPS BOHEMIA PL NORANDA</v>
          </cell>
          <cell r="D679" t="str">
            <v>A- actual</v>
          </cell>
          <cell r="E679" t="str">
            <v>PS- pump station</v>
          </cell>
          <cell r="F679" t="str">
            <v>BOHEMIA PL</v>
          </cell>
          <cell r="G679" t="str">
            <v>2</v>
          </cell>
          <cell r="H679" t="str">
            <v>W- water corporation</v>
          </cell>
          <cell r="I679" t="str">
            <v>17823</v>
          </cell>
          <cell r="J679" t="str">
            <v>19790612</v>
          </cell>
          <cell r="K679" t="str">
            <v>115.882199335</v>
          </cell>
          <cell r="L679" t="str">
            <v>-31.8713941977</v>
          </cell>
          <cell r="M679" t="str">
            <v>H</v>
          </cell>
          <cell r="N679" t="str">
            <v>2</v>
          </cell>
          <cell r="O679" t="str">
            <v>BOHEMIA</v>
          </cell>
          <cell r="P679" t="str">
            <v>PL</v>
          </cell>
          <cell r="R679" t="str">
            <v>NORANDA</v>
          </cell>
          <cell r="S679" t="str">
            <v>6062</v>
          </cell>
        </row>
        <row r="680">
          <cell r="B680" t="str">
            <v>S0032053</v>
          </cell>
          <cell r="C680" t="str">
            <v>SPS YALTARA RD CITY BEACH</v>
          </cell>
          <cell r="D680" t="str">
            <v>A- actual</v>
          </cell>
          <cell r="E680" t="str">
            <v>PS- pump station</v>
          </cell>
          <cell r="F680" t="str">
            <v>YALTARA RD</v>
          </cell>
          <cell r="G680" t="str">
            <v>075-03</v>
          </cell>
          <cell r="H680" t="str">
            <v>W- water corporation</v>
          </cell>
          <cell r="I680" t="str">
            <v>17720</v>
          </cell>
          <cell r="J680" t="str">
            <v>19740901</v>
          </cell>
          <cell r="K680" t="str">
            <v>115.758866064</v>
          </cell>
          <cell r="L680" t="str">
            <v>-31.9114051502</v>
          </cell>
          <cell r="M680" t="str">
            <v>H</v>
          </cell>
          <cell r="N680" t="str">
            <v>34</v>
          </cell>
          <cell r="O680" t="str">
            <v>YALTARA</v>
          </cell>
          <cell r="P680" t="str">
            <v>RD</v>
          </cell>
          <cell r="R680" t="str">
            <v>CITY BEACH</v>
          </cell>
          <cell r="S680" t="str">
            <v>6015</v>
          </cell>
        </row>
        <row r="681">
          <cell r="B681" t="str">
            <v>S0032046</v>
          </cell>
          <cell r="C681" t="str">
            <v>SPS VENTNOR ST SCARBOROUGH</v>
          </cell>
          <cell r="D681" t="str">
            <v>A- actual</v>
          </cell>
          <cell r="E681" t="str">
            <v>PS- pump station</v>
          </cell>
          <cell r="F681" t="str">
            <v>VENTNOR ST</v>
          </cell>
          <cell r="G681" t="str">
            <v>075-01</v>
          </cell>
          <cell r="H681" t="str">
            <v>W- water corporation</v>
          </cell>
          <cell r="I681" t="str">
            <v>17718</v>
          </cell>
          <cell r="J681" t="str">
            <v>19700219</v>
          </cell>
          <cell r="K681" t="str">
            <v>115.766667951</v>
          </cell>
          <cell r="L681" t="str">
            <v>-31.904017771</v>
          </cell>
          <cell r="M681" t="str">
            <v>H</v>
          </cell>
          <cell r="N681" t="str">
            <v>88</v>
          </cell>
          <cell r="O681" t="str">
            <v>VENTNOR</v>
          </cell>
          <cell r="P681" t="str">
            <v>ST</v>
          </cell>
          <cell r="R681" t="str">
            <v>SCARBOROUGH</v>
          </cell>
          <cell r="S681" t="str">
            <v>6019</v>
          </cell>
        </row>
        <row r="682">
          <cell r="D682" t="str">
            <v>N- not in use</v>
          </cell>
          <cell r="E682" t="str">
            <v>PS- pump station</v>
          </cell>
          <cell r="F682" t="str">
            <v>INNALOO SHOPPING CENTRE</v>
          </cell>
          <cell r="H682" t="str">
            <v>P- private</v>
          </cell>
          <cell r="J682" t="str">
            <v>19731205</v>
          </cell>
          <cell r="K682" t="str">
            <v>115.80152988</v>
          </cell>
          <cell r="L682" t="str">
            <v>-31.89952078</v>
          </cell>
          <cell r="M682" t="str">
            <v>H</v>
          </cell>
          <cell r="N682" t="str">
            <v>46</v>
          </cell>
          <cell r="O682" t="str">
            <v>OSWALD</v>
          </cell>
          <cell r="P682" t="str">
            <v>ST</v>
          </cell>
          <cell r="R682" t="str">
            <v>INNALOO</v>
          </cell>
          <cell r="S682" t="str">
            <v>6018</v>
          </cell>
        </row>
        <row r="683">
          <cell r="B683" t="str">
            <v>S0031709</v>
          </cell>
          <cell r="C683" t="str">
            <v>SPS HASLER RD OSBORNE PARK</v>
          </cell>
          <cell r="D683" t="str">
            <v>A- actual</v>
          </cell>
          <cell r="E683" t="str">
            <v>PS- pump station</v>
          </cell>
          <cell r="F683" t="str">
            <v>HASLER RD</v>
          </cell>
          <cell r="G683" t="str">
            <v>16</v>
          </cell>
          <cell r="H683" t="str">
            <v>W- water corporation</v>
          </cell>
          <cell r="I683" t="str">
            <v>17703</v>
          </cell>
          <cell r="J683" t="str">
            <v>19830101</v>
          </cell>
          <cell r="K683" t="str">
            <v>115.805223461</v>
          </cell>
          <cell r="L683" t="str">
            <v>-31.9092486449</v>
          </cell>
          <cell r="M683" t="str">
            <v>H</v>
          </cell>
          <cell r="N683" t="str">
            <v>7</v>
          </cell>
          <cell r="O683" t="str">
            <v>HASLER</v>
          </cell>
          <cell r="P683" t="str">
            <v>RD</v>
          </cell>
          <cell r="R683" t="str">
            <v>OSBORNE PARK</v>
          </cell>
          <cell r="S683" t="str">
            <v>6017</v>
          </cell>
        </row>
        <row r="684">
          <cell r="B684" t="str">
            <v>S0032028</v>
          </cell>
          <cell r="C684" t="str">
            <v>SPS ROSEWOOD AV WOODLANDS</v>
          </cell>
          <cell r="D684" t="str">
            <v>A- actual</v>
          </cell>
          <cell r="E684" t="str">
            <v>PS- pump station</v>
          </cell>
          <cell r="F684" t="str">
            <v>ROSEWOOD AV</v>
          </cell>
          <cell r="G684" t="str">
            <v>082-02</v>
          </cell>
          <cell r="H684" t="str">
            <v>W- water corporation</v>
          </cell>
          <cell r="I684" t="str">
            <v>17721</v>
          </cell>
          <cell r="J684" t="str">
            <v>19711201</v>
          </cell>
          <cell r="K684" t="str">
            <v>115.794287667</v>
          </cell>
          <cell r="L684" t="str">
            <v>-31.908751128</v>
          </cell>
          <cell r="M684" t="str">
            <v>H</v>
          </cell>
          <cell r="N684" t="str">
            <v>108</v>
          </cell>
          <cell r="O684" t="str">
            <v>ROSEWOOD</v>
          </cell>
          <cell r="P684" t="str">
            <v>AV</v>
          </cell>
          <cell r="R684" t="str">
            <v>WOODLANDS</v>
          </cell>
          <cell r="S684" t="str">
            <v>6018</v>
          </cell>
        </row>
        <row r="685">
          <cell r="D685" t="str">
            <v>A- actual</v>
          </cell>
          <cell r="E685" t="str">
            <v>PS- pump station</v>
          </cell>
          <cell r="F685" t="str">
            <v>BP CARWASH-NOOKENBURRA</v>
          </cell>
          <cell r="H685" t="str">
            <v>P- private</v>
          </cell>
          <cell r="J685" t="str">
            <v>19731205</v>
          </cell>
          <cell r="K685" t="str">
            <v>115.79944604</v>
          </cell>
          <cell r="L685" t="str">
            <v>-31.902483424</v>
          </cell>
          <cell r="M685" t="str">
            <v>H</v>
          </cell>
          <cell r="N685" t="str">
            <v>388</v>
          </cell>
          <cell r="O685" t="str">
            <v>SCARBOROUGH BEACH</v>
          </cell>
          <cell r="P685" t="str">
            <v>RD</v>
          </cell>
          <cell r="R685" t="str">
            <v>INNALOO</v>
          </cell>
          <cell r="S685" t="str">
            <v>6018</v>
          </cell>
        </row>
        <row r="686">
          <cell r="D686" t="str">
            <v>A- actual</v>
          </cell>
          <cell r="E686" t="str">
            <v>PS- pump station</v>
          </cell>
          <cell r="F686" t="str">
            <v>BALCATTA</v>
          </cell>
          <cell r="H686" t="str">
            <v>P- private</v>
          </cell>
          <cell r="J686" t="str">
            <v>19920515</v>
          </cell>
          <cell r="K686" t="str">
            <v>115.782683439</v>
          </cell>
          <cell r="L686" t="str">
            <v>-31.898828152</v>
          </cell>
          <cell r="M686" t="str">
            <v>H</v>
          </cell>
          <cell r="N686" t="str">
            <v>24</v>
          </cell>
          <cell r="O686" t="str">
            <v>AUBOROUGH</v>
          </cell>
          <cell r="P686" t="str">
            <v>ST</v>
          </cell>
          <cell r="R686" t="str">
            <v>DOUBLEVIEW</v>
          </cell>
          <cell r="S686" t="str">
            <v>6018</v>
          </cell>
        </row>
        <row r="687">
          <cell r="D687" t="str">
            <v>A- actual</v>
          </cell>
          <cell r="E687" t="str">
            <v>PS- pump station</v>
          </cell>
          <cell r="F687" t="str">
            <v>LOT 502 HASTINGS ST</v>
          </cell>
          <cell r="H687" t="str">
            <v>P- private</v>
          </cell>
          <cell r="J687" t="str">
            <v>19940731</v>
          </cell>
          <cell r="K687" t="str">
            <v>115.759132262</v>
          </cell>
          <cell r="L687" t="str">
            <v>-31.8990914549</v>
          </cell>
          <cell r="M687" t="str">
            <v>H</v>
          </cell>
          <cell r="N687" t="str">
            <v>268</v>
          </cell>
          <cell r="O687" t="str">
            <v>WEST COAST</v>
          </cell>
          <cell r="P687" t="str">
            <v>HWY</v>
          </cell>
          <cell r="R687" t="str">
            <v>SCARBOROUGH</v>
          </cell>
          <cell r="S687" t="str">
            <v>6019</v>
          </cell>
        </row>
        <row r="688">
          <cell r="D688" t="str">
            <v>N- not in use</v>
          </cell>
          <cell r="E688" t="str">
            <v>TPS- temporary pump station</v>
          </cell>
          <cell r="H688" t="str">
            <v>W- water corporation</v>
          </cell>
          <cell r="J688" t="str">
            <v>18000101</v>
          </cell>
          <cell r="K688" t="str">
            <v>115.819907562</v>
          </cell>
          <cell r="L688" t="str">
            <v>-31.8948975846</v>
          </cell>
          <cell r="M688" t="str">
            <v>H</v>
          </cell>
          <cell r="N688" t="str">
            <v>93</v>
          </cell>
          <cell r="O688" t="str">
            <v>HAMILTON</v>
          </cell>
          <cell r="P688" t="str">
            <v>ST</v>
          </cell>
          <cell r="R688" t="str">
            <v>STIRLING</v>
          </cell>
          <cell r="S688" t="str">
            <v>6021</v>
          </cell>
        </row>
        <row r="689">
          <cell r="D689" t="str">
            <v>N- not in use</v>
          </cell>
          <cell r="E689" t="str">
            <v>PS- pump station</v>
          </cell>
          <cell r="F689" t="str">
            <v>OSBORNE PARK HOTEL</v>
          </cell>
          <cell r="H689" t="str">
            <v>P- private</v>
          </cell>
          <cell r="J689" t="str">
            <v>18000101</v>
          </cell>
          <cell r="K689" t="str">
            <v>115.828638154</v>
          </cell>
          <cell r="L689" t="str">
            <v>-31.897570562</v>
          </cell>
          <cell r="M689" t="str">
            <v>H</v>
          </cell>
          <cell r="N689" t="str">
            <v>212</v>
          </cell>
          <cell r="O689" t="str">
            <v>MAIN</v>
          </cell>
          <cell r="P689" t="str">
            <v>ST</v>
          </cell>
          <cell r="R689" t="str">
            <v>OSBORNE PARK</v>
          </cell>
          <cell r="S689" t="str">
            <v>6017</v>
          </cell>
        </row>
        <row r="690">
          <cell r="B690" t="str">
            <v>S0028441</v>
          </cell>
          <cell r="C690" t="str">
            <v>SPS GRINDLEFORD DR BALCATTA</v>
          </cell>
          <cell r="D690" t="str">
            <v>A- actual</v>
          </cell>
          <cell r="E690" t="str">
            <v>PS- pump station</v>
          </cell>
          <cell r="F690" t="str">
            <v>GRINDLEFORD DR</v>
          </cell>
          <cell r="G690" t="str">
            <v>005-05</v>
          </cell>
          <cell r="H690" t="str">
            <v>W- water corporation</v>
          </cell>
          <cell r="I690" t="str">
            <v>17751</v>
          </cell>
          <cell r="J690" t="str">
            <v>19820201</v>
          </cell>
          <cell r="K690" t="str">
            <v>115.82360045</v>
          </cell>
          <cell r="L690" t="str">
            <v>-31.885580322</v>
          </cell>
          <cell r="M690" t="str">
            <v>H</v>
          </cell>
          <cell r="N690" t="str">
            <v>12</v>
          </cell>
          <cell r="O690" t="str">
            <v>RADALJ</v>
          </cell>
          <cell r="P690" t="str">
            <v>PL</v>
          </cell>
          <cell r="R690" t="str">
            <v>BALCATTA</v>
          </cell>
          <cell r="S690" t="str">
            <v>6021</v>
          </cell>
        </row>
        <row r="691">
          <cell r="B691" t="str">
            <v>S0028705</v>
          </cell>
          <cell r="C691" t="str">
            <v>SPS WATTLE ST TUART HILL</v>
          </cell>
          <cell r="D691" t="str">
            <v>A- actual</v>
          </cell>
          <cell r="E691" t="str">
            <v>PS- pump station</v>
          </cell>
          <cell r="F691" t="str">
            <v>WATTLE ST</v>
          </cell>
          <cell r="G691" t="str">
            <v>3</v>
          </cell>
          <cell r="H691" t="str">
            <v>W- water corporation</v>
          </cell>
          <cell r="I691" t="str">
            <v>33083</v>
          </cell>
          <cell r="J691" t="str">
            <v>19930701</v>
          </cell>
          <cell r="K691" t="str">
            <v>115.835710103</v>
          </cell>
          <cell r="L691" t="str">
            <v>-31.891132696</v>
          </cell>
          <cell r="M691" t="str">
            <v>H</v>
          </cell>
          <cell r="N691" t="str">
            <v>106</v>
          </cell>
          <cell r="O691" t="str">
            <v>WATTLE</v>
          </cell>
          <cell r="P691" t="str">
            <v>ST</v>
          </cell>
          <cell r="R691" t="str">
            <v>TUART HILL</v>
          </cell>
          <cell r="S691" t="str">
            <v>6060</v>
          </cell>
        </row>
        <row r="692">
          <cell r="B692" t="str">
            <v>S0031683</v>
          </cell>
          <cell r="C692" t="str">
            <v>SPS DEELEY ST MAYLANDS</v>
          </cell>
          <cell r="D692" t="str">
            <v>A- actual</v>
          </cell>
          <cell r="E692" t="str">
            <v>PS- pump station</v>
          </cell>
          <cell r="F692" t="str">
            <v>DEELEY ST</v>
          </cell>
          <cell r="G692" t="str">
            <v>049-05</v>
          </cell>
          <cell r="H692" t="str">
            <v>W- water corporation</v>
          </cell>
          <cell r="I692" t="str">
            <v>17687</v>
          </cell>
          <cell r="J692" t="str">
            <v>19760101</v>
          </cell>
          <cell r="K692" t="str">
            <v>115.888616766</v>
          </cell>
          <cell r="L692" t="str">
            <v>-31.93594007</v>
          </cell>
          <cell r="M692" t="str">
            <v>L</v>
          </cell>
          <cell r="N692" t="str">
            <v>7124</v>
          </cell>
          <cell r="O692" t="str">
            <v>FOURTH</v>
          </cell>
          <cell r="P692" t="str">
            <v>AV</v>
          </cell>
          <cell r="Q692" t="str">
            <v>E</v>
          </cell>
          <cell r="R692" t="str">
            <v>MAYLANDS</v>
          </cell>
          <cell r="S692" t="str">
            <v>6051</v>
          </cell>
        </row>
        <row r="693">
          <cell r="B693" t="str">
            <v>S0031661</v>
          </cell>
          <cell r="C693" t="str">
            <v>SPS CALEDONIAN AV MAYLANDS</v>
          </cell>
          <cell r="D693" t="str">
            <v>A- actual</v>
          </cell>
          <cell r="E693" t="str">
            <v>PS- pump station</v>
          </cell>
          <cell r="F693" t="str">
            <v>CALEDONIAN AV</v>
          </cell>
          <cell r="G693" t="str">
            <v>049-04</v>
          </cell>
          <cell r="H693" t="str">
            <v>W- water corporation</v>
          </cell>
          <cell r="I693" t="str">
            <v>17686</v>
          </cell>
          <cell r="J693" t="str">
            <v>19370910</v>
          </cell>
          <cell r="K693" t="str">
            <v>115.897733901</v>
          </cell>
          <cell r="L693" t="str">
            <v>-31.9287065273</v>
          </cell>
          <cell r="M693" t="str">
            <v>H</v>
          </cell>
          <cell r="N693" t="str">
            <v>257</v>
          </cell>
          <cell r="O693" t="str">
            <v>GUILDFORD</v>
          </cell>
          <cell r="P693" t="str">
            <v>RD</v>
          </cell>
          <cell r="R693" t="str">
            <v>MAYLANDS</v>
          </cell>
          <cell r="S693" t="str">
            <v>6051</v>
          </cell>
        </row>
        <row r="694">
          <cell r="B694" t="str">
            <v>S0031673</v>
          </cell>
          <cell r="C694" t="str">
            <v>SPS COODE ST MT LAWLEY</v>
          </cell>
          <cell r="D694" t="str">
            <v>A- actual</v>
          </cell>
          <cell r="E694" t="str">
            <v>PS- pump station</v>
          </cell>
          <cell r="F694" t="str">
            <v>COODE ST</v>
          </cell>
          <cell r="G694" t="str">
            <v>14</v>
          </cell>
          <cell r="H694" t="str">
            <v>W- water corporation</v>
          </cell>
          <cell r="I694" t="str">
            <v>17702</v>
          </cell>
          <cell r="J694" t="str">
            <v>19510206</v>
          </cell>
          <cell r="K694" t="str">
            <v>115.886449968</v>
          </cell>
          <cell r="L694" t="str">
            <v>-31.9306015241</v>
          </cell>
          <cell r="M694" t="str">
            <v>H</v>
          </cell>
          <cell r="N694" t="str">
            <v>163</v>
          </cell>
          <cell r="O694" t="str">
            <v>RAILWAY</v>
          </cell>
          <cell r="P694" t="str">
            <v>PDE</v>
          </cell>
          <cell r="R694" t="str">
            <v>MOUNT LAWLEY</v>
          </cell>
          <cell r="S694" t="str">
            <v>6050</v>
          </cell>
        </row>
        <row r="695">
          <cell r="D695" t="str">
            <v>A- actual</v>
          </cell>
          <cell r="E695" t="str">
            <v>PS- pump station</v>
          </cell>
          <cell r="F695" t="str">
            <v>L1 DEELEY ST</v>
          </cell>
          <cell r="H695" t="str">
            <v>P- private</v>
          </cell>
          <cell r="J695" t="str">
            <v>19930910</v>
          </cell>
          <cell r="K695" t="str">
            <v>115.889994772</v>
          </cell>
          <cell r="L695" t="str">
            <v>-31.934496632</v>
          </cell>
          <cell r="M695" t="str">
            <v>H</v>
          </cell>
          <cell r="N695" t="str">
            <v>17</v>
          </cell>
          <cell r="O695" t="str">
            <v>FOURTH</v>
          </cell>
          <cell r="P695" t="str">
            <v>AV</v>
          </cell>
          <cell r="Q695" t="str">
            <v>E</v>
          </cell>
          <cell r="R695" t="str">
            <v>MAYLANDS</v>
          </cell>
          <cell r="S695" t="str">
            <v>6051</v>
          </cell>
        </row>
        <row r="696">
          <cell r="B696" t="str">
            <v>S0031721</v>
          </cell>
          <cell r="C696" t="str">
            <v>SPS JOHN ST INGLEWOOD</v>
          </cell>
          <cell r="D696" t="str">
            <v>A- actual</v>
          </cell>
          <cell r="E696" t="str">
            <v>PS- pump station</v>
          </cell>
          <cell r="F696" t="str">
            <v>JOHN ST</v>
          </cell>
          <cell r="G696" t="str">
            <v>3</v>
          </cell>
          <cell r="H696" t="str">
            <v>W- water corporation</v>
          </cell>
          <cell r="I696" t="str">
            <v>17685</v>
          </cell>
          <cell r="J696" t="str">
            <v>19360806</v>
          </cell>
          <cell r="K696" t="str">
            <v>115.888005295</v>
          </cell>
          <cell r="L696" t="str">
            <v>-31.92269614</v>
          </cell>
          <cell r="M696" t="str">
            <v>H</v>
          </cell>
          <cell r="N696" t="str">
            <v>77</v>
          </cell>
          <cell r="O696" t="str">
            <v>TENTH</v>
          </cell>
          <cell r="P696" t="str">
            <v>AV</v>
          </cell>
          <cell r="R696" t="str">
            <v>INGLEWOOD</v>
          </cell>
          <cell r="S696" t="str">
            <v>6052</v>
          </cell>
        </row>
        <row r="697">
          <cell r="B697" t="str">
            <v>S0030089</v>
          </cell>
          <cell r="C697" t="str">
            <v>SPS CATHERINE ST BEDFORD</v>
          </cell>
          <cell r="D697" t="str">
            <v>A- actual</v>
          </cell>
          <cell r="E697" t="str">
            <v>PS- pump station</v>
          </cell>
          <cell r="F697" t="str">
            <v>CATHERINE ST</v>
          </cell>
          <cell r="G697" t="str">
            <v>8</v>
          </cell>
          <cell r="H697" t="str">
            <v>W- water corporation</v>
          </cell>
          <cell r="I697" t="str">
            <v>51908</v>
          </cell>
          <cell r="J697" t="str">
            <v>19950116</v>
          </cell>
          <cell r="K697" t="str">
            <v>115.895545568</v>
          </cell>
          <cell r="L697" t="str">
            <v>-31.906714626</v>
          </cell>
          <cell r="M697" t="str">
            <v>L</v>
          </cell>
          <cell r="N697" t="str">
            <v>47</v>
          </cell>
          <cell r="O697" t="str">
            <v>CATHERINE</v>
          </cell>
          <cell r="P697" t="str">
            <v>ST</v>
          </cell>
          <cell r="R697" t="str">
            <v>BEDFORD</v>
          </cell>
          <cell r="S697" t="str">
            <v>6052</v>
          </cell>
        </row>
        <row r="698">
          <cell r="B698" t="str">
            <v>S0032711</v>
          </cell>
          <cell r="C698" t="str">
            <v>SPS WAROONGA RD NEDLANDS</v>
          </cell>
          <cell r="D698" t="str">
            <v>A- actual</v>
          </cell>
          <cell r="E698" t="str">
            <v>PS- pump station</v>
          </cell>
          <cell r="F698" t="str">
            <v>WAROONGA RD</v>
          </cell>
          <cell r="G698" t="str">
            <v>020-12</v>
          </cell>
          <cell r="H698" t="str">
            <v>W- water corporation</v>
          </cell>
          <cell r="I698" t="str">
            <v>17726</v>
          </cell>
          <cell r="J698" t="str">
            <v>19350917</v>
          </cell>
          <cell r="K698" t="str">
            <v>115.793189261</v>
          </cell>
          <cell r="L698" t="str">
            <v>-31.9833664295</v>
          </cell>
          <cell r="M698" t="str">
            <v>H</v>
          </cell>
          <cell r="N698" t="str">
            <v>18</v>
          </cell>
          <cell r="O698" t="str">
            <v>WAROONGA</v>
          </cell>
          <cell r="P698" t="str">
            <v>RD</v>
          </cell>
          <cell r="R698" t="str">
            <v>NEDLANDS</v>
          </cell>
          <cell r="S698" t="str">
            <v>6009</v>
          </cell>
        </row>
        <row r="699">
          <cell r="D699" t="str">
            <v>N- not in use</v>
          </cell>
          <cell r="E699" t="str">
            <v>ES- ejector station</v>
          </cell>
          <cell r="F699" t="str">
            <v>CLAREMONT</v>
          </cell>
          <cell r="G699" t="str">
            <v>10</v>
          </cell>
          <cell r="H699" t="str">
            <v>W- water corporation</v>
          </cell>
          <cell r="I699" t="str">
            <v>17734</v>
          </cell>
          <cell r="J699" t="str">
            <v>19511115</v>
          </cell>
          <cell r="K699" t="str">
            <v>115.797138199</v>
          </cell>
          <cell r="L699" t="str">
            <v>-31.9755162125</v>
          </cell>
          <cell r="M699" t="str">
            <v>L</v>
          </cell>
          <cell r="N699" t="str">
            <v>101</v>
          </cell>
          <cell r="O699" t="str">
            <v>CARRINGTON</v>
          </cell>
          <cell r="P699" t="str">
            <v>ST</v>
          </cell>
          <cell r="R699" t="str">
            <v>NEDLANDS</v>
          </cell>
          <cell r="S699" t="str">
            <v>6009</v>
          </cell>
        </row>
        <row r="700">
          <cell r="B700" t="str">
            <v>S0032596</v>
          </cell>
          <cell r="C700" t="str">
            <v>SPS CALADENIA PDE MT CLAREMONT</v>
          </cell>
          <cell r="D700" t="str">
            <v>A- actual</v>
          </cell>
          <cell r="E700" t="str">
            <v>PS- pump station</v>
          </cell>
          <cell r="F700" t="str">
            <v>CALADENIA PDE</v>
          </cell>
          <cell r="G700" t="str">
            <v>6</v>
          </cell>
          <cell r="H700" t="str">
            <v>W- water corporation</v>
          </cell>
          <cell r="I700" t="str">
            <v>17730</v>
          </cell>
          <cell r="J700" t="str">
            <v>19730701</v>
          </cell>
          <cell r="K700" t="str">
            <v>115.793665824</v>
          </cell>
          <cell r="L700" t="str">
            <v>-31.968135015</v>
          </cell>
          <cell r="M700" t="str">
            <v>H</v>
          </cell>
          <cell r="N700" t="str">
            <v>52</v>
          </cell>
          <cell r="O700" t="str">
            <v>CALADENIA</v>
          </cell>
          <cell r="P700" t="str">
            <v>PDE</v>
          </cell>
          <cell r="R700" t="str">
            <v>MOUNT CLAREMONT</v>
          </cell>
          <cell r="S700" t="str">
            <v>6010</v>
          </cell>
        </row>
        <row r="701">
          <cell r="B701" t="str">
            <v>S0032586</v>
          </cell>
          <cell r="C701" t="str">
            <v>SPS ACKLAND WY COTTESLOE</v>
          </cell>
          <cell r="D701" t="str">
            <v>A- actual</v>
          </cell>
          <cell r="E701" t="str">
            <v>PS- pump station</v>
          </cell>
          <cell r="F701" t="str">
            <v>ACKLAND WY</v>
          </cell>
          <cell r="G701" t="str">
            <v>022-09</v>
          </cell>
          <cell r="H701" t="str">
            <v>W- water corporation</v>
          </cell>
          <cell r="I701" t="str">
            <v>17744</v>
          </cell>
          <cell r="J701" t="str">
            <v>19431125</v>
          </cell>
          <cell r="K701" t="str">
            <v>115.760091402</v>
          </cell>
          <cell r="L701" t="str">
            <v>-31.9844384493</v>
          </cell>
          <cell r="M701" t="str">
            <v>H</v>
          </cell>
          <cell r="N701" t="str">
            <v>332</v>
          </cell>
          <cell r="O701" t="str">
            <v>MARMION</v>
          </cell>
          <cell r="P701" t="str">
            <v>ST</v>
          </cell>
          <cell r="R701" t="str">
            <v>COTTESLOE</v>
          </cell>
          <cell r="S701" t="str">
            <v>6011</v>
          </cell>
        </row>
        <row r="702">
          <cell r="B702" t="str">
            <v>S0032603</v>
          </cell>
          <cell r="C702" t="str">
            <v>SPS ALLEN PARK SWANBOURNE</v>
          </cell>
          <cell r="D702" t="str">
            <v>A- actual</v>
          </cell>
          <cell r="E702" t="str">
            <v>PS- pump station</v>
          </cell>
          <cell r="F702" t="str">
            <v>ALLEN PARK</v>
          </cell>
          <cell r="G702" t="str">
            <v>022-07</v>
          </cell>
          <cell r="H702" t="str">
            <v>W- water corporation</v>
          </cell>
          <cell r="I702" t="str">
            <v>40023</v>
          </cell>
          <cell r="J702" t="str">
            <v>19491122</v>
          </cell>
          <cell r="K702" t="str">
            <v>115.762213972</v>
          </cell>
          <cell r="L702" t="str">
            <v>-31.980286917</v>
          </cell>
          <cell r="M702" t="str">
            <v>H</v>
          </cell>
          <cell r="N702" t="str">
            <v>39</v>
          </cell>
          <cell r="O702" t="str">
            <v>CROSS</v>
          </cell>
          <cell r="P702" t="str">
            <v>ST</v>
          </cell>
          <cell r="R702" t="str">
            <v>SWANBOURNE</v>
          </cell>
          <cell r="S702" t="str">
            <v>6010</v>
          </cell>
        </row>
        <row r="703">
          <cell r="B703" t="str">
            <v>S0032687</v>
          </cell>
          <cell r="C703" t="str">
            <v>SPS SWANBOURNE MAIN SWANBOURNE</v>
          </cell>
          <cell r="D703" t="str">
            <v>A- actual</v>
          </cell>
          <cell r="E703" t="str">
            <v>PS- pump station</v>
          </cell>
          <cell r="F703" t="str">
            <v>SWANBOURNE MAIN PS</v>
          </cell>
          <cell r="H703" t="str">
            <v>W- water corporation</v>
          </cell>
          <cell r="I703" t="str">
            <v>17677</v>
          </cell>
          <cell r="J703" t="str">
            <v>19821101</v>
          </cell>
          <cell r="K703" t="str">
            <v>115.754654357</v>
          </cell>
          <cell r="L703" t="str">
            <v>-31.972146851</v>
          </cell>
          <cell r="M703" t="str">
            <v>L</v>
          </cell>
          <cell r="N703" t="str">
            <v>204</v>
          </cell>
          <cell r="O703" t="str">
            <v>MARINE</v>
          </cell>
          <cell r="P703" t="str">
            <v>PDE</v>
          </cell>
          <cell r="R703" t="str">
            <v>SWANBOURNE</v>
          </cell>
          <cell r="S703" t="str">
            <v>6010</v>
          </cell>
        </row>
        <row r="704">
          <cell r="B704" t="str">
            <v>S0032668</v>
          </cell>
          <cell r="C704" t="str">
            <v>SPS PARK LANE CLAREMONT</v>
          </cell>
          <cell r="D704" t="str">
            <v>A- actual</v>
          </cell>
          <cell r="E704" t="str">
            <v>PS- pump station</v>
          </cell>
          <cell r="F704" t="str">
            <v>PARK LANE</v>
          </cell>
          <cell r="G704" t="str">
            <v>020-01</v>
          </cell>
          <cell r="H704" t="str">
            <v>W- water corporation</v>
          </cell>
          <cell r="I704" t="str">
            <v>17725</v>
          </cell>
          <cell r="J704" t="str">
            <v>19360716</v>
          </cell>
          <cell r="K704" t="str">
            <v>115.780254865</v>
          </cell>
          <cell r="L704" t="str">
            <v>-31.9843364721</v>
          </cell>
          <cell r="M704" t="str">
            <v>H</v>
          </cell>
          <cell r="N704" t="str">
            <v>6</v>
          </cell>
          <cell r="O704" t="str">
            <v>FRESHWATER</v>
          </cell>
          <cell r="P704" t="str">
            <v>PDE</v>
          </cell>
          <cell r="R704" t="str">
            <v>CLAREMONT</v>
          </cell>
          <cell r="S704" t="str">
            <v>6010</v>
          </cell>
        </row>
        <row r="705">
          <cell r="B705" t="str">
            <v>S0032647</v>
          </cell>
          <cell r="C705" t="str">
            <v>SPS LAKEWAY ST CLAREMONT</v>
          </cell>
          <cell r="D705" t="str">
            <v>A- actual</v>
          </cell>
          <cell r="E705" t="str">
            <v>PS- pump station</v>
          </cell>
          <cell r="F705" t="str">
            <v>LAKEWAY ST</v>
          </cell>
          <cell r="G705" t="str">
            <v>020-05</v>
          </cell>
          <cell r="H705" t="str">
            <v>W- water corporation</v>
          </cell>
          <cell r="I705" t="str">
            <v>17729</v>
          </cell>
          <cell r="J705" t="str">
            <v>19730927</v>
          </cell>
          <cell r="K705" t="str">
            <v>115.780575264</v>
          </cell>
          <cell r="L705" t="str">
            <v>-31.972419639</v>
          </cell>
          <cell r="M705" t="str">
            <v>H</v>
          </cell>
          <cell r="N705" t="str">
            <v>18</v>
          </cell>
          <cell r="O705" t="str">
            <v>LAKEWAY</v>
          </cell>
          <cell r="P705" t="str">
            <v>ST</v>
          </cell>
          <cell r="R705" t="str">
            <v>CLAREMONT</v>
          </cell>
          <cell r="S705" t="str">
            <v>6010</v>
          </cell>
        </row>
        <row r="706">
          <cell r="B706" t="str">
            <v>S0032618</v>
          </cell>
          <cell r="C706" t="str">
            <v>SPS DUNE CT SWANBOURNE</v>
          </cell>
          <cell r="D706" t="str">
            <v>A- actual</v>
          </cell>
          <cell r="E706" t="str">
            <v>PS- pump station</v>
          </cell>
          <cell r="F706" t="str">
            <v>DUNE CT</v>
          </cell>
          <cell r="G706" t="str">
            <v>12</v>
          </cell>
          <cell r="H706" t="str">
            <v>W- water corporation</v>
          </cell>
          <cell r="I706" t="str">
            <v>52490</v>
          </cell>
          <cell r="J706" t="str">
            <v>19940101</v>
          </cell>
          <cell r="K706" t="str">
            <v>115.758163224</v>
          </cell>
          <cell r="L706" t="str">
            <v>-31.975648632</v>
          </cell>
          <cell r="M706" t="str">
            <v>H</v>
          </cell>
          <cell r="N706" t="str">
            <v>32</v>
          </cell>
          <cell r="O706" t="str">
            <v>DRIFTWOOD</v>
          </cell>
          <cell r="P706" t="str">
            <v>PL</v>
          </cell>
          <cell r="R706" t="str">
            <v>SWANBOURNE</v>
          </cell>
          <cell r="S706" t="str">
            <v>6010</v>
          </cell>
        </row>
        <row r="707">
          <cell r="B707" t="str">
            <v>S0030122</v>
          </cell>
          <cell r="C707" t="str">
            <v>SPS CROYDON ST DIANELLA</v>
          </cell>
          <cell r="D707" t="str">
            <v>A- actual</v>
          </cell>
          <cell r="E707" t="str">
            <v>PS- pump station</v>
          </cell>
          <cell r="F707" t="str">
            <v>CROYDON ST</v>
          </cell>
          <cell r="G707" t="str">
            <v>6</v>
          </cell>
          <cell r="H707" t="str">
            <v>W- water corporation</v>
          </cell>
          <cell r="I707" t="str">
            <v>17827</v>
          </cell>
          <cell r="J707" t="str">
            <v>19850101</v>
          </cell>
          <cell r="K707" t="str">
            <v>115.886108355</v>
          </cell>
          <cell r="L707" t="str">
            <v>-31.897174232</v>
          </cell>
          <cell r="M707" t="str">
            <v>H</v>
          </cell>
          <cell r="N707" t="str">
            <v>353</v>
          </cell>
          <cell r="O707" t="str">
            <v>COODE</v>
          </cell>
          <cell r="P707" t="str">
            <v>ST</v>
          </cell>
          <cell r="R707" t="str">
            <v>DIANELLA</v>
          </cell>
          <cell r="S707" t="str">
            <v>6059</v>
          </cell>
        </row>
        <row r="708">
          <cell r="B708" t="str">
            <v>S0030099</v>
          </cell>
          <cell r="C708" t="str">
            <v>SPS COLLIER RD MORLEY</v>
          </cell>
          <cell r="D708" t="str">
            <v>A- actual</v>
          </cell>
          <cell r="E708" t="str">
            <v>PS- pump station</v>
          </cell>
          <cell r="F708" t="str">
            <v>COLLIER RD</v>
          </cell>
          <cell r="G708" t="str">
            <v>1</v>
          </cell>
          <cell r="H708" t="str">
            <v>W- water corporation</v>
          </cell>
          <cell r="I708" t="str">
            <v>17822</v>
          </cell>
          <cell r="J708" t="str">
            <v>19610101</v>
          </cell>
          <cell r="K708" t="str">
            <v>115.898355261</v>
          </cell>
          <cell r="L708" t="str">
            <v>-31.896026462</v>
          </cell>
          <cell r="M708" t="str">
            <v>H</v>
          </cell>
          <cell r="N708" t="str">
            <v>2</v>
          </cell>
          <cell r="O708" t="str">
            <v>BISHOP</v>
          </cell>
          <cell r="P708" t="str">
            <v>ST</v>
          </cell>
          <cell r="R708" t="str">
            <v>MORLEY</v>
          </cell>
          <cell r="S708" t="str">
            <v>6062</v>
          </cell>
        </row>
        <row r="709">
          <cell r="B709" t="str">
            <v>S0030191</v>
          </cell>
          <cell r="C709" t="str">
            <v>SPS MORLEY DR WEST DIANELLA</v>
          </cell>
          <cell r="D709" t="str">
            <v>A- actual</v>
          </cell>
          <cell r="E709" t="str">
            <v>PS- pump station</v>
          </cell>
          <cell r="F709" t="str">
            <v>MORLEY DR WEST</v>
          </cell>
          <cell r="G709" t="str">
            <v>053-07</v>
          </cell>
          <cell r="H709" t="str">
            <v>W- water corporation</v>
          </cell>
          <cell r="I709" t="str">
            <v>17828</v>
          </cell>
          <cell r="J709" t="str">
            <v>19810101</v>
          </cell>
          <cell r="K709" t="str">
            <v>115.884462725</v>
          </cell>
          <cell r="L709" t="str">
            <v>-31.8888964574</v>
          </cell>
          <cell r="M709" t="str">
            <v>H</v>
          </cell>
          <cell r="N709" t="str">
            <v>391</v>
          </cell>
          <cell r="O709" t="str">
            <v>MORLEY</v>
          </cell>
          <cell r="P709" t="str">
            <v>DR</v>
          </cell>
          <cell r="R709" t="str">
            <v>DIANELLA</v>
          </cell>
          <cell r="S709" t="str">
            <v>6059</v>
          </cell>
        </row>
        <row r="710">
          <cell r="B710" t="str">
            <v>S0030240</v>
          </cell>
          <cell r="C710" t="str">
            <v>SPS WOODBRIDGE ST GUILDFORD</v>
          </cell>
          <cell r="D710" t="str">
            <v>A- actual</v>
          </cell>
          <cell r="E710" t="str">
            <v>PS- pump station</v>
          </cell>
          <cell r="F710" t="str">
            <v>WOODBRIDGE ST</v>
          </cell>
          <cell r="G710" t="str">
            <v>2</v>
          </cell>
          <cell r="H710" t="str">
            <v>W- water corporation</v>
          </cell>
          <cell r="I710" t="str">
            <v>17788</v>
          </cell>
          <cell r="J710" t="str">
            <v>19520516</v>
          </cell>
          <cell r="K710" t="str">
            <v>115.986222356</v>
          </cell>
          <cell r="L710" t="str">
            <v>-31.8911106646</v>
          </cell>
          <cell r="M710" t="str">
            <v>L</v>
          </cell>
          <cell r="N710" t="str">
            <v>50</v>
          </cell>
          <cell r="O710" t="str">
            <v>GREAT EASTERN</v>
          </cell>
          <cell r="P710" t="str">
            <v>HWY</v>
          </cell>
          <cell r="R710" t="str">
            <v>GUILDFORD</v>
          </cell>
          <cell r="S710" t="str">
            <v>6055</v>
          </cell>
        </row>
        <row r="711">
          <cell r="B711" t="str">
            <v>S0030177</v>
          </cell>
          <cell r="C711" t="str">
            <v>SPS LORD ST LOCKRIDGE</v>
          </cell>
          <cell r="D711" t="str">
            <v>A- actual</v>
          </cell>
          <cell r="E711" t="str">
            <v>PS- pump station</v>
          </cell>
          <cell r="F711" t="str">
            <v>LORD ST</v>
          </cell>
          <cell r="G711" t="str">
            <v>2</v>
          </cell>
          <cell r="H711" t="str">
            <v>W- water corporation</v>
          </cell>
          <cell r="I711" t="str">
            <v>17781</v>
          </cell>
          <cell r="J711" t="str">
            <v>19690320</v>
          </cell>
          <cell r="K711" t="str">
            <v>115.956168494</v>
          </cell>
          <cell r="L711" t="str">
            <v>-31.883709017</v>
          </cell>
          <cell r="M711" t="str">
            <v>L</v>
          </cell>
          <cell r="N711" t="str">
            <v>344</v>
          </cell>
          <cell r="O711" t="str">
            <v>LORD</v>
          </cell>
          <cell r="P711" t="str">
            <v>ST</v>
          </cell>
          <cell r="R711" t="str">
            <v>LOCKRIDGE</v>
          </cell>
          <cell r="S711" t="str">
            <v>6054</v>
          </cell>
        </row>
        <row r="712">
          <cell r="B712" t="str">
            <v>S0030210</v>
          </cell>
          <cell r="C712" t="str">
            <v>SPS WATKINS ST EDEN HILL</v>
          </cell>
          <cell r="D712" t="str">
            <v>A- actual</v>
          </cell>
          <cell r="E712" t="str">
            <v>PS- pump station</v>
          </cell>
          <cell r="F712" t="str">
            <v>WATKINS ST</v>
          </cell>
          <cell r="G712" t="str">
            <v>3</v>
          </cell>
          <cell r="H712" t="str">
            <v>W- water corporation</v>
          </cell>
          <cell r="I712" t="str">
            <v>17782</v>
          </cell>
          <cell r="J712" t="str">
            <v>19781220</v>
          </cell>
          <cell r="K712" t="str">
            <v>115.956141227</v>
          </cell>
          <cell r="L712" t="str">
            <v>-31.889185748</v>
          </cell>
          <cell r="M712" t="str">
            <v>L</v>
          </cell>
          <cell r="N712" t="str">
            <v>22</v>
          </cell>
          <cell r="O712" t="str">
            <v>LORD</v>
          </cell>
          <cell r="P712" t="str">
            <v>ST</v>
          </cell>
          <cell r="R712" t="str">
            <v>EDEN HILL</v>
          </cell>
          <cell r="S712" t="str">
            <v>6054</v>
          </cell>
        </row>
        <row r="713">
          <cell r="B713" t="str">
            <v>S0030127</v>
          </cell>
          <cell r="C713" t="str">
            <v>SPS CULWORTH RD BASSENDEAN</v>
          </cell>
          <cell r="D713" t="str">
            <v>A- actual</v>
          </cell>
          <cell r="E713" t="str">
            <v>PS- pump station</v>
          </cell>
          <cell r="F713" t="str">
            <v>CULWORTH RD</v>
          </cell>
          <cell r="G713" t="str">
            <v>4</v>
          </cell>
          <cell r="H713" t="str">
            <v>W- water corporation</v>
          </cell>
          <cell r="I713" t="str">
            <v>17770</v>
          </cell>
          <cell r="J713" t="str">
            <v>19800910</v>
          </cell>
          <cell r="K713" t="str">
            <v>115.936320354</v>
          </cell>
          <cell r="L713" t="str">
            <v>-31.897296132</v>
          </cell>
          <cell r="M713" t="str">
            <v>H</v>
          </cell>
          <cell r="N713" t="str">
            <v>22</v>
          </cell>
          <cell r="O713" t="str">
            <v>CULWORTH</v>
          </cell>
          <cell r="P713" t="str">
            <v>RD</v>
          </cell>
          <cell r="R713" t="str">
            <v>BASSENDEAN</v>
          </cell>
          <cell r="S713" t="str">
            <v>6054</v>
          </cell>
        </row>
        <row r="714">
          <cell r="B714" t="str">
            <v>S0030092</v>
          </cell>
          <cell r="C714" t="str">
            <v>SPS CHEDWORTH WY EDEN HILL</v>
          </cell>
          <cell r="D714" t="str">
            <v>A- actual</v>
          </cell>
          <cell r="E714" t="str">
            <v>PS- pump station</v>
          </cell>
          <cell r="F714" t="str">
            <v>CHEDWORTH WY</v>
          </cell>
          <cell r="G714" t="str">
            <v>3</v>
          </cell>
          <cell r="H714" t="str">
            <v>W- water corporation</v>
          </cell>
          <cell r="I714" t="str">
            <v>17769</v>
          </cell>
          <cell r="J714" t="str">
            <v>19760101</v>
          </cell>
          <cell r="K714" t="str">
            <v>115.945060364</v>
          </cell>
          <cell r="L714" t="str">
            <v>-31.890989397</v>
          </cell>
          <cell r="M714" t="str">
            <v>H</v>
          </cell>
          <cell r="N714" t="str">
            <v>11</v>
          </cell>
          <cell r="O714" t="str">
            <v>CHEDWORTH</v>
          </cell>
          <cell r="P714" t="str">
            <v>WAY</v>
          </cell>
          <cell r="R714" t="str">
            <v>EDEN HILL</v>
          </cell>
          <cell r="S714" t="str">
            <v>6054</v>
          </cell>
        </row>
        <row r="715">
          <cell r="B715" t="str">
            <v>S0030166</v>
          </cell>
          <cell r="C715" t="str">
            <v>SPS JENNINGS WY LOCKRIDGE</v>
          </cell>
          <cell r="D715" t="str">
            <v>A- actual</v>
          </cell>
          <cell r="E715" t="str">
            <v>PS- pump station</v>
          </cell>
          <cell r="F715" t="str">
            <v>JENNINGS WY</v>
          </cell>
          <cell r="G715" t="str">
            <v>1</v>
          </cell>
          <cell r="H715" t="str">
            <v>W- water corporation</v>
          </cell>
          <cell r="I715" t="str">
            <v>17780</v>
          </cell>
          <cell r="J715" t="str">
            <v>19700713</v>
          </cell>
          <cell r="K715" t="str">
            <v>115.947050551</v>
          </cell>
          <cell r="L715" t="str">
            <v>-31.881911959</v>
          </cell>
          <cell r="M715" t="str">
            <v>L</v>
          </cell>
          <cell r="N715" t="str">
            <v>87</v>
          </cell>
          <cell r="O715" t="str">
            <v>KERWIN</v>
          </cell>
          <cell r="P715" t="str">
            <v>WAY</v>
          </cell>
          <cell r="R715" t="str">
            <v>LOCKRIDGE</v>
          </cell>
          <cell r="S715" t="str">
            <v>6054</v>
          </cell>
        </row>
        <row r="716">
          <cell r="B716" t="str">
            <v>S0030066</v>
          </cell>
          <cell r="C716" t="str">
            <v>SPS BOTTLEBRUSH DR KIARA</v>
          </cell>
          <cell r="D716" t="str">
            <v>A- actual</v>
          </cell>
          <cell r="E716" t="str">
            <v>PS- pump station</v>
          </cell>
          <cell r="F716" t="str">
            <v>BOTTLEBRUSH DR</v>
          </cell>
          <cell r="G716" t="str">
            <v>6</v>
          </cell>
          <cell r="H716" t="str">
            <v>W- water corporation</v>
          </cell>
          <cell r="I716" t="str">
            <v>32482</v>
          </cell>
          <cell r="J716" t="str">
            <v>19890101</v>
          </cell>
          <cell r="K716" t="str">
            <v>115.937207375</v>
          </cell>
          <cell r="L716" t="str">
            <v>-31.883751547</v>
          </cell>
          <cell r="M716" t="str">
            <v>H</v>
          </cell>
          <cell r="N716" t="str">
            <v>110</v>
          </cell>
          <cell r="O716" t="str">
            <v>BOTTLEBRUSH</v>
          </cell>
          <cell r="P716" t="str">
            <v>DR</v>
          </cell>
          <cell r="R716" t="str">
            <v>KIARA</v>
          </cell>
          <cell r="S716" t="str">
            <v>6054</v>
          </cell>
        </row>
        <row r="717">
          <cell r="D717" t="str">
            <v>N- not in use</v>
          </cell>
          <cell r="E717" t="str">
            <v>PS- pump station</v>
          </cell>
          <cell r="F717" t="str">
            <v>EDEN HILL TEMPORARY</v>
          </cell>
          <cell r="H717" t="str">
            <v>W- water corporation</v>
          </cell>
          <cell r="J717" t="str">
            <v>19840307</v>
          </cell>
          <cell r="K717" t="str">
            <v>115.933799503</v>
          </cell>
          <cell r="L717" t="str">
            <v>-31.879564447</v>
          </cell>
          <cell r="M717" t="str">
            <v>H</v>
          </cell>
          <cell r="N717" t="str">
            <v>44</v>
          </cell>
          <cell r="O717" t="str">
            <v>BOTTLEBRUSH</v>
          </cell>
          <cell r="P717" t="str">
            <v>DR</v>
          </cell>
          <cell r="R717" t="str">
            <v>KIARA</v>
          </cell>
          <cell r="S717" t="str">
            <v>6054</v>
          </cell>
        </row>
        <row r="718">
          <cell r="B718" t="str">
            <v>S0030028</v>
          </cell>
          <cell r="C718" t="str">
            <v>SPS BEECHBORO RD MORLEY</v>
          </cell>
          <cell r="D718" t="str">
            <v>A- actual</v>
          </cell>
          <cell r="E718" t="str">
            <v>PS- pump station</v>
          </cell>
          <cell r="F718" t="str">
            <v>BEECHBORO RD</v>
          </cell>
          <cell r="G718" t="str">
            <v>4</v>
          </cell>
          <cell r="H718" t="str">
            <v>W- water corporation</v>
          </cell>
          <cell r="I718" t="str">
            <v>17783</v>
          </cell>
          <cell r="J718" t="str">
            <v>19820302</v>
          </cell>
          <cell r="K718" t="str">
            <v>115.925453859</v>
          </cell>
          <cell r="L718" t="str">
            <v>-31.881646374</v>
          </cell>
          <cell r="M718" t="str">
            <v>L</v>
          </cell>
          <cell r="N718" t="str">
            <v>737</v>
          </cell>
          <cell r="O718" t="str">
            <v>BEECHBORO</v>
          </cell>
          <cell r="P718" t="str">
            <v>RD</v>
          </cell>
          <cell r="Q718" t="str">
            <v>N</v>
          </cell>
          <cell r="R718" t="str">
            <v>MORLEY</v>
          </cell>
          <cell r="S718" t="str">
            <v>6062</v>
          </cell>
        </row>
        <row r="719">
          <cell r="B719" t="str">
            <v>S0030079</v>
          </cell>
          <cell r="C719" t="str">
            <v>SPS BRIDGE ST GUILDFORD</v>
          </cell>
          <cell r="D719" t="str">
            <v>A- actual</v>
          </cell>
          <cell r="E719" t="str">
            <v>PS- pump station</v>
          </cell>
          <cell r="F719" t="str">
            <v>BRIDGE ST</v>
          </cell>
          <cell r="G719" t="str">
            <v>031-01</v>
          </cell>
          <cell r="H719" t="str">
            <v>W- water corporation</v>
          </cell>
          <cell r="I719" t="str">
            <v>17787</v>
          </cell>
          <cell r="J719" t="str">
            <v>19391107</v>
          </cell>
          <cell r="K719" t="str">
            <v>115.963392377</v>
          </cell>
          <cell r="L719" t="str">
            <v>-31.899749192</v>
          </cell>
          <cell r="M719" t="str">
            <v>H</v>
          </cell>
          <cell r="N719" t="str">
            <v>229</v>
          </cell>
          <cell r="O719" t="str">
            <v>JAMES</v>
          </cell>
          <cell r="P719" t="str">
            <v>ST</v>
          </cell>
          <cell r="R719" t="str">
            <v>GUILDFORD</v>
          </cell>
          <cell r="S719" t="str">
            <v>6055</v>
          </cell>
        </row>
        <row r="720">
          <cell r="D720" t="str">
            <v>A- actual</v>
          </cell>
          <cell r="E720" t="str">
            <v>PS- pump station</v>
          </cell>
          <cell r="F720" t="str">
            <v>NYUNGAH</v>
          </cell>
          <cell r="H720" t="str">
            <v>P- private</v>
          </cell>
          <cell r="J720" t="str">
            <v>19950526</v>
          </cell>
          <cell r="K720" t="str">
            <v>115.955946297</v>
          </cell>
          <cell r="L720" t="str">
            <v>-31.885475604</v>
          </cell>
          <cell r="M720" t="str">
            <v>H</v>
          </cell>
          <cell r="N720" t="str">
            <v>26</v>
          </cell>
          <cell r="O720" t="str">
            <v>MATTNER</v>
          </cell>
          <cell r="P720" t="str">
            <v>SQ</v>
          </cell>
          <cell r="R720" t="str">
            <v>LOCKRIDGE</v>
          </cell>
          <cell r="S720" t="str">
            <v>6054</v>
          </cell>
        </row>
        <row r="721">
          <cell r="D721" t="str">
            <v>A- actual</v>
          </cell>
          <cell r="E721" t="str">
            <v>PS- pump station</v>
          </cell>
          <cell r="F721" t="str">
            <v>WALTER RD</v>
          </cell>
          <cell r="H721" t="str">
            <v>P- private</v>
          </cell>
          <cell r="J721" t="str">
            <v>19960101</v>
          </cell>
          <cell r="K721" t="str">
            <v>115.927508622</v>
          </cell>
          <cell r="L721" t="str">
            <v>-31.894449026</v>
          </cell>
          <cell r="M721" t="str">
            <v>H</v>
          </cell>
          <cell r="N721" t="str">
            <v>537</v>
          </cell>
          <cell r="O721" t="str">
            <v>WALTER</v>
          </cell>
          <cell r="P721" t="str">
            <v>RD</v>
          </cell>
          <cell r="Q721" t="str">
            <v>E</v>
          </cell>
          <cell r="R721" t="str">
            <v>BAYSWATER</v>
          </cell>
          <cell r="S721" t="str">
            <v>6053</v>
          </cell>
        </row>
        <row r="722">
          <cell r="B722" t="str">
            <v>S0031654</v>
          </cell>
          <cell r="C722" t="str">
            <v>SPS BRENTHAM ST LEEDERVILLE</v>
          </cell>
          <cell r="D722" t="str">
            <v>A- actual</v>
          </cell>
          <cell r="E722" t="str">
            <v>PS- pump station</v>
          </cell>
          <cell r="F722" t="str">
            <v>BRENTHAM ST</v>
          </cell>
          <cell r="G722" t="str">
            <v>10</v>
          </cell>
          <cell r="H722" t="str">
            <v>W- water corporation</v>
          </cell>
          <cell r="I722" t="str">
            <v>17698</v>
          </cell>
          <cell r="J722" t="str">
            <v>19751201</v>
          </cell>
          <cell r="K722" t="str">
            <v>115.839023037</v>
          </cell>
          <cell r="L722" t="str">
            <v>-31.9292823864</v>
          </cell>
          <cell r="M722" t="str">
            <v>L</v>
          </cell>
          <cell r="N722" t="str">
            <v>78</v>
          </cell>
          <cell r="O722" t="str">
            <v>BRENTHAM</v>
          </cell>
          <cell r="P722" t="str">
            <v>ST</v>
          </cell>
          <cell r="R722" t="str">
            <v>LEEDERVILLE</v>
          </cell>
          <cell r="S722" t="str">
            <v>6007</v>
          </cell>
        </row>
        <row r="723">
          <cell r="B723" t="str">
            <v>S0028341</v>
          </cell>
          <cell r="C723" t="str">
            <v>SPS DOG SWAMP YOKINE</v>
          </cell>
          <cell r="D723" t="str">
            <v>A- actual</v>
          </cell>
          <cell r="E723" t="str">
            <v>PS- pump station</v>
          </cell>
          <cell r="F723" t="str">
            <v>DOGS SWAMP</v>
          </cell>
          <cell r="G723" t="str">
            <v>085-02</v>
          </cell>
          <cell r="H723" t="str">
            <v>W- water corporation</v>
          </cell>
          <cell r="I723" t="str">
            <v>17858</v>
          </cell>
          <cell r="J723" t="str">
            <v>19770405</v>
          </cell>
          <cell r="K723" t="str">
            <v>115.846748911</v>
          </cell>
          <cell r="L723" t="str">
            <v>-31.910245566</v>
          </cell>
          <cell r="M723" t="str">
            <v>H</v>
          </cell>
          <cell r="N723" t="str">
            <v>6</v>
          </cell>
          <cell r="O723" t="str">
            <v>FARINA</v>
          </cell>
          <cell r="P723" t="str">
            <v>DR</v>
          </cell>
          <cell r="R723" t="str">
            <v>YOKINE</v>
          </cell>
          <cell r="S723" t="str">
            <v>6060</v>
          </cell>
        </row>
        <row r="724">
          <cell r="D724" t="str">
            <v>A- actual</v>
          </cell>
          <cell r="E724" t="str">
            <v>PS- pump station</v>
          </cell>
          <cell r="F724" t="str">
            <v>BELMONT RACECOURSE</v>
          </cell>
          <cell r="H724" t="str">
            <v>P- private</v>
          </cell>
          <cell r="J724" t="str">
            <v>19780101</v>
          </cell>
          <cell r="K724" t="str">
            <v>115.891752166</v>
          </cell>
          <cell r="L724" t="str">
            <v>-31.9469207761</v>
          </cell>
          <cell r="M724" t="str">
            <v>H</v>
          </cell>
          <cell r="N724" t="str">
            <v>23</v>
          </cell>
          <cell r="O724" t="str">
            <v>SEABISCUIT</v>
          </cell>
          <cell r="P724" t="str">
            <v>DR</v>
          </cell>
          <cell r="R724" t="str">
            <v>BURSWOOD</v>
          </cell>
          <cell r="S724" t="str">
            <v>6100</v>
          </cell>
        </row>
        <row r="725">
          <cell r="D725" t="str">
            <v>N- not in use</v>
          </cell>
          <cell r="E725" t="str">
            <v>PS- pump station</v>
          </cell>
          <cell r="F725" t="str">
            <v>EMU BREWERY</v>
          </cell>
          <cell r="H725" t="str">
            <v>W- water corporation</v>
          </cell>
          <cell r="J725" t="str">
            <v>19730622</v>
          </cell>
          <cell r="K725" t="str">
            <v>115.849145556</v>
          </cell>
          <cell r="L725" t="str">
            <v>-31.9549575693</v>
          </cell>
          <cell r="M725" t="str">
            <v>L</v>
          </cell>
          <cell r="N725" t="str">
            <v>21</v>
          </cell>
          <cell r="O725" t="str">
            <v>MOUNTS BAY</v>
          </cell>
          <cell r="P725" t="str">
            <v>RD</v>
          </cell>
          <cell r="R725" t="str">
            <v>PERTH</v>
          </cell>
          <cell r="S725" t="str">
            <v>6000</v>
          </cell>
        </row>
        <row r="726">
          <cell r="D726" t="str">
            <v>N- not in use</v>
          </cell>
          <cell r="E726" t="str">
            <v>PS- pump station</v>
          </cell>
          <cell r="G726" t="str">
            <v>7</v>
          </cell>
          <cell r="H726" t="str">
            <v>W- water corporation</v>
          </cell>
          <cell r="J726" t="str">
            <v>18000101</v>
          </cell>
          <cell r="K726" t="str">
            <v>115.848455556</v>
          </cell>
          <cell r="L726" t="str">
            <v>-31.9451969669</v>
          </cell>
          <cell r="M726" t="str">
            <v>L</v>
          </cell>
          <cell r="N726" t="str">
            <v>1033</v>
          </cell>
          <cell r="O726" t="str">
            <v>RAILWAY</v>
          </cell>
          <cell r="P726" t="str">
            <v>ST</v>
          </cell>
          <cell r="R726" t="str">
            <v>WEST PERTH</v>
          </cell>
          <cell r="S726" t="str">
            <v>6005</v>
          </cell>
        </row>
        <row r="727">
          <cell r="B727" t="str">
            <v>S0030881</v>
          </cell>
          <cell r="C727" t="str">
            <v>SPS CLAISEBROOK MAIN EAST PERTH</v>
          </cell>
          <cell r="D727" t="str">
            <v>A- actual</v>
          </cell>
          <cell r="E727" t="str">
            <v>PS- pump station</v>
          </cell>
          <cell r="F727" t="str">
            <v>CLAISEBROOK MAIN</v>
          </cell>
          <cell r="G727" t="str">
            <v>700-04</v>
          </cell>
          <cell r="H727" t="str">
            <v>W- water corporation</v>
          </cell>
          <cell r="I727" t="str">
            <v>17675</v>
          </cell>
          <cell r="J727" t="str">
            <v>19951015</v>
          </cell>
          <cell r="K727" t="str">
            <v>115.881486073</v>
          </cell>
          <cell r="L727" t="str">
            <v>-31.952903208</v>
          </cell>
          <cell r="M727" t="str">
            <v>H</v>
          </cell>
          <cell r="N727" t="str">
            <v>8</v>
          </cell>
          <cell r="O727" t="str">
            <v>GIBRALTAR</v>
          </cell>
          <cell r="P727" t="str">
            <v>WAY</v>
          </cell>
          <cell r="R727" t="str">
            <v>EAST PERTH</v>
          </cell>
          <cell r="S727" t="str">
            <v>6004</v>
          </cell>
        </row>
        <row r="728">
          <cell r="B728" t="str">
            <v>S0030922</v>
          </cell>
          <cell r="C728" t="str">
            <v>SPS PERTH CENTRAL PERTH</v>
          </cell>
          <cell r="D728" t="str">
            <v>A- actual</v>
          </cell>
          <cell r="E728" t="str">
            <v>PS- pump station</v>
          </cell>
          <cell r="F728" t="str">
            <v>PERTH CENTRAL MAIN</v>
          </cell>
          <cell r="H728" t="str">
            <v>W- water corporation</v>
          </cell>
          <cell r="I728" t="str">
            <v>19715</v>
          </cell>
          <cell r="J728" t="str">
            <v>19870316</v>
          </cell>
          <cell r="K728" t="str">
            <v>115.855143678</v>
          </cell>
          <cell r="L728" t="str">
            <v>-31.9565217476</v>
          </cell>
          <cell r="M728" t="str">
            <v>H</v>
          </cell>
          <cell r="N728" t="str">
            <v>1</v>
          </cell>
          <cell r="O728" t="str">
            <v>MOUNTS BAY</v>
          </cell>
          <cell r="P728" t="str">
            <v>RD</v>
          </cell>
          <cell r="R728" t="str">
            <v>PERTH</v>
          </cell>
          <cell r="S728" t="str">
            <v>6000</v>
          </cell>
        </row>
        <row r="729">
          <cell r="B729" t="str">
            <v>S0030911</v>
          </cell>
          <cell r="C729" t="str">
            <v>SPS MILL ST PERTH</v>
          </cell>
          <cell r="D729" t="str">
            <v>A- actual</v>
          </cell>
          <cell r="E729" t="str">
            <v>PS- pump station</v>
          </cell>
          <cell r="F729" t="str">
            <v>MILL ST</v>
          </cell>
          <cell r="G729" t="str">
            <v>3</v>
          </cell>
          <cell r="H729" t="str">
            <v>W- water corporation</v>
          </cell>
          <cell r="I729" t="str">
            <v>17692</v>
          </cell>
          <cell r="J729" t="str">
            <v>19161218</v>
          </cell>
          <cell r="K729" t="str">
            <v>115.85217279</v>
          </cell>
          <cell r="L729" t="str">
            <v>-31.9552771732</v>
          </cell>
          <cell r="M729" t="str">
            <v>H</v>
          </cell>
          <cell r="N729" t="str">
            <v>41</v>
          </cell>
          <cell r="O729" t="str">
            <v>MOUNTS BAY</v>
          </cell>
          <cell r="P729" t="str">
            <v>RD</v>
          </cell>
          <cell r="R729" t="str">
            <v>PERTH</v>
          </cell>
          <cell r="S729" t="str">
            <v>6000</v>
          </cell>
        </row>
        <row r="730">
          <cell r="B730" t="str">
            <v>S0030918</v>
          </cell>
          <cell r="C730" t="str">
            <v>SPS HENRY LAWSON WK EAST PERTH</v>
          </cell>
          <cell r="D730" t="str">
            <v>A- actual</v>
          </cell>
          <cell r="E730" t="str">
            <v>PS- pump station</v>
          </cell>
          <cell r="F730" t="str">
            <v>HENRY LAWSON WK</v>
          </cell>
          <cell r="G730" t="str">
            <v>058-18</v>
          </cell>
          <cell r="H730" t="str">
            <v>W- water corporation</v>
          </cell>
          <cell r="I730" t="str">
            <v>56725</v>
          </cell>
          <cell r="J730" t="str">
            <v>19940101</v>
          </cell>
          <cell r="K730" t="str">
            <v>115.880449093</v>
          </cell>
          <cell r="L730" t="str">
            <v>-31.951317683</v>
          </cell>
          <cell r="M730" t="str">
            <v>H</v>
          </cell>
          <cell r="N730" t="str">
            <v>1</v>
          </cell>
          <cell r="O730" t="str">
            <v>HENRY LAWSON</v>
          </cell>
          <cell r="P730" t="str">
            <v>WALK</v>
          </cell>
          <cell r="R730" t="str">
            <v>EAST PERTH</v>
          </cell>
          <cell r="S730" t="str">
            <v>6004</v>
          </cell>
        </row>
        <row r="731">
          <cell r="D731" t="str">
            <v>N- not in use</v>
          </cell>
          <cell r="E731" t="str">
            <v>ES- ejector station</v>
          </cell>
          <cell r="F731" t="str">
            <v>BARRACK ST JETTY</v>
          </cell>
          <cell r="H731" t="str">
            <v>W- water corporation</v>
          </cell>
          <cell r="J731" t="str">
            <v>19470821</v>
          </cell>
          <cell r="K731" t="str">
            <v>115.85791461</v>
          </cell>
          <cell r="L731" t="str">
            <v>-31.95986507</v>
          </cell>
          <cell r="M731" t="str">
            <v>H</v>
          </cell>
          <cell r="N731" t="str">
            <v>1</v>
          </cell>
          <cell r="O731" t="str">
            <v>BARRACK</v>
          </cell>
          <cell r="P731" t="str">
            <v>SQ</v>
          </cell>
          <cell r="R731" t="str">
            <v>PERTH</v>
          </cell>
          <cell r="S731" t="str">
            <v>6000</v>
          </cell>
        </row>
        <row r="732">
          <cell r="B732" t="str">
            <v>S0030904</v>
          </cell>
          <cell r="C732" t="str">
            <v>SPS GLOUCESTER PARK EAST PERTH</v>
          </cell>
          <cell r="D732" t="str">
            <v>A- actual</v>
          </cell>
          <cell r="E732" t="str">
            <v>PS- pump station</v>
          </cell>
          <cell r="F732" t="str">
            <v>GLOUCESTER PARK</v>
          </cell>
          <cell r="G732" t="str">
            <v>4</v>
          </cell>
          <cell r="H732" t="str">
            <v>W- water corporation</v>
          </cell>
          <cell r="I732" t="str">
            <v>17693</v>
          </cell>
          <cell r="J732" t="str">
            <v>19610809</v>
          </cell>
          <cell r="K732" t="str">
            <v>115.882231088</v>
          </cell>
          <cell r="L732" t="str">
            <v>-31.9591399465</v>
          </cell>
          <cell r="M732" t="str">
            <v>L</v>
          </cell>
          <cell r="N732" t="str">
            <v>1</v>
          </cell>
          <cell r="O732" t="str">
            <v>NELSON</v>
          </cell>
          <cell r="P732" t="str">
            <v>AV</v>
          </cell>
          <cell r="R732" t="str">
            <v>EAST PERTH</v>
          </cell>
          <cell r="S732" t="str">
            <v>6004</v>
          </cell>
        </row>
        <row r="733">
          <cell r="B733" t="str">
            <v>S0034137</v>
          </cell>
          <cell r="C733" t="str">
            <v>SPS MILL POINT RD SOUTH PERTH</v>
          </cell>
          <cell r="D733" t="str">
            <v>A- actual</v>
          </cell>
          <cell r="E733" t="str">
            <v>PS- pump station</v>
          </cell>
          <cell r="F733" t="str">
            <v>MILL POINT RD</v>
          </cell>
          <cell r="G733" t="str">
            <v>2</v>
          </cell>
          <cell r="H733" t="str">
            <v>W- water corporation</v>
          </cell>
          <cell r="I733" t="str">
            <v>18116</v>
          </cell>
          <cell r="J733" t="str">
            <v>19390601</v>
          </cell>
          <cell r="K733" t="str">
            <v>115.849114055</v>
          </cell>
          <cell r="L733" t="str">
            <v>-31.9688838286</v>
          </cell>
          <cell r="M733" t="str">
            <v>H</v>
          </cell>
          <cell r="N733" t="str">
            <v>48</v>
          </cell>
          <cell r="O733" t="str">
            <v>MILL POINT</v>
          </cell>
          <cell r="P733" t="str">
            <v>RD</v>
          </cell>
          <cell r="R733" t="str">
            <v>SOUTH PERTH</v>
          </cell>
          <cell r="S733" t="str">
            <v>6151</v>
          </cell>
        </row>
        <row r="734">
          <cell r="D734" t="str">
            <v>N- not in use</v>
          </cell>
          <cell r="E734" t="str">
            <v>PS- pump station</v>
          </cell>
          <cell r="F734" t="str">
            <v>BARRACK ST JETTY</v>
          </cell>
          <cell r="G734" t="str">
            <v>11</v>
          </cell>
          <cell r="H734" t="str">
            <v>W- water corporation</v>
          </cell>
          <cell r="I734" t="str">
            <v>17699</v>
          </cell>
          <cell r="J734" t="str">
            <v>19730719</v>
          </cell>
          <cell r="K734" t="str">
            <v>115.857156161</v>
          </cell>
          <cell r="L734" t="str">
            <v>-31.95925223</v>
          </cell>
          <cell r="M734" t="str">
            <v>L</v>
          </cell>
          <cell r="N734" t="str">
            <v>871</v>
          </cell>
          <cell r="O734" t="str">
            <v>BARRACK</v>
          </cell>
          <cell r="P734" t="str">
            <v>SQ</v>
          </cell>
          <cell r="R734" t="str">
            <v>PERTH</v>
          </cell>
          <cell r="S734" t="str">
            <v>6000</v>
          </cell>
        </row>
        <row r="735">
          <cell r="B735" t="str">
            <v>S0034125</v>
          </cell>
          <cell r="C735" t="str">
            <v>SPS MENDS ST SOUTH PERTH</v>
          </cell>
          <cell r="D735" t="str">
            <v>A- actual</v>
          </cell>
          <cell r="E735" t="str">
            <v>PS- pump station</v>
          </cell>
          <cell r="F735" t="str">
            <v>MENDS ST</v>
          </cell>
          <cell r="G735" t="str">
            <v>14</v>
          </cell>
          <cell r="H735" t="str">
            <v>W- water corporation</v>
          </cell>
          <cell r="I735" t="str">
            <v>18128</v>
          </cell>
          <cell r="J735" t="str">
            <v>19390601</v>
          </cell>
          <cell r="K735" t="str">
            <v>115.853838821</v>
          </cell>
          <cell r="L735" t="str">
            <v>-31.9715988389</v>
          </cell>
          <cell r="M735" t="str">
            <v>L</v>
          </cell>
          <cell r="N735" t="str">
            <v>962</v>
          </cell>
          <cell r="O735" t="str">
            <v>SOUTH PERTH</v>
          </cell>
          <cell r="P735" t="str">
            <v>ESP</v>
          </cell>
          <cell r="R735" t="str">
            <v>SOUTH PERTH</v>
          </cell>
          <cell r="S735" t="str">
            <v>6151</v>
          </cell>
        </row>
        <row r="736">
          <cell r="B736" t="str">
            <v>S0033952</v>
          </cell>
          <cell r="C736" t="str">
            <v>SPS ARMAGH ST VICTORIA PARK</v>
          </cell>
          <cell r="D736" t="str">
            <v>A- actual</v>
          </cell>
          <cell r="E736" t="str">
            <v>PS- pump station</v>
          </cell>
          <cell r="F736" t="str">
            <v>VICTORIA PARK (ARMAGH ST) MAIN</v>
          </cell>
          <cell r="H736" t="str">
            <v>W- water corporation</v>
          </cell>
          <cell r="I736" t="str">
            <v>18012</v>
          </cell>
          <cell r="J736" t="str">
            <v>19810101</v>
          </cell>
          <cell r="K736" t="str">
            <v>115.887984269</v>
          </cell>
          <cell r="L736" t="str">
            <v>-31.969301103</v>
          </cell>
          <cell r="M736" t="str">
            <v>L</v>
          </cell>
          <cell r="N736" t="str">
            <v>10095</v>
          </cell>
          <cell r="O736" t="str">
            <v>ARMAGH</v>
          </cell>
          <cell r="P736" t="str">
            <v>ST</v>
          </cell>
          <cell r="R736" t="str">
            <v>VICTORIA PARK</v>
          </cell>
          <cell r="S736" t="str">
            <v>6100</v>
          </cell>
        </row>
        <row r="737">
          <cell r="B737" t="str">
            <v>S2023282</v>
          </cell>
          <cell r="C737" t="str">
            <v>SPS HORDERN ST VICTORIA PARK</v>
          </cell>
          <cell r="D737" t="str">
            <v>A- actual</v>
          </cell>
          <cell r="E737" t="str">
            <v>PS- pump station</v>
          </cell>
          <cell r="F737" t="str">
            <v>HORDERN ST</v>
          </cell>
          <cell r="G737" t="str">
            <v>1</v>
          </cell>
          <cell r="H737" t="str">
            <v>W- water corporation</v>
          </cell>
          <cell r="I737" t="str">
            <v>18141</v>
          </cell>
          <cell r="J737" t="str">
            <v>20100701</v>
          </cell>
          <cell r="K737" t="str">
            <v>115.887291516</v>
          </cell>
          <cell r="L737" t="str">
            <v>-31.969530537</v>
          </cell>
          <cell r="M737" t="str">
            <v>L</v>
          </cell>
          <cell r="N737" t="str">
            <v>8324</v>
          </cell>
          <cell r="O737" t="str">
            <v>HORDERN</v>
          </cell>
          <cell r="P737" t="str">
            <v>ST</v>
          </cell>
          <cell r="R737" t="str">
            <v>VICTORIA PARK</v>
          </cell>
          <cell r="S737" t="str">
            <v>6100</v>
          </cell>
        </row>
        <row r="738">
          <cell r="D738" t="str">
            <v>A- actual</v>
          </cell>
          <cell r="E738" t="str">
            <v>PS- pump station</v>
          </cell>
          <cell r="F738" t="str">
            <v>CITY OF SOUTH PERTH</v>
          </cell>
          <cell r="H738" t="str">
            <v>P- private</v>
          </cell>
          <cell r="J738" t="str">
            <v>19930101</v>
          </cell>
          <cell r="K738" t="str">
            <v>115.85647719</v>
          </cell>
          <cell r="L738" t="str">
            <v>-31.9735388581</v>
          </cell>
          <cell r="M738" t="str">
            <v>H</v>
          </cell>
          <cell r="N738" t="str">
            <v>3</v>
          </cell>
          <cell r="O738" t="str">
            <v>COODE</v>
          </cell>
          <cell r="P738" t="str">
            <v>ST</v>
          </cell>
          <cell r="R738" t="str">
            <v>SOUTH PERTH</v>
          </cell>
          <cell r="S738" t="str">
            <v>6151</v>
          </cell>
        </row>
        <row r="739">
          <cell r="B739" t="str">
            <v>S0030876</v>
          </cell>
          <cell r="C739" t="str">
            <v>SPS CAUSEWAY EAST PERTH</v>
          </cell>
          <cell r="D739" t="str">
            <v>A- actual</v>
          </cell>
          <cell r="E739" t="str">
            <v>PS- pump station</v>
          </cell>
          <cell r="F739" t="str">
            <v>CAUSEWAY</v>
          </cell>
          <cell r="G739" t="str">
            <v>058-01</v>
          </cell>
          <cell r="H739" t="str">
            <v>W- water corporation</v>
          </cell>
          <cell r="I739" t="str">
            <v>17690</v>
          </cell>
          <cell r="J739" t="str">
            <v>19930830</v>
          </cell>
          <cell r="K739" t="str">
            <v>115.876049365</v>
          </cell>
          <cell r="L739" t="str">
            <v>-31.961833912</v>
          </cell>
          <cell r="M739" t="str">
            <v>H</v>
          </cell>
          <cell r="N739" t="str">
            <v>1</v>
          </cell>
          <cell r="O739" t="str">
            <v>ADELAIDE</v>
          </cell>
          <cell r="P739" t="str">
            <v>TCE</v>
          </cell>
          <cell r="R739" t="str">
            <v>EAST PERTH</v>
          </cell>
          <cell r="S739" t="str">
            <v>6004</v>
          </cell>
        </row>
        <row r="740">
          <cell r="D740" t="str">
            <v>A- actual</v>
          </cell>
          <cell r="E740" t="str">
            <v>PS- pump station</v>
          </cell>
          <cell r="F740" t="str">
            <v>W.A. ROWING CLUB</v>
          </cell>
          <cell r="H740" t="str">
            <v>P- private</v>
          </cell>
          <cell r="J740" t="str">
            <v>19860601</v>
          </cell>
          <cell r="K740" t="str">
            <v>115.859955159</v>
          </cell>
          <cell r="L740" t="str">
            <v>-31.9594011373</v>
          </cell>
          <cell r="M740" t="str">
            <v>H</v>
          </cell>
          <cell r="N740" t="str">
            <v>171</v>
          </cell>
          <cell r="O740" t="str">
            <v>RIVERSIDE</v>
          </cell>
          <cell r="P740" t="str">
            <v>DR</v>
          </cell>
          <cell r="R740" t="str">
            <v>PERTH</v>
          </cell>
          <cell r="S740" t="str">
            <v>6000</v>
          </cell>
        </row>
        <row r="741">
          <cell r="B741" t="str">
            <v>S0032654</v>
          </cell>
          <cell r="C741" t="str">
            <v>SPS MARLBOROUGH ST MOSMAN PARK</v>
          </cell>
          <cell r="D741" t="str">
            <v>A- actual</v>
          </cell>
          <cell r="E741" t="str">
            <v>PS- pump station</v>
          </cell>
          <cell r="F741" t="str">
            <v>MARLBOROUGH ST</v>
          </cell>
          <cell r="G741" t="str">
            <v>022-06</v>
          </cell>
          <cell r="H741" t="str">
            <v>W- water corporation</v>
          </cell>
          <cell r="I741" t="str">
            <v>17741</v>
          </cell>
          <cell r="J741" t="str">
            <v>19760115</v>
          </cell>
          <cell r="K741" t="str">
            <v>115.76542159</v>
          </cell>
          <cell r="L741" t="str">
            <v>-32.016333337</v>
          </cell>
          <cell r="M741" t="str">
            <v>H</v>
          </cell>
          <cell r="N741" t="str">
            <v>34</v>
          </cell>
          <cell r="O741" t="str">
            <v>HAYES</v>
          </cell>
          <cell r="P741" t="str">
            <v>TCE</v>
          </cell>
          <cell r="R741" t="str">
            <v>MOSMAN PARK</v>
          </cell>
          <cell r="S741" t="str">
            <v>6012</v>
          </cell>
        </row>
        <row r="742">
          <cell r="B742" t="str">
            <v>S0032695</v>
          </cell>
          <cell r="C742" t="str">
            <v>SPS THE COOMBE MOSMAN PARK</v>
          </cell>
          <cell r="D742" t="str">
            <v>A- actual</v>
          </cell>
          <cell r="E742" t="str">
            <v>PS- pump station</v>
          </cell>
          <cell r="F742" t="str">
            <v>THE COOMBE</v>
          </cell>
          <cell r="G742" t="str">
            <v>022-04</v>
          </cell>
          <cell r="H742" t="str">
            <v>W- water corporation</v>
          </cell>
          <cell r="I742" t="str">
            <v>17739</v>
          </cell>
          <cell r="J742" t="str">
            <v>19610901</v>
          </cell>
          <cell r="K742" t="str">
            <v>115.775368033</v>
          </cell>
          <cell r="L742" t="str">
            <v>-32.0125332319</v>
          </cell>
          <cell r="M742" t="str">
            <v>L</v>
          </cell>
          <cell r="N742" t="str">
            <v>11074</v>
          </cell>
          <cell r="O742" t="str">
            <v>RIVERVIEW</v>
          </cell>
          <cell r="P742" t="str">
            <v>PL</v>
          </cell>
          <cell r="R742" t="str">
            <v>MOSMAN PARK</v>
          </cell>
          <cell r="S742" t="str">
            <v>6012</v>
          </cell>
        </row>
        <row r="743">
          <cell r="B743" t="str">
            <v>S0032627</v>
          </cell>
          <cell r="C743" t="str">
            <v>SPS GLYDE ST MOSMAN PARK</v>
          </cell>
          <cell r="D743" t="str">
            <v>A- actual</v>
          </cell>
          <cell r="E743" t="str">
            <v>PS- pump station</v>
          </cell>
          <cell r="F743" t="str">
            <v>GLYDE ST</v>
          </cell>
          <cell r="G743" t="str">
            <v>022-08</v>
          </cell>
          <cell r="H743" t="str">
            <v>W- water corporation</v>
          </cell>
          <cell r="I743" t="str">
            <v>17743</v>
          </cell>
          <cell r="J743" t="str">
            <v>19370712</v>
          </cell>
          <cell r="K743" t="str">
            <v>115.763065475</v>
          </cell>
          <cell r="L743" t="str">
            <v>-32.0071120053</v>
          </cell>
          <cell r="M743" t="str">
            <v>H</v>
          </cell>
          <cell r="N743" t="str">
            <v>76</v>
          </cell>
          <cell r="O743" t="str">
            <v>GLYDE</v>
          </cell>
          <cell r="P743" t="str">
            <v>ST</v>
          </cell>
          <cell r="R743" t="str">
            <v>MOSMAN PARK</v>
          </cell>
          <cell r="S743" t="str">
            <v>6012</v>
          </cell>
        </row>
        <row r="744">
          <cell r="B744" t="str">
            <v>S0032608</v>
          </cell>
          <cell r="C744" t="str">
            <v>SPS ECCLESBORNE ST MOSMAN PARK</v>
          </cell>
          <cell r="D744" t="str">
            <v>A- actual</v>
          </cell>
          <cell r="E744" t="str">
            <v>PS- pump station</v>
          </cell>
          <cell r="F744" t="str">
            <v>ECCLESBORNE ST</v>
          </cell>
          <cell r="G744" t="str">
            <v>022-02</v>
          </cell>
          <cell r="H744" t="str">
            <v>W- water corporation</v>
          </cell>
          <cell r="J744" t="str">
            <v>19360901</v>
          </cell>
          <cell r="K744" t="str">
            <v>115.757821772</v>
          </cell>
          <cell r="L744" t="str">
            <v>-32.0093547647</v>
          </cell>
          <cell r="M744" t="str">
            <v>H</v>
          </cell>
          <cell r="N744" t="str">
            <v>9</v>
          </cell>
          <cell r="O744" t="str">
            <v>DOVER</v>
          </cell>
          <cell r="P744" t="str">
            <v>CT</v>
          </cell>
          <cell r="R744" t="str">
            <v>MOSMAN PARK</v>
          </cell>
          <cell r="S744" t="str">
            <v>6012</v>
          </cell>
        </row>
        <row r="745">
          <cell r="B745" t="str">
            <v>S0033826</v>
          </cell>
          <cell r="C745" t="str">
            <v>SPS ROBERTS RD ATTADALE</v>
          </cell>
          <cell r="D745" t="str">
            <v>A- actual</v>
          </cell>
          <cell r="E745" t="str">
            <v>PS- pump station</v>
          </cell>
          <cell r="F745" t="str">
            <v>ROBERTS RD</v>
          </cell>
          <cell r="G745" t="str">
            <v>3</v>
          </cell>
          <cell r="H745" t="str">
            <v>W- water corporation</v>
          </cell>
          <cell r="I745" t="str">
            <v>18028</v>
          </cell>
          <cell r="J745" t="str">
            <v>19740222</v>
          </cell>
          <cell r="K745" t="str">
            <v>115.799297274</v>
          </cell>
          <cell r="L745" t="str">
            <v>-32.018214119</v>
          </cell>
          <cell r="M745" t="str">
            <v>L</v>
          </cell>
          <cell r="N745" t="str">
            <v>11143</v>
          </cell>
          <cell r="O745" t="str">
            <v>BURKE</v>
          </cell>
          <cell r="P745" t="str">
            <v>DR</v>
          </cell>
          <cell r="R745" t="str">
            <v>ATTADALE</v>
          </cell>
          <cell r="S745" t="str">
            <v>6156</v>
          </cell>
        </row>
        <row r="746">
          <cell r="D746" t="str">
            <v>A- actual</v>
          </cell>
          <cell r="E746" t="str">
            <v>PS- pump station</v>
          </cell>
          <cell r="F746" t="str">
            <v>MOSMAN BAY MARINA</v>
          </cell>
          <cell r="H746" t="str">
            <v>P- private</v>
          </cell>
          <cell r="J746" t="str">
            <v>19490520</v>
          </cell>
          <cell r="K746" t="str">
            <v>115.770948339</v>
          </cell>
          <cell r="L746" t="str">
            <v>-32.006738107</v>
          </cell>
          <cell r="M746" t="str">
            <v>H</v>
          </cell>
          <cell r="N746" t="str">
            <v>138</v>
          </cell>
          <cell r="O746" t="str">
            <v>GLYDE</v>
          </cell>
          <cell r="P746" t="str">
            <v>ST</v>
          </cell>
          <cell r="R746" t="str">
            <v>MOSMAN PARK</v>
          </cell>
          <cell r="S746" t="str">
            <v>6012</v>
          </cell>
        </row>
        <row r="747">
          <cell r="B747" t="str">
            <v>S0032723</v>
          </cell>
          <cell r="C747" t="str">
            <v>SPS WELLINGTON ST MOSMAN PK</v>
          </cell>
          <cell r="D747" t="str">
            <v>A- actual</v>
          </cell>
          <cell r="E747" t="str">
            <v>PS- pump station</v>
          </cell>
          <cell r="F747" t="str">
            <v>WELLINGTON ST</v>
          </cell>
          <cell r="G747" t="str">
            <v>022-11</v>
          </cell>
          <cell r="H747" t="str">
            <v>W- water corporation</v>
          </cell>
          <cell r="I747" t="str">
            <v>17746</v>
          </cell>
          <cell r="J747" t="str">
            <v>19630816</v>
          </cell>
          <cell r="K747" t="str">
            <v>115.766041476</v>
          </cell>
          <cell r="L747" t="str">
            <v>-32.014910152</v>
          </cell>
          <cell r="M747" t="str">
            <v>L</v>
          </cell>
          <cell r="N747" t="str">
            <v>655</v>
          </cell>
          <cell r="O747" t="str">
            <v>WELLINGTON</v>
          </cell>
          <cell r="P747" t="str">
            <v>ST</v>
          </cell>
          <cell r="R747" t="str">
            <v>MOSMAN PARK</v>
          </cell>
          <cell r="S747" t="str">
            <v>6012</v>
          </cell>
        </row>
        <row r="748">
          <cell r="B748" t="str">
            <v>S0032009</v>
          </cell>
          <cell r="C748" t="str">
            <v>SPS OBAN RD CITY BEACH</v>
          </cell>
          <cell r="D748" t="str">
            <v>A- actual</v>
          </cell>
          <cell r="E748" t="str">
            <v>PS- pump station</v>
          </cell>
          <cell r="F748" t="str">
            <v>OBAN RD</v>
          </cell>
          <cell r="G748" t="str">
            <v>019-01</v>
          </cell>
          <cell r="H748" t="str">
            <v>W- water corporation</v>
          </cell>
          <cell r="I748" t="str">
            <v>17681</v>
          </cell>
          <cell r="J748" t="str">
            <v>19620117</v>
          </cell>
          <cell r="K748" t="str">
            <v>115.766375015</v>
          </cell>
          <cell r="L748" t="str">
            <v>-31.9264415275</v>
          </cell>
          <cell r="M748" t="str">
            <v>H</v>
          </cell>
          <cell r="N748" t="str">
            <v>318</v>
          </cell>
          <cell r="O748" t="str">
            <v>THE BOULEVARD</v>
          </cell>
          <cell r="R748" t="str">
            <v>CITY BEACH</v>
          </cell>
          <cell r="S748" t="str">
            <v>6015</v>
          </cell>
        </row>
        <row r="749">
          <cell r="B749" t="str">
            <v>S0031986</v>
          </cell>
          <cell r="C749" t="str">
            <v>SPS BUXTON RD WEMBLEY DOWNS</v>
          </cell>
          <cell r="D749" t="str">
            <v>A- actual</v>
          </cell>
          <cell r="E749" t="str">
            <v>PS- pump station</v>
          </cell>
          <cell r="F749" t="str">
            <v>BUXTON RD</v>
          </cell>
          <cell r="G749" t="str">
            <v>075-02</v>
          </cell>
          <cell r="H749" t="str">
            <v>W- water corporation</v>
          </cell>
          <cell r="I749" t="str">
            <v>17719</v>
          </cell>
          <cell r="J749" t="str">
            <v>19760101</v>
          </cell>
          <cell r="K749" t="str">
            <v>115.769601233</v>
          </cell>
          <cell r="L749" t="str">
            <v>-31.9177382903</v>
          </cell>
          <cell r="M749" t="str">
            <v>H</v>
          </cell>
          <cell r="N749" t="str">
            <v>2</v>
          </cell>
          <cell r="O749" t="str">
            <v>NORMAN</v>
          </cell>
          <cell r="P749" t="str">
            <v>ST</v>
          </cell>
          <cell r="R749" t="str">
            <v>WEMBLEY DOWNS</v>
          </cell>
          <cell r="S749" t="str">
            <v>6019</v>
          </cell>
        </row>
        <row r="750">
          <cell r="D750" t="str">
            <v>A- actual</v>
          </cell>
          <cell r="E750" t="str">
            <v>PS- pump station</v>
          </cell>
          <cell r="F750" t="str">
            <v>HERDSMAN LAKE NATURE CENTRE</v>
          </cell>
          <cell r="H750" t="str">
            <v>P- private</v>
          </cell>
          <cell r="J750" t="str">
            <v>19800130</v>
          </cell>
          <cell r="K750" t="str">
            <v>115.80482072</v>
          </cell>
          <cell r="L750" t="str">
            <v>-31.929517133</v>
          </cell>
          <cell r="M750" t="str">
            <v>H</v>
          </cell>
          <cell r="N750" t="str">
            <v>20</v>
          </cell>
          <cell r="O750" t="str">
            <v>HONEYEATER</v>
          </cell>
          <cell r="P750" t="str">
            <v>CIR</v>
          </cell>
          <cell r="R750" t="str">
            <v>WEMBLEY</v>
          </cell>
          <cell r="S750" t="str">
            <v>6014</v>
          </cell>
        </row>
        <row r="751">
          <cell r="B751" t="str">
            <v>S0031714</v>
          </cell>
          <cell r="C751" t="str">
            <v>SPS HERDSMAN PDE WEMBLEY</v>
          </cell>
          <cell r="D751" t="str">
            <v>A- actual</v>
          </cell>
          <cell r="E751" t="str">
            <v>PS- pump station</v>
          </cell>
          <cell r="F751" t="str">
            <v>HERDSMAN PDE</v>
          </cell>
          <cell r="G751" t="str">
            <v>067-06</v>
          </cell>
          <cell r="H751" t="str">
            <v>W- water corporation</v>
          </cell>
          <cell r="I751" t="str">
            <v>17712</v>
          </cell>
          <cell r="J751" t="str">
            <v>19620520</v>
          </cell>
          <cell r="K751" t="str">
            <v>115.812339326</v>
          </cell>
          <cell r="L751" t="str">
            <v>-31.92949802</v>
          </cell>
          <cell r="M751" t="str">
            <v>H</v>
          </cell>
          <cell r="N751" t="str">
            <v>75</v>
          </cell>
          <cell r="O751" t="str">
            <v>HERDSMAN</v>
          </cell>
          <cell r="P751" t="str">
            <v>PDE</v>
          </cell>
          <cell r="R751" t="str">
            <v>WEMBLEY</v>
          </cell>
          <cell r="S751" t="str">
            <v>6014</v>
          </cell>
        </row>
        <row r="752">
          <cell r="B752" t="str">
            <v>S0031690</v>
          </cell>
          <cell r="C752" t="str">
            <v>SPS FLYNN ST CHURCHLANDS</v>
          </cell>
          <cell r="D752" t="str">
            <v>A- actual</v>
          </cell>
          <cell r="E752" t="str">
            <v>PS- pump station</v>
          </cell>
          <cell r="F752" t="str">
            <v>FLYNN ST</v>
          </cell>
          <cell r="G752" t="str">
            <v>067-10</v>
          </cell>
          <cell r="H752" t="str">
            <v>W- water corporation</v>
          </cell>
          <cell r="I752" t="str">
            <v>17716</v>
          </cell>
          <cell r="J752" t="str">
            <v>19760802</v>
          </cell>
          <cell r="K752" t="str">
            <v>115.801118165</v>
          </cell>
          <cell r="L752" t="str">
            <v>-31.9292780684</v>
          </cell>
          <cell r="M752" t="str">
            <v>H</v>
          </cell>
          <cell r="N752" t="str">
            <v>16</v>
          </cell>
          <cell r="O752" t="str">
            <v>HERON</v>
          </cell>
          <cell r="P752" t="str">
            <v>PL</v>
          </cell>
          <cell r="R752" t="str">
            <v>CHURCHLANDS</v>
          </cell>
          <cell r="S752" t="str">
            <v>6018</v>
          </cell>
        </row>
        <row r="753">
          <cell r="D753" t="str">
            <v>A- actual</v>
          </cell>
          <cell r="E753" t="str">
            <v>PS- pump station</v>
          </cell>
          <cell r="F753" t="str">
            <v>NEWMAN SENIOR COLLEGE</v>
          </cell>
          <cell r="H753" t="str">
            <v>P- private</v>
          </cell>
          <cell r="J753" t="str">
            <v>19790511</v>
          </cell>
          <cell r="K753" t="str">
            <v>115.786784955</v>
          </cell>
          <cell r="L753" t="str">
            <v>-31.9219587603</v>
          </cell>
          <cell r="M753" t="str">
            <v>H</v>
          </cell>
          <cell r="N753" t="str">
            <v>55</v>
          </cell>
          <cell r="O753" t="str">
            <v>TUSCANY</v>
          </cell>
          <cell r="P753" t="str">
            <v>WAY</v>
          </cell>
          <cell r="R753" t="str">
            <v>CHURCHLANDS</v>
          </cell>
          <cell r="S753" t="str">
            <v>6018</v>
          </cell>
        </row>
        <row r="754">
          <cell r="B754" t="str">
            <v>S0032016</v>
          </cell>
          <cell r="C754" t="str">
            <v>SPS PEARSON ST CHURCHLANDS</v>
          </cell>
          <cell r="D754" t="str">
            <v>A- actual</v>
          </cell>
          <cell r="E754" t="str">
            <v>PS- pump station</v>
          </cell>
          <cell r="F754" t="str">
            <v>PEARSON ST TEMP</v>
          </cell>
          <cell r="G754" t="str">
            <v>900-41</v>
          </cell>
          <cell r="H754" t="str">
            <v>W- water corporation</v>
          </cell>
          <cell r="I754" t="str">
            <v>17722</v>
          </cell>
          <cell r="J754" t="str">
            <v>19850208</v>
          </cell>
          <cell r="K754" t="str">
            <v>115.793332484</v>
          </cell>
          <cell r="L754" t="str">
            <v>-31.9180815069</v>
          </cell>
          <cell r="M754" t="str">
            <v>H</v>
          </cell>
          <cell r="N754" t="str">
            <v>22</v>
          </cell>
          <cell r="O754" t="str">
            <v>CHURCHLANDS</v>
          </cell>
          <cell r="P754" t="str">
            <v>AV</v>
          </cell>
          <cell r="R754" t="str">
            <v>CHURCHLANDS</v>
          </cell>
          <cell r="S754" t="str">
            <v>6018</v>
          </cell>
        </row>
        <row r="755">
          <cell r="B755" t="str">
            <v>S0031982</v>
          </cell>
          <cell r="C755" t="str">
            <v>SPS BISHOP RILEY WY CHURCHLANDS</v>
          </cell>
          <cell r="D755" t="str">
            <v>A- actual</v>
          </cell>
          <cell r="E755" t="str">
            <v>PS- pump station</v>
          </cell>
          <cell r="F755" t="str">
            <v>BISHOP RILEY WY</v>
          </cell>
          <cell r="G755" t="str">
            <v>3</v>
          </cell>
          <cell r="H755" t="str">
            <v>W- water corporation</v>
          </cell>
          <cell r="I755" t="str">
            <v>32849</v>
          </cell>
          <cell r="J755" t="str">
            <v>19711201</v>
          </cell>
          <cell r="K755" t="str">
            <v>115.799281095</v>
          </cell>
          <cell r="L755" t="str">
            <v>-31.914594909</v>
          </cell>
          <cell r="M755" t="str">
            <v>H</v>
          </cell>
          <cell r="N755" t="str">
            <v>20</v>
          </cell>
          <cell r="O755" t="str">
            <v>BISHOP RILEY</v>
          </cell>
          <cell r="P755" t="str">
            <v>WAY</v>
          </cell>
          <cell r="R755" t="str">
            <v>CHURCHLANDS</v>
          </cell>
          <cell r="S755" t="str">
            <v>6018</v>
          </cell>
        </row>
        <row r="756">
          <cell r="D756" t="str">
            <v>A- actual</v>
          </cell>
          <cell r="E756" t="str">
            <v>PS- pump station</v>
          </cell>
          <cell r="F756" t="str">
            <v>GRAYLANDS HOSPITAL</v>
          </cell>
          <cell r="H756" t="str">
            <v>P- private</v>
          </cell>
          <cell r="J756" t="str">
            <v>19880613</v>
          </cell>
          <cell r="K756" t="str">
            <v>115.78806624</v>
          </cell>
          <cell r="L756" t="str">
            <v>-31.959674395</v>
          </cell>
          <cell r="M756" t="str">
            <v>H</v>
          </cell>
          <cell r="N756" t="str">
            <v>17</v>
          </cell>
          <cell r="O756" t="str">
            <v>JOHN XXIII</v>
          </cell>
          <cell r="P756" t="str">
            <v>AV</v>
          </cell>
          <cell r="R756" t="str">
            <v>MOUNT CLAREMONT</v>
          </cell>
          <cell r="S756" t="str">
            <v>6010</v>
          </cell>
        </row>
        <row r="757">
          <cell r="D757" t="str">
            <v>N- not in use</v>
          </cell>
          <cell r="E757" t="str">
            <v>PS- pump station</v>
          </cell>
          <cell r="F757" t="str">
            <v>PERTH CENTRAL OUTLET</v>
          </cell>
          <cell r="H757" t="str">
            <v>W- water corporation</v>
          </cell>
          <cell r="I757" t="str">
            <v>32887</v>
          </cell>
          <cell r="J757" t="str">
            <v>19771001</v>
          </cell>
          <cell r="K757" t="str">
            <v>115.758225801</v>
          </cell>
          <cell r="L757" t="str">
            <v>-31.9510851531</v>
          </cell>
          <cell r="M757" t="str">
            <v>H</v>
          </cell>
          <cell r="N757" t="str">
            <v>14</v>
          </cell>
          <cell r="O757" t="str">
            <v>CHALLENGER</v>
          </cell>
          <cell r="P757" t="str">
            <v>PDE</v>
          </cell>
          <cell r="R757" t="str">
            <v>CITY BEACH</v>
          </cell>
          <cell r="S757" t="str">
            <v>6015</v>
          </cell>
        </row>
        <row r="758">
          <cell r="B758" t="str">
            <v>S0031998</v>
          </cell>
          <cell r="C758" t="str">
            <v>SPS MCGILLIVRAY RD MT CLAREMONT</v>
          </cell>
          <cell r="D758" t="str">
            <v>A- actual</v>
          </cell>
          <cell r="E758" t="str">
            <v>PS- pump station</v>
          </cell>
          <cell r="F758" t="str">
            <v>MCGILVRAY RD</v>
          </cell>
          <cell r="G758" t="str">
            <v>8</v>
          </cell>
          <cell r="H758" t="str">
            <v>W- water corporation</v>
          </cell>
          <cell r="I758" t="str">
            <v>17714</v>
          </cell>
          <cell r="J758" t="str">
            <v>19651005</v>
          </cell>
          <cell r="K758" t="str">
            <v>115.784671425</v>
          </cell>
          <cell r="L758" t="str">
            <v>-31.951262718</v>
          </cell>
          <cell r="M758" t="str">
            <v>L</v>
          </cell>
          <cell r="N758" t="str">
            <v>2</v>
          </cell>
          <cell r="O758" t="str">
            <v>MCGILLIVRAY</v>
          </cell>
          <cell r="P758" t="str">
            <v>RD</v>
          </cell>
          <cell r="R758" t="str">
            <v>MOUNT CLAREMONT</v>
          </cell>
          <cell r="S758" t="str">
            <v>6010</v>
          </cell>
        </row>
        <row r="759">
          <cell r="B759" t="str">
            <v>S0032021</v>
          </cell>
          <cell r="C759" t="str">
            <v>SPS PERRY LAKES FLOREAT</v>
          </cell>
          <cell r="D759" t="str">
            <v>A- actual</v>
          </cell>
          <cell r="E759" t="str">
            <v>PS- pump station</v>
          </cell>
          <cell r="F759" t="str">
            <v>PERRY LAKES</v>
          </cell>
          <cell r="G759" t="str">
            <v>7</v>
          </cell>
          <cell r="H759" t="str">
            <v>W- water corporation</v>
          </cell>
          <cell r="I759" t="str">
            <v>17713</v>
          </cell>
          <cell r="J759" t="str">
            <v>19560516</v>
          </cell>
          <cell r="K759" t="str">
            <v>115.787341725</v>
          </cell>
          <cell r="L759" t="str">
            <v>-31.9455507845</v>
          </cell>
          <cell r="M759" t="str">
            <v>L</v>
          </cell>
          <cell r="N759" t="str">
            <v>1</v>
          </cell>
          <cell r="O759" t="str">
            <v>MEAGHER</v>
          </cell>
          <cell r="P759" t="str">
            <v>DR</v>
          </cell>
          <cell r="R759" t="str">
            <v>FLOREAT</v>
          </cell>
          <cell r="S759" t="str">
            <v>6014</v>
          </cell>
        </row>
        <row r="760">
          <cell r="B760" t="str">
            <v>S0031993</v>
          </cell>
          <cell r="C760" t="str">
            <v>SPS HELSTON AV CITY BEACH</v>
          </cell>
          <cell r="D760" t="str">
            <v>A- actual</v>
          </cell>
          <cell r="E760" t="str">
            <v>PS- pump station</v>
          </cell>
          <cell r="F760" t="str">
            <v>HELSTON AV</v>
          </cell>
          <cell r="G760" t="str">
            <v>3</v>
          </cell>
          <cell r="H760" t="str">
            <v>W- water corporation</v>
          </cell>
          <cell r="I760" t="str">
            <v>17682</v>
          </cell>
          <cell r="J760" t="str">
            <v>19860101</v>
          </cell>
          <cell r="K760" t="str">
            <v>115.760428022</v>
          </cell>
          <cell r="L760" t="str">
            <v>-31.946727944</v>
          </cell>
          <cell r="M760" t="str">
            <v>L</v>
          </cell>
          <cell r="N760" t="str">
            <v>42</v>
          </cell>
          <cell r="O760" t="str">
            <v>HELSTON</v>
          </cell>
          <cell r="P760" t="str">
            <v>AV</v>
          </cell>
          <cell r="R760" t="str">
            <v>CITY BEACH</v>
          </cell>
          <cell r="S760" t="str">
            <v>6015</v>
          </cell>
        </row>
        <row r="761">
          <cell r="D761" t="str">
            <v>A- actual</v>
          </cell>
          <cell r="E761" t="str">
            <v>PS- pump station</v>
          </cell>
          <cell r="F761" t="str">
            <v>KARRAKATTA MILITARY CAMP</v>
          </cell>
          <cell r="H761" t="str">
            <v>P- private</v>
          </cell>
          <cell r="J761" t="str">
            <v>19400701</v>
          </cell>
          <cell r="K761" t="str">
            <v>115.795286841</v>
          </cell>
          <cell r="L761" t="str">
            <v>-31.9627828703</v>
          </cell>
          <cell r="M761" t="str">
            <v>H</v>
          </cell>
          <cell r="N761" t="str">
            <v>1</v>
          </cell>
          <cell r="O761" t="str">
            <v>HOBBS</v>
          </cell>
          <cell r="P761" t="str">
            <v>RD</v>
          </cell>
          <cell r="R761" t="str">
            <v>KARRAKATTA</v>
          </cell>
          <cell r="S761" t="str">
            <v>6010</v>
          </cell>
        </row>
        <row r="762">
          <cell r="B762" t="str">
            <v>S0032270</v>
          </cell>
          <cell r="C762" t="str">
            <v>SPS JERSEY ST JOLIMONT</v>
          </cell>
          <cell r="D762" t="str">
            <v>A- actual</v>
          </cell>
          <cell r="E762" t="str">
            <v>PS- pump station</v>
          </cell>
          <cell r="F762" t="str">
            <v>JERSEY ST</v>
          </cell>
          <cell r="G762" t="str">
            <v>5</v>
          </cell>
          <cell r="H762" t="str">
            <v>W- water corporation</v>
          </cell>
          <cell r="I762" t="str">
            <v>17711</v>
          </cell>
          <cell r="J762" t="str">
            <v>19330901</v>
          </cell>
          <cell r="K762" t="str">
            <v>115.8112895</v>
          </cell>
          <cell r="L762" t="str">
            <v>-31.9448353</v>
          </cell>
          <cell r="M762" t="str">
            <v>H</v>
          </cell>
          <cell r="N762" t="str">
            <v>85</v>
          </cell>
          <cell r="O762" t="str">
            <v>JERSEY</v>
          </cell>
          <cell r="P762" t="str">
            <v>ST</v>
          </cell>
          <cell r="R762" t="str">
            <v>JOLIMONT</v>
          </cell>
          <cell r="S762" t="str">
            <v>6014</v>
          </cell>
        </row>
        <row r="763">
          <cell r="B763" t="str">
            <v>S0032277</v>
          </cell>
          <cell r="C763" t="str">
            <v>SPS KINGSTON ST NEDLANDS</v>
          </cell>
          <cell r="D763" t="str">
            <v>A- actual</v>
          </cell>
          <cell r="E763" t="str">
            <v>PS- pump station</v>
          </cell>
          <cell r="F763" t="str">
            <v>KINGSTON ST</v>
          </cell>
          <cell r="G763" t="str">
            <v>2</v>
          </cell>
          <cell r="H763" t="str">
            <v>W- water corporation</v>
          </cell>
          <cell r="I763" t="str">
            <v>17708</v>
          </cell>
          <cell r="J763" t="str">
            <v>19290711</v>
          </cell>
          <cell r="K763" t="str">
            <v>115.81360811</v>
          </cell>
          <cell r="L763" t="str">
            <v>-31.9654697989</v>
          </cell>
          <cell r="M763" t="str">
            <v>H</v>
          </cell>
          <cell r="N763" t="str">
            <v>6</v>
          </cell>
          <cell r="O763" t="str">
            <v>KINGSTON</v>
          </cell>
          <cell r="P763" t="str">
            <v>ST</v>
          </cell>
          <cell r="R763" t="str">
            <v>NEDLANDS</v>
          </cell>
          <cell r="S763" t="str">
            <v>6009</v>
          </cell>
        </row>
        <row r="764">
          <cell r="B764" t="str">
            <v>S0032263</v>
          </cell>
          <cell r="C764" t="str">
            <v>SPS HERBERT RD SHENTON PARK</v>
          </cell>
          <cell r="D764" t="str">
            <v>A- actual</v>
          </cell>
          <cell r="E764" t="str">
            <v>PS- pump station</v>
          </cell>
          <cell r="F764" t="str">
            <v>HERBERT RD LOW LEVEL</v>
          </cell>
          <cell r="G764" t="str">
            <v>1</v>
          </cell>
          <cell r="H764" t="str">
            <v>W- water corporation</v>
          </cell>
          <cell r="I764" t="str">
            <v>17707</v>
          </cell>
          <cell r="J764" t="str">
            <v>19220826</v>
          </cell>
          <cell r="K764" t="str">
            <v>115.810756264</v>
          </cell>
          <cell r="L764" t="str">
            <v>-31.9601575542</v>
          </cell>
          <cell r="M764" t="str">
            <v>H</v>
          </cell>
          <cell r="N764" t="str">
            <v>76</v>
          </cell>
          <cell r="O764" t="str">
            <v>HERBERT</v>
          </cell>
          <cell r="P764" t="str">
            <v>RD</v>
          </cell>
          <cell r="R764" t="str">
            <v>SHENTON PARK</v>
          </cell>
          <cell r="S764" t="str">
            <v>6008</v>
          </cell>
        </row>
        <row r="765">
          <cell r="B765" t="str">
            <v>S0032005</v>
          </cell>
          <cell r="C765" t="str">
            <v>SPS MONTGOMERY AV MT CLAREMONT</v>
          </cell>
          <cell r="D765" t="str">
            <v>A- actual</v>
          </cell>
          <cell r="E765" t="str">
            <v>PS- pump station</v>
          </cell>
          <cell r="F765" t="str">
            <v>MONTGOMERY AV</v>
          </cell>
          <cell r="G765" t="str">
            <v>2</v>
          </cell>
          <cell r="H765" t="str">
            <v>W- water corporation</v>
          </cell>
          <cell r="I765" t="str">
            <v>51313</v>
          </cell>
          <cell r="J765" t="str">
            <v>19940801</v>
          </cell>
          <cell r="K765" t="str">
            <v>115.776202848</v>
          </cell>
          <cell r="L765" t="str">
            <v>-31.958838232</v>
          </cell>
          <cell r="M765" t="str">
            <v>H</v>
          </cell>
          <cell r="N765" t="str">
            <v>1</v>
          </cell>
          <cell r="O765" t="str">
            <v>BIARA</v>
          </cell>
          <cell r="P765" t="str">
            <v>GDNS</v>
          </cell>
          <cell r="R765" t="str">
            <v>MOUNT CLAREMONT</v>
          </cell>
          <cell r="S765" t="str">
            <v>6010</v>
          </cell>
        </row>
        <row r="766">
          <cell r="B766" t="str">
            <v>S0032661</v>
          </cell>
          <cell r="C766" t="str">
            <v>SPS MINORA RD DALKEITH</v>
          </cell>
          <cell r="D766" t="str">
            <v>A- actual</v>
          </cell>
          <cell r="E766" t="str">
            <v>PS- pump station</v>
          </cell>
          <cell r="F766" t="str">
            <v>MINORA RD</v>
          </cell>
          <cell r="G766" t="str">
            <v>020-04</v>
          </cell>
          <cell r="H766" t="str">
            <v>W- water corporation</v>
          </cell>
          <cell r="I766" t="str">
            <v>17728</v>
          </cell>
          <cell r="J766" t="str">
            <v>19391001</v>
          </cell>
          <cell r="K766" t="str">
            <v>115.801999327</v>
          </cell>
          <cell r="L766" t="str">
            <v>-31.9988503919</v>
          </cell>
          <cell r="M766" t="str">
            <v>H</v>
          </cell>
          <cell r="N766" t="str">
            <v>9</v>
          </cell>
          <cell r="O766" t="str">
            <v>MINORA</v>
          </cell>
          <cell r="P766" t="str">
            <v>RD</v>
          </cell>
          <cell r="R766" t="str">
            <v>DALKEITH</v>
          </cell>
          <cell r="S766" t="str">
            <v>6009</v>
          </cell>
        </row>
        <row r="767">
          <cell r="D767" t="str">
            <v>A- actual</v>
          </cell>
          <cell r="E767" t="str">
            <v>PS- pump station</v>
          </cell>
          <cell r="F767" t="str">
            <v>HUTTON STREET</v>
          </cell>
          <cell r="H767" t="str">
            <v>P- private</v>
          </cell>
          <cell r="J767" t="str">
            <v>19900523</v>
          </cell>
          <cell r="K767" t="str">
            <v>115.82208594</v>
          </cell>
          <cell r="L767" t="str">
            <v>-31.89929964</v>
          </cell>
          <cell r="M767" t="str">
            <v>H</v>
          </cell>
          <cell r="N767" t="str">
            <v>61</v>
          </cell>
          <cell r="O767" t="str">
            <v>CASSINO</v>
          </cell>
          <cell r="P767" t="str">
            <v>DR</v>
          </cell>
          <cell r="R767" t="str">
            <v>STIRLING</v>
          </cell>
          <cell r="S767" t="str">
            <v>6021</v>
          </cell>
        </row>
        <row r="768">
          <cell r="B768" t="str">
            <v>S0031740</v>
          </cell>
          <cell r="C768" t="str">
            <v>#LAKE MONGER DR SPS 700-09 WEMBLEY</v>
          </cell>
          <cell r="D768" t="str">
            <v>N- not in use</v>
          </cell>
          <cell r="E768" t="str">
            <v>PS- pump station</v>
          </cell>
          <cell r="F768" t="str">
            <v>LAKE MONGER</v>
          </cell>
          <cell r="H768" t="str">
            <v>W- water corporation</v>
          </cell>
          <cell r="I768" t="str">
            <v>17676</v>
          </cell>
          <cell r="J768" t="str">
            <v>19581001</v>
          </cell>
          <cell r="K768" t="str">
            <v>115.824869062</v>
          </cell>
          <cell r="L768" t="str">
            <v>-31.9339411818</v>
          </cell>
          <cell r="M768" t="str">
            <v>H</v>
          </cell>
          <cell r="N768" t="str">
            <v>81</v>
          </cell>
          <cell r="O768" t="str">
            <v>LAKE MONGER</v>
          </cell>
          <cell r="P768" t="str">
            <v>DR</v>
          </cell>
          <cell r="R768" t="str">
            <v>WEMBLEY</v>
          </cell>
          <cell r="S768" t="str">
            <v>6014</v>
          </cell>
        </row>
        <row r="769">
          <cell r="B769" t="str">
            <v>S0031747</v>
          </cell>
          <cell r="C769" t="str">
            <v>SPS LYNTON ST MT HAWTHORN</v>
          </cell>
          <cell r="D769" t="str">
            <v>A- actual</v>
          </cell>
          <cell r="E769" t="str">
            <v>PS- pump station</v>
          </cell>
          <cell r="F769" t="str">
            <v>LYNTON ST</v>
          </cell>
          <cell r="G769" t="str">
            <v>9</v>
          </cell>
          <cell r="H769" t="str">
            <v>W- water corporation</v>
          </cell>
          <cell r="I769" t="str">
            <v>17697</v>
          </cell>
          <cell r="J769" t="str">
            <v>19380601</v>
          </cell>
          <cell r="K769" t="str">
            <v>115.828429633</v>
          </cell>
          <cell r="L769" t="str">
            <v>-31.9207434395</v>
          </cell>
          <cell r="M769" t="str">
            <v>H</v>
          </cell>
          <cell r="N769" t="str">
            <v>51</v>
          </cell>
          <cell r="O769" t="str">
            <v>LYNTON</v>
          </cell>
          <cell r="P769" t="str">
            <v>ST</v>
          </cell>
          <cell r="R769" t="str">
            <v>MOUNT HAWTHORN</v>
          </cell>
          <cell r="S769" t="str">
            <v>6016</v>
          </cell>
        </row>
        <row r="770">
          <cell r="B770" t="str">
            <v>S0031702</v>
          </cell>
          <cell r="C770" t="str">
            <v>SPS HARBORNE ST OSBORNE PARK</v>
          </cell>
          <cell r="D770" t="str">
            <v>A- actual</v>
          </cell>
          <cell r="E770" t="str">
            <v>PS- pump station</v>
          </cell>
          <cell r="F770" t="str">
            <v>HARBORNE ST</v>
          </cell>
          <cell r="G770" t="str">
            <v>058-05</v>
          </cell>
          <cell r="H770" t="str">
            <v>W- water corporation</v>
          </cell>
          <cell r="I770" t="str">
            <v>17694</v>
          </cell>
          <cell r="J770" t="str">
            <v>19651010</v>
          </cell>
          <cell r="K770" t="str">
            <v>115.818250439</v>
          </cell>
          <cell r="L770" t="str">
            <v>-31.9156395419</v>
          </cell>
          <cell r="M770" t="str">
            <v>H</v>
          </cell>
          <cell r="N770" t="str">
            <v>90</v>
          </cell>
          <cell r="O770" t="str">
            <v>WALTERS</v>
          </cell>
          <cell r="P770" t="str">
            <v>DR</v>
          </cell>
          <cell r="R770" t="str">
            <v>OSBORNE PARK</v>
          </cell>
          <cell r="S770" t="str">
            <v>6017</v>
          </cell>
        </row>
        <row r="771">
          <cell r="B771" t="str">
            <v>S0028332</v>
          </cell>
          <cell r="C771" t="str">
            <v>SPS DAVID PL OSBORNE PARK</v>
          </cell>
          <cell r="D771" t="str">
            <v>A- actual</v>
          </cell>
          <cell r="E771" t="str">
            <v>PS- pump station</v>
          </cell>
          <cell r="F771" t="str">
            <v>DAVID PL TEMP</v>
          </cell>
          <cell r="H771" t="str">
            <v>W- water corporation</v>
          </cell>
          <cell r="I771" t="str">
            <v>34097</v>
          </cell>
          <cell r="J771" t="str">
            <v>19910101</v>
          </cell>
          <cell r="K771" t="str">
            <v>115.822291425</v>
          </cell>
          <cell r="L771" t="str">
            <v>-31.900832978</v>
          </cell>
          <cell r="M771" t="str">
            <v>H</v>
          </cell>
          <cell r="N771" t="str">
            <v>21</v>
          </cell>
          <cell r="O771" t="str">
            <v>DAVID</v>
          </cell>
          <cell r="P771" t="str">
            <v>CL</v>
          </cell>
          <cell r="R771" t="str">
            <v>OSBORNE PARK</v>
          </cell>
          <cell r="S771" t="str">
            <v>6017</v>
          </cell>
        </row>
        <row r="772">
          <cell r="D772" t="str">
            <v>A- actual</v>
          </cell>
          <cell r="E772" t="str">
            <v>PS- pump station</v>
          </cell>
          <cell r="F772" t="str">
            <v>LOT 382 MAIN ST</v>
          </cell>
          <cell r="H772" t="str">
            <v>P- private</v>
          </cell>
          <cell r="J772" t="str">
            <v>19920818</v>
          </cell>
          <cell r="K772" t="str">
            <v>115.828596659</v>
          </cell>
          <cell r="L772" t="str">
            <v>-31.905732365</v>
          </cell>
          <cell r="M772" t="str">
            <v>H</v>
          </cell>
          <cell r="N772" t="str">
            <v>91</v>
          </cell>
          <cell r="O772" t="str">
            <v>MCDONALD</v>
          </cell>
          <cell r="P772" t="str">
            <v>ST</v>
          </cell>
          <cell r="R772" t="str">
            <v>OSBORNE PARK</v>
          </cell>
          <cell r="S772" t="str">
            <v>6017</v>
          </cell>
        </row>
        <row r="773">
          <cell r="B773" t="str">
            <v>S0032642</v>
          </cell>
          <cell r="C773" t="str">
            <v>SPS KEANES POINT PEPPERMINT GROVE</v>
          </cell>
          <cell r="D773" t="str">
            <v>A- actual</v>
          </cell>
          <cell r="E773" t="str">
            <v>PS- pump station</v>
          </cell>
          <cell r="F773" t="str">
            <v>KEANES POINT</v>
          </cell>
          <cell r="G773" t="str">
            <v>022-03</v>
          </cell>
          <cell r="H773" t="str">
            <v>W- water corporation</v>
          </cell>
          <cell r="I773" t="str">
            <v>17738</v>
          </cell>
          <cell r="J773" t="str">
            <v>19380101</v>
          </cell>
          <cell r="K773" t="str">
            <v>115.772173871</v>
          </cell>
          <cell r="L773" t="str">
            <v>-32.00194445</v>
          </cell>
          <cell r="M773" t="str">
            <v>L</v>
          </cell>
          <cell r="N773" t="str">
            <v>4447</v>
          </cell>
          <cell r="O773" t="str">
            <v>HOBBS</v>
          </cell>
          <cell r="P773" t="str">
            <v>PL</v>
          </cell>
          <cell r="R773" t="str">
            <v>PEPPERMINT GROVE</v>
          </cell>
          <cell r="S773" t="str">
            <v>6011</v>
          </cell>
        </row>
        <row r="774">
          <cell r="B774" t="str">
            <v>S0032591</v>
          </cell>
          <cell r="C774" t="str">
            <v>SPS ADELMA RD DALKEITH</v>
          </cell>
          <cell r="D774" t="str">
            <v>A- actual</v>
          </cell>
          <cell r="E774" t="str">
            <v>PS- pump station</v>
          </cell>
          <cell r="F774" t="str">
            <v>ADELMA RD</v>
          </cell>
          <cell r="G774" t="str">
            <v>020-08</v>
          </cell>
          <cell r="H774" t="str">
            <v>W- water corporation</v>
          </cell>
          <cell r="I774" t="str">
            <v>17732</v>
          </cell>
          <cell r="J774" t="str">
            <v>19480301</v>
          </cell>
          <cell r="K774" t="str">
            <v>115.798580553</v>
          </cell>
          <cell r="L774" t="str">
            <v>-31.9941182164</v>
          </cell>
          <cell r="M774" t="str">
            <v>L</v>
          </cell>
          <cell r="N774" t="str">
            <v>50</v>
          </cell>
          <cell r="O774" t="str">
            <v>ADELMA</v>
          </cell>
          <cell r="P774" t="str">
            <v>RD</v>
          </cell>
          <cell r="R774" t="str">
            <v>DALKEITH</v>
          </cell>
          <cell r="S774" t="str">
            <v>6009</v>
          </cell>
        </row>
        <row r="775">
          <cell r="B775" t="str">
            <v>S0032718</v>
          </cell>
          <cell r="C775" t="str">
            <v>SPS WATTLE AV DALKEITH</v>
          </cell>
          <cell r="D775" t="str">
            <v>A- actual</v>
          </cell>
          <cell r="E775" t="str">
            <v>PS- pump station</v>
          </cell>
          <cell r="F775" t="str">
            <v>WATTLE AVE</v>
          </cell>
          <cell r="G775" t="str">
            <v>020-11</v>
          </cell>
          <cell r="H775" t="str">
            <v>W- water corporation</v>
          </cell>
          <cell r="I775" t="str">
            <v>17735</v>
          </cell>
          <cell r="J775" t="str">
            <v>19510405</v>
          </cell>
          <cell r="K775" t="str">
            <v>115.796933533</v>
          </cell>
          <cell r="L775" t="str">
            <v>-32.0033316517</v>
          </cell>
          <cell r="M775" t="str">
            <v>H</v>
          </cell>
          <cell r="N775" t="str">
            <v>22</v>
          </cell>
          <cell r="O775" t="str">
            <v>WATTLE</v>
          </cell>
          <cell r="P775" t="str">
            <v>AV</v>
          </cell>
          <cell r="R775" t="str">
            <v>DALKEITH</v>
          </cell>
          <cell r="S775" t="str">
            <v>6009</v>
          </cell>
        </row>
        <row r="776">
          <cell r="B776" t="str">
            <v>S0032702</v>
          </cell>
          <cell r="C776" t="str">
            <v>SPS VIKING RD DALKEITH</v>
          </cell>
          <cell r="D776" t="str">
            <v>A- actual</v>
          </cell>
          <cell r="E776" t="str">
            <v>PS- pump station</v>
          </cell>
          <cell r="F776" t="str">
            <v>VIKING RD</v>
          </cell>
          <cell r="G776" t="str">
            <v>020-03</v>
          </cell>
          <cell r="H776" t="str">
            <v>W- water corporation</v>
          </cell>
          <cell r="I776" t="str">
            <v>17727</v>
          </cell>
          <cell r="J776" t="str">
            <v>19650823</v>
          </cell>
          <cell r="K776" t="str">
            <v>115.792527575</v>
          </cell>
          <cell r="L776" t="str">
            <v>-31.9982363411</v>
          </cell>
          <cell r="M776" t="str">
            <v>H</v>
          </cell>
          <cell r="N776" t="str">
            <v>22</v>
          </cell>
          <cell r="O776" t="str">
            <v>HYNES</v>
          </cell>
          <cell r="P776" t="str">
            <v>RD</v>
          </cell>
          <cell r="R776" t="str">
            <v>DALKEITH</v>
          </cell>
          <cell r="S776" t="str">
            <v>6009</v>
          </cell>
        </row>
        <row r="777">
          <cell r="B777" t="str">
            <v>S0032675</v>
          </cell>
          <cell r="C777" t="str">
            <v>SPS STATION ST COTTESLOE</v>
          </cell>
          <cell r="D777" t="str">
            <v>A- actual</v>
          </cell>
          <cell r="E777" t="str">
            <v>PS- pump station</v>
          </cell>
          <cell r="F777" t="str">
            <v>STATION ST</v>
          </cell>
          <cell r="G777" t="str">
            <v>022-01</v>
          </cell>
          <cell r="H777" t="str">
            <v>W- water corporation</v>
          </cell>
          <cell r="I777" t="str">
            <v>17736</v>
          </cell>
          <cell r="J777" t="str">
            <v>19351023</v>
          </cell>
          <cell r="K777" t="str">
            <v>115.762616336</v>
          </cell>
          <cell r="L777" t="str">
            <v>-31.9969296501</v>
          </cell>
          <cell r="M777" t="str">
            <v>H</v>
          </cell>
          <cell r="N777" t="str">
            <v>18</v>
          </cell>
          <cell r="O777" t="str">
            <v>STATION</v>
          </cell>
          <cell r="P777" t="str">
            <v>ST</v>
          </cell>
          <cell r="R777" t="str">
            <v>COTTESLOE</v>
          </cell>
          <cell r="S777" t="str">
            <v>6011</v>
          </cell>
        </row>
        <row r="778">
          <cell r="B778" t="str">
            <v>S2000015</v>
          </cell>
          <cell r="C778" t="str">
            <v>SPS BEATON PK ESPLANADE PRIVATE</v>
          </cell>
          <cell r="D778" t="str">
            <v>A- actual</v>
          </cell>
          <cell r="E778" t="str">
            <v>PS- pump station</v>
          </cell>
          <cell r="F778" t="str">
            <v>BEATON PK</v>
          </cell>
          <cell r="H778" t="str">
            <v>P- private</v>
          </cell>
          <cell r="J778" t="str">
            <v>19930403</v>
          </cell>
          <cell r="K778" t="str">
            <v>115.807105575</v>
          </cell>
          <cell r="L778" t="str">
            <v>-32.0000162958</v>
          </cell>
          <cell r="M778" t="str">
            <v>H</v>
          </cell>
          <cell r="N778" t="str">
            <v>73</v>
          </cell>
          <cell r="O778" t="str">
            <v>BIRDWOOD</v>
          </cell>
          <cell r="P778" t="str">
            <v>PDE</v>
          </cell>
          <cell r="R778" t="str">
            <v>DALKEITH</v>
          </cell>
          <cell r="S778" t="str">
            <v>6009</v>
          </cell>
        </row>
        <row r="779">
          <cell r="B779" t="str">
            <v>S0032632</v>
          </cell>
          <cell r="C779" t="str">
            <v>SPS HACKETT RD DALKEITH</v>
          </cell>
          <cell r="D779" t="str">
            <v>A- actual</v>
          </cell>
          <cell r="E779" t="str">
            <v>PS- pump station</v>
          </cell>
          <cell r="F779" t="str">
            <v>HACKETT RD</v>
          </cell>
          <cell r="G779" t="str">
            <v>020-07</v>
          </cell>
          <cell r="H779" t="str">
            <v>W- water corporation</v>
          </cell>
          <cell r="I779" t="str">
            <v>17731</v>
          </cell>
          <cell r="J779" t="str">
            <v>19500527</v>
          </cell>
          <cell r="K779" t="str">
            <v>115.796275134</v>
          </cell>
          <cell r="L779" t="str">
            <v>-31.9891393665</v>
          </cell>
          <cell r="M779" t="str">
            <v>H</v>
          </cell>
          <cell r="N779" t="str">
            <v>66</v>
          </cell>
          <cell r="O779" t="str">
            <v>MELVISTA</v>
          </cell>
          <cell r="P779" t="str">
            <v>AV</v>
          </cell>
          <cell r="R779" t="str">
            <v>DALKEITH</v>
          </cell>
          <cell r="S779" t="str">
            <v>6009</v>
          </cell>
        </row>
        <row r="780">
          <cell r="D780" t="str">
            <v>A- actual</v>
          </cell>
          <cell r="E780" t="str">
            <v>PS- pump station</v>
          </cell>
          <cell r="F780" t="str">
            <v>LOT 54 CHESTER RD</v>
          </cell>
          <cell r="H780" t="str">
            <v>P- private</v>
          </cell>
          <cell r="J780" t="str">
            <v>19960101</v>
          </cell>
          <cell r="K780" t="str">
            <v>115.783637644</v>
          </cell>
          <cell r="L780" t="str">
            <v>-31.989539816</v>
          </cell>
          <cell r="M780" t="str">
            <v>H</v>
          </cell>
          <cell r="N780" t="str">
            <v>28</v>
          </cell>
          <cell r="O780" t="str">
            <v>CHESTER</v>
          </cell>
          <cell r="P780" t="str">
            <v>RD</v>
          </cell>
          <cell r="R780" t="str">
            <v>CLAREMONT</v>
          </cell>
          <cell r="S780" t="str">
            <v>6010</v>
          </cell>
        </row>
        <row r="781">
          <cell r="B781" t="str">
            <v>S0033512</v>
          </cell>
          <cell r="C781" t="str">
            <v>SPS WITTENOOM RD HIGH WYCOMBE</v>
          </cell>
          <cell r="D781" t="str">
            <v>A- actual</v>
          </cell>
          <cell r="E781" t="str">
            <v>PS- pump station</v>
          </cell>
          <cell r="F781" t="str">
            <v>WITTENOOM RD</v>
          </cell>
          <cell r="G781" t="str">
            <v>1</v>
          </cell>
          <cell r="H781" t="str">
            <v>W- water corporation</v>
          </cell>
          <cell r="I781" t="str">
            <v>18019</v>
          </cell>
          <cell r="J781" t="str">
            <v>19831222</v>
          </cell>
          <cell r="K781" t="str">
            <v>115.993538996</v>
          </cell>
          <cell r="L781" t="str">
            <v>-31.9399333942</v>
          </cell>
          <cell r="M781" t="str">
            <v>H</v>
          </cell>
          <cell r="N781" t="str">
            <v>106</v>
          </cell>
          <cell r="O781" t="str">
            <v>WITTENOOM</v>
          </cell>
          <cell r="P781" t="str">
            <v>RD</v>
          </cell>
          <cell r="R781" t="str">
            <v>HIGH WYCOMBE</v>
          </cell>
          <cell r="S781" t="str">
            <v>6057</v>
          </cell>
        </row>
        <row r="782">
          <cell r="B782" t="str">
            <v>S0033519</v>
          </cell>
          <cell r="C782" t="str">
            <v>SPS WORRELL AV HIGH WYCOMBE</v>
          </cell>
          <cell r="D782" t="str">
            <v>A- actual</v>
          </cell>
          <cell r="E782" t="str">
            <v>PS- pump station</v>
          </cell>
          <cell r="F782" t="str">
            <v>WORRELL AVE TEMP</v>
          </cell>
          <cell r="G782" t="str">
            <v>47</v>
          </cell>
          <cell r="H782" t="str">
            <v>W- water corporation</v>
          </cell>
          <cell r="I782" t="str">
            <v>44804</v>
          </cell>
          <cell r="J782" t="str">
            <v>19831012</v>
          </cell>
          <cell r="K782" t="str">
            <v>115.993551711</v>
          </cell>
          <cell r="L782" t="str">
            <v>-31.9333749522</v>
          </cell>
          <cell r="M782" t="str">
            <v>H</v>
          </cell>
          <cell r="N782" t="str">
            <v>83</v>
          </cell>
          <cell r="O782" t="str">
            <v>WORRELL</v>
          </cell>
          <cell r="P782" t="str">
            <v>AV</v>
          </cell>
          <cell r="R782" t="str">
            <v>HIGH WYCOMBE</v>
          </cell>
          <cell r="S782" t="str">
            <v>6057</v>
          </cell>
        </row>
        <row r="783">
          <cell r="D783" t="str">
            <v>N- not in use</v>
          </cell>
          <cell r="E783" t="str">
            <v>PS- pump station</v>
          </cell>
          <cell r="F783" t="str">
            <v>HIGH WYCOMBE</v>
          </cell>
          <cell r="H783" t="str">
            <v>P- private</v>
          </cell>
          <cell r="J783" t="str">
            <v>19831012</v>
          </cell>
          <cell r="K783" t="str">
            <v>116.004298655</v>
          </cell>
          <cell r="L783" t="str">
            <v>-31.934252471</v>
          </cell>
          <cell r="M783" t="str">
            <v>H</v>
          </cell>
          <cell r="N783" t="str">
            <v>540</v>
          </cell>
          <cell r="O783" t="str">
            <v>KALAMUNDA</v>
          </cell>
          <cell r="P783" t="str">
            <v>RD</v>
          </cell>
          <cell r="R783" t="str">
            <v>HIGH WYCOMBE</v>
          </cell>
          <cell r="S783" t="str">
            <v>6057</v>
          </cell>
        </row>
        <row r="784">
          <cell r="B784" t="str">
            <v>S0028968</v>
          </cell>
          <cell r="C784" t="str">
            <v>SPS ELDER WY BELLEVUE</v>
          </cell>
          <cell r="D784" t="str">
            <v>A- actual</v>
          </cell>
          <cell r="E784" t="str">
            <v>PS- pump station</v>
          </cell>
          <cell r="F784" t="str">
            <v>ELDER WY</v>
          </cell>
          <cell r="G784" t="str">
            <v>051-06</v>
          </cell>
          <cell r="H784" t="str">
            <v>W- water corporation</v>
          </cell>
          <cell r="I784" t="str">
            <v>17815</v>
          </cell>
          <cell r="J784" t="str">
            <v>19720301</v>
          </cell>
          <cell r="K784" t="str">
            <v>116.032693202</v>
          </cell>
          <cell r="L784" t="str">
            <v>-31.9057117696</v>
          </cell>
          <cell r="M784" t="str">
            <v>H</v>
          </cell>
          <cell r="N784" t="str">
            <v>435</v>
          </cell>
          <cell r="O784" t="str">
            <v>KATHARINE</v>
          </cell>
          <cell r="P784" t="str">
            <v>ST</v>
          </cell>
          <cell r="R784" t="str">
            <v>BELLEVUE</v>
          </cell>
          <cell r="S784" t="str">
            <v>6056</v>
          </cell>
        </row>
        <row r="785">
          <cell r="B785" t="str">
            <v>S0029011</v>
          </cell>
          <cell r="C785" t="str">
            <v>SPS PARKVIEW GDNS HELENA VALLEY</v>
          </cell>
          <cell r="D785" t="str">
            <v>A- actual</v>
          </cell>
          <cell r="E785" t="str">
            <v>PS- pump station</v>
          </cell>
          <cell r="F785" t="str">
            <v>PARKVIEW GDNS TEMP</v>
          </cell>
          <cell r="H785" t="str">
            <v>W- water corporation</v>
          </cell>
          <cell r="I785" t="str">
            <v>50001</v>
          </cell>
          <cell r="J785" t="str">
            <v>19940127</v>
          </cell>
          <cell r="K785" t="str">
            <v>116.029503618</v>
          </cell>
          <cell r="L785" t="str">
            <v>-31.9112088048</v>
          </cell>
          <cell r="M785" t="str">
            <v>H</v>
          </cell>
          <cell r="N785" t="str">
            <v>4</v>
          </cell>
          <cell r="O785" t="str">
            <v>PARKVIEW</v>
          </cell>
          <cell r="P785" t="str">
            <v>GDNS</v>
          </cell>
          <cell r="R785" t="str">
            <v>HELENA VALLEY</v>
          </cell>
          <cell r="S785" t="str">
            <v>6056</v>
          </cell>
        </row>
        <row r="786">
          <cell r="D786" t="str">
            <v>P- proposed</v>
          </cell>
          <cell r="E786" t="str">
            <v>PS- pump station</v>
          </cell>
          <cell r="F786" t="str">
            <v>HAZELMERE</v>
          </cell>
          <cell r="H786" t="str">
            <v>W- water corporation</v>
          </cell>
          <cell r="J786" t="str">
            <v>18000101</v>
          </cell>
          <cell r="K786" t="str">
            <v>115.987442529</v>
          </cell>
          <cell r="L786" t="str">
            <v>-31.912053499</v>
          </cell>
          <cell r="M786" t="str">
            <v>H</v>
          </cell>
          <cell r="N786" t="str">
            <v>22</v>
          </cell>
          <cell r="O786" t="str">
            <v>GENTLE</v>
          </cell>
          <cell r="P786" t="str">
            <v>CIR</v>
          </cell>
          <cell r="R786" t="str">
            <v>SOUTH GUILDFORD</v>
          </cell>
          <cell r="S786" t="str">
            <v>6055</v>
          </cell>
        </row>
        <row r="787">
          <cell r="B787" t="str">
            <v>S0029018</v>
          </cell>
          <cell r="C787" t="str">
            <v>SPS WATERHALL RD SOUTH GUILDFORD</v>
          </cell>
          <cell r="D787" t="str">
            <v>A- actual</v>
          </cell>
          <cell r="E787" t="str">
            <v>PS- pump station</v>
          </cell>
          <cell r="F787" t="str">
            <v>WATERHALL RD TEMP</v>
          </cell>
          <cell r="H787" t="str">
            <v>W- water corporation</v>
          </cell>
          <cell r="I787" t="str">
            <v>52555</v>
          </cell>
          <cell r="J787" t="str">
            <v>19950614</v>
          </cell>
          <cell r="K787" t="str">
            <v>115.989038752</v>
          </cell>
          <cell r="L787" t="str">
            <v>-31.910884651</v>
          </cell>
          <cell r="M787" t="str">
            <v>H</v>
          </cell>
          <cell r="N787" t="str">
            <v>76</v>
          </cell>
          <cell r="O787" t="str">
            <v>WATERHALL</v>
          </cell>
          <cell r="P787" t="str">
            <v>RD</v>
          </cell>
          <cell r="R787" t="str">
            <v>SOUTH GUILDFORD</v>
          </cell>
          <cell r="S787" t="str">
            <v>6055</v>
          </cell>
        </row>
        <row r="788">
          <cell r="D788" t="str">
            <v>A- actual</v>
          </cell>
          <cell r="E788" t="str">
            <v>unknown</v>
          </cell>
          <cell r="F788" t="str">
            <v>WORDSWORTH AVE HOME UNITS</v>
          </cell>
          <cell r="H788" t="str">
            <v>P- private</v>
          </cell>
          <cell r="J788" t="str">
            <v>19731001</v>
          </cell>
          <cell r="K788" t="str">
            <v>115.871817228</v>
          </cell>
          <cell r="L788" t="str">
            <v>-31.9071549041</v>
          </cell>
          <cell r="M788" t="str">
            <v>H</v>
          </cell>
          <cell r="N788" t="str">
            <v>71</v>
          </cell>
          <cell r="O788" t="str">
            <v>HOMER</v>
          </cell>
          <cell r="P788" t="str">
            <v>ST</v>
          </cell>
          <cell r="R788" t="str">
            <v>DIANELLA</v>
          </cell>
          <cell r="S788" t="str">
            <v>6059</v>
          </cell>
        </row>
        <row r="789">
          <cell r="B789" t="str">
            <v>S0031668</v>
          </cell>
          <cell r="C789" t="str">
            <v>SPS CENTRAL AV MT LAWLEY</v>
          </cell>
          <cell r="D789" t="str">
            <v>A- actual</v>
          </cell>
          <cell r="E789" t="str">
            <v>PS- pump station</v>
          </cell>
          <cell r="F789" t="str">
            <v>CENTRAL AV</v>
          </cell>
          <cell r="G789" t="str">
            <v>1</v>
          </cell>
          <cell r="H789" t="str">
            <v>W- water corporation</v>
          </cell>
          <cell r="I789" t="str">
            <v>17683</v>
          </cell>
          <cell r="J789" t="str">
            <v>19761206</v>
          </cell>
          <cell r="K789" t="str">
            <v>115.882826446</v>
          </cell>
          <cell r="L789" t="str">
            <v>-31.926248538</v>
          </cell>
          <cell r="M789" t="str">
            <v>H</v>
          </cell>
          <cell r="N789" t="str">
            <v>48</v>
          </cell>
          <cell r="O789" t="str">
            <v>FIFTH</v>
          </cell>
          <cell r="P789" t="str">
            <v>AV</v>
          </cell>
          <cell r="R789" t="str">
            <v>MOUNT LAWLEY</v>
          </cell>
          <cell r="S789" t="str">
            <v>6050</v>
          </cell>
        </row>
        <row r="790">
          <cell r="B790" t="str">
            <v>S0031697</v>
          </cell>
          <cell r="C790" t="str">
            <v>SPS HAMER PDE INGLEWOOD</v>
          </cell>
          <cell r="D790" t="str">
            <v>A- actual</v>
          </cell>
          <cell r="E790" t="str">
            <v>ES- ejector station</v>
          </cell>
          <cell r="F790" t="str">
            <v>HAMER PDE</v>
          </cell>
          <cell r="G790" t="str">
            <v>058-12</v>
          </cell>
          <cell r="H790" t="str">
            <v>W- water corporation</v>
          </cell>
          <cell r="I790" t="str">
            <v>17700</v>
          </cell>
          <cell r="J790" t="str">
            <v>19401007</v>
          </cell>
          <cell r="K790" t="str">
            <v>115.877017768</v>
          </cell>
          <cell r="L790" t="str">
            <v>-31.9198543253</v>
          </cell>
          <cell r="M790" t="str">
            <v>H</v>
          </cell>
          <cell r="N790" t="str">
            <v>222</v>
          </cell>
          <cell r="O790" t="str">
            <v>CENTRAL</v>
          </cell>
          <cell r="P790" t="str">
            <v>AV</v>
          </cell>
          <cell r="R790" t="str">
            <v>INGLEWOOD</v>
          </cell>
          <cell r="S790" t="str">
            <v>6052</v>
          </cell>
        </row>
        <row r="791">
          <cell r="D791" t="str">
            <v>A- actual</v>
          </cell>
          <cell r="E791" t="str">
            <v>PS- pump station</v>
          </cell>
          <cell r="F791" t="str">
            <v>L43 BOULTON ST</v>
          </cell>
          <cell r="H791" t="str">
            <v>P- private</v>
          </cell>
          <cell r="J791" t="str">
            <v>19960401</v>
          </cell>
          <cell r="K791" t="str">
            <v>115.877224965</v>
          </cell>
          <cell r="L791" t="str">
            <v>-31.906760172</v>
          </cell>
          <cell r="M791" t="str">
            <v>H</v>
          </cell>
          <cell r="N791" t="str">
            <v>30</v>
          </cell>
          <cell r="O791" t="str">
            <v>BOULTON</v>
          </cell>
          <cell r="P791" t="str">
            <v>ST</v>
          </cell>
          <cell r="R791" t="str">
            <v>DIANELLA</v>
          </cell>
          <cell r="S791" t="str">
            <v>6059</v>
          </cell>
        </row>
        <row r="792">
          <cell r="D792" t="str">
            <v>N- not in use</v>
          </cell>
          <cell r="E792" t="str">
            <v>PS- pump station</v>
          </cell>
          <cell r="F792" t="str">
            <v>SUBIACO</v>
          </cell>
          <cell r="G792" t="str">
            <v>9</v>
          </cell>
          <cell r="H792" t="str">
            <v>W- water corporation</v>
          </cell>
          <cell r="I792" t="str">
            <v>17715</v>
          </cell>
          <cell r="J792" t="str">
            <v>19691019</v>
          </cell>
          <cell r="K792" t="str">
            <v>115.812814285</v>
          </cell>
          <cell r="L792" t="str">
            <v>-31.9416641176</v>
          </cell>
          <cell r="M792" t="str">
            <v>H</v>
          </cell>
          <cell r="N792" t="str">
            <v>134</v>
          </cell>
          <cell r="O792" t="str">
            <v>SALVADO</v>
          </cell>
          <cell r="P792" t="str">
            <v>RD</v>
          </cell>
          <cell r="R792" t="str">
            <v>WEMBLEY</v>
          </cell>
          <cell r="S792" t="str">
            <v>6014</v>
          </cell>
        </row>
        <row r="793">
          <cell r="B793" t="str">
            <v>S0031678</v>
          </cell>
          <cell r="C793" t="str">
            <v>SPS CROSBY ST FLOREAT</v>
          </cell>
          <cell r="D793" t="str">
            <v>A- actual</v>
          </cell>
          <cell r="E793" t="str">
            <v>PS- pump station</v>
          </cell>
          <cell r="F793" t="str">
            <v>CROSBY ST</v>
          </cell>
          <cell r="G793" t="str">
            <v>067-11</v>
          </cell>
          <cell r="H793" t="str">
            <v>W- water corporation</v>
          </cell>
          <cell r="I793" t="str">
            <v>17717</v>
          </cell>
          <cell r="J793" t="str">
            <v>19330101</v>
          </cell>
          <cell r="K793" t="str">
            <v>115.802934381</v>
          </cell>
          <cell r="L793" t="str">
            <v>-31.935909678</v>
          </cell>
          <cell r="M793" t="str">
            <v>L</v>
          </cell>
          <cell r="N793" t="str">
            <v>91</v>
          </cell>
          <cell r="O793" t="str">
            <v>CROSBY</v>
          </cell>
          <cell r="P793" t="str">
            <v>ST</v>
          </cell>
          <cell r="R793" t="str">
            <v>FLOREAT</v>
          </cell>
          <cell r="S793" t="str">
            <v>6014</v>
          </cell>
        </row>
        <row r="794">
          <cell r="B794" t="str">
            <v>S0034065</v>
          </cell>
          <cell r="C794" t="str">
            <v>SPS GWENYFRED RD KENSINGTON</v>
          </cell>
          <cell r="D794" t="str">
            <v>A- actual</v>
          </cell>
          <cell r="E794" t="str">
            <v>PS- pump station</v>
          </cell>
          <cell r="F794" t="str">
            <v>GWENYFRED RD</v>
          </cell>
          <cell r="G794" t="str">
            <v>10</v>
          </cell>
          <cell r="H794" t="str">
            <v>W- water corporation</v>
          </cell>
          <cell r="I794" t="str">
            <v>18150</v>
          </cell>
          <cell r="J794" t="str">
            <v>19490324</v>
          </cell>
          <cell r="K794" t="str">
            <v>115.891186077</v>
          </cell>
          <cell r="L794" t="str">
            <v>-31.982342553</v>
          </cell>
          <cell r="M794" t="str">
            <v>H</v>
          </cell>
          <cell r="N794" t="str">
            <v>148</v>
          </cell>
          <cell r="O794" t="str">
            <v>GWENYFRED</v>
          </cell>
          <cell r="P794" t="str">
            <v>RD</v>
          </cell>
          <cell r="R794" t="str">
            <v>KENSINGTON</v>
          </cell>
          <cell r="S794" t="str">
            <v>6151</v>
          </cell>
        </row>
        <row r="795">
          <cell r="B795" t="str">
            <v>S2016008</v>
          </cell>
          <cell r="C795" t="str">
            <v>SPS PELICAN PT SAIL CLUB CRAWLEY</v>
          </cell>
          <cell r="D795" t="str">
            <v>A- actual</v>
          </cell>
          <cell r="E795" t="str">
            <v>PS- pump station</v>
          </cell>
          <cell r="F795" t="str">
            <v>PELICAN PT SAILING CLUB</v>
          </cell>
          <cell r="H795" t="str">
            <v>W- water corporation</v>
          </cell>
          <cell r="J795" t="str">
            <v>19880328</v>
          </cell>
          <cell r="K795" t="str">
            <v>115.825564356</v>
          </cell>
          <cell r="L795" t="str">
            <v>-31.9859166629</v>
          </cell>
          <cell r="M795" t="str">
            <v>H</v>
          </cell>
          <cell r="N795" t="str">
            <v>10</v>
          </cell>
          <cell r="O795" t="str">
            <v>AUSTRALIA II</v>
          </cell>
          <cell r="P795" t="str">
            <v>DR</v>
          </cell>
          <cell r="R795" t="str">
            <v>CRAWLEY</v>
          </cell>
          <cell r="S795" t="str">
            <v>6009</v>
          </cell>
        </row>
        <row r="796">
          <cell r="B796" t="str">
            <v>S2016009</v>
          </cell>
          <cell r="C796" t="str">
            <v>SPS PELICAN PT RPYC CRAWLEY</v>
          </cell>
          <cell r="D796" t="str">
            <v>A- actual</v>
          </cell>
          <cell r="E796" t="str">
            <v>PS- pump station</v>
          </cell>
          <cell r="F796" t="str">
            <v>PELICAN PT RPYC JUNIOR</v>
          </cell>
          <cell r="H796" t="str">
            <v>W- water corporation</v>
          </cell>
          <cell r="J796" t="str">
            <v>19880328</v>
          </cell>
          <cell r="K796" t="str">
            <v>115.824994264</v>
          </cell>
          <cell r="L796" t="str">
            <v>-31.9857119005</v>
          </cell>
          <cell r="M796" t="str">
            <v>H</v>
          </cell>
          <cell r="N796" t="str">
            <v>6</v>
          </cell>
          <cell r="O796" t="str">
            <v>AUSTRALIA II</v>
          </cell>
          <cell r="P796" t="str">
            <v>DR</v>
          </cell>
          <cell r="R796" t="str">
            <v>CRAWLEY</v>
          </cell>
          <cell r="S796" t="str">
            <v>6009</v>
          </cell>
        </row>
        <row r="797">
          <cell r="B797" t="str">
            <v>S2016010</v>
          </cell>
          <cell r="C797" t="str">
            <v>SPS PELICAN PT RPYC JR CRAWLEY</v>
          </cell>
          <cell r="D797" t="str">
            <v>A- actual</v>
          </cell>
          <cell r="E797" t="str">
            <v>PS- pump station</v>
          </cell>
          <cell r="F797" t="str">
            <v>PELICAN PT RPYC</v>
          </cell>
          <cell r="H797" t="str">
            <v>W- water corporation</v>
          </cell>
          <cell r="J797" t="str">
            <v>19880328</v>
          </cell>
          <cell r="K797" t="str">
            <v>115.824011655</v>
          </cell>
          <cell r="L797" t="str">
            <v>-31.9854919583</v>
          </cell>
          <cell r="M797" t="str">
            <v>H</v>
          </cell>
          <cell r="N797" t="str">
            <v>6</v>
          </cell>
          <cell r="O797" t="str">
            <v>AUSTRALIA II</v>
          </cell>
          <cell r="P797" t="str">
            <v>DR</v>
          </cell>
          <cell r="R797" t="str">
            <v>CRAWLEY</v>
          </cell>
          <cell r="S797" t="str">
            <v>6009</v>
          </cell>
        </row>
        <row r="798">
          <cell r="B798" t="str">
            <v>S2016011</v>
          </cell>
          <cell r="C798" t="str">
            <v>SPS PELICAN PT NAT PARKS CRAWLEY</v>
          </cell>
          <cell r="D798" t="str">
            <v>A- actual</v>
          </cell>
          <cell r="E798" t="str">
            <v>PS- pump station</v>
          </cell>
          <cell r="F798" t="str">
            <v>PELICAN PT NATIONAL PARKS</v>
          </cell>
          <cell r="H798" t="str">
            <v>W- water corporation</v>
          </cell>
          <cell r="J798" t="str">
            <v>19880328</v>
          </cell>
          <cell r="K798" t="str">
            <v>115.822550595</v>
          </cell>
          <cell r="L798" t="str">
            <v>-31.9846791411</v>
          </cell>
          <cell r="M798" t="str">
            <v>H</v>
          </cell>
          <cell r="N798" t="str">
            <v>3</v>
          </cell>
          <cell r="O798" t="str">
            <v>HACKETT</v>
          </cell>
          <cell r="P798" t="str">
            <v>DR</v>
          </cell>
          <cell r="R798" t="str">
            <v>CRAWLEY</v>
          </cell>
          <cell r="S798" t="str">
            <v>6009</v>
          </cell>
        </row>
        <row r="799">
          <cell r="B799" t="str">
            <v>S0032289</v>
          </cell>
          <cell r="C799" t="str">
            <v>SPS PELICAN PT MATILDA BAY CRAWLEY</v>
          </cell>
          <cell r="D799" t="str">
            <v>A- actual</v>
          </cell>
          <cell r="E799" t="str">
            <v>PS- pump station</v>
          </cell>
          <cell r="F799" t="str">
            <v>PELICAN PT MATILDA BAY</v>
          </cell>
          <cell r="H799" t="str">
            <v>W- water corporation</v>
          </cell>
          <cell r="J799" t="str">
            <v>19880328</v>
          </cell>
          <cell r="K799" t="str">
            <v>115.822694381</v>
          </cell>
          <cell r="L799" t="str">
            <v>-31.9844266642</v>
          </cell>
          <cell r="M799" t="str">
            <v>H</v>
          </cell>
          <cell r="N799" t="str">
            <v>3</v>
          </cell>
          <cell r="O799" t="str">
            <v>HACKETT</v>
          </cell>
          <cell r="P799" t="str">
            <v>DR</v>
          </cell>
          <cell r="R799" t="str">
            <v>CRAWLEY</v>
          </cell>
          <cell r="S799" t="str">
            <v>6009</v>
          </cell>
        </row>
        <row r="800">
          <cell r="B800" t="str">
            <v>S2016012</v>
          </cell>
          <cell r="C800" t="str">
            <v>SPS PELICAN PT TOILETS CRAWLEY</v>
          </cell>
          <cell r="D800" t="str">
            <v>A- actual</v>
          </cell>
          <cell r="E800" t="str">
            <v>PS- pump station</v>
          </cell>
          <cell r="F800" t="str">
            <v>PELICAN PT PUBLIC TOILETS</v>
          </cell>
          <cell r="H800" t="str">
            <v>W- water corporation</v>
          </cell>
          <cell r="J800" t="str">
            <v>19880328</v>
          </cell>
          <cell r="K800" t="str">
            <v>115.821863974</v>
          </cell>
          <cell r="L800" t="str">
            <v>-31.9835624692</v>
          </cell>
          <cell r="M800" t="str">
            <v>L</v>
          </cell>
          <cell r="N800" t="str">
            <v>7996</v>
          </cell>
          <cell r="O800" t="str">
            <v>HACKETT</v>
          </cell>
          <cell r="P800" t="str">
            <v>DR</v>
          </cell>
          <cell r="R800" t="str">
            <v>CRAWLEY</v>
          </cell>
          <cell r="S800" t="str">
            <v>6009</v>
          </cell>
        </row>
        <row r="801">
          <cell r="D801" t="str">
            <v>N- not in use</v>
          </cell>
          <cell r="E801" t="str">
            <v>PS- pump station</v>
          </cell>
          <cell r="H801" t="str">
            <v>W- water corporation</v>
          </cell>
          <cell r="J801" t="str">
            <v>18000101</v>
          </cell>
          <cell r="K801" t="str">
            <v>115.820449137</v>
          </cell>
          <cell r="L801" t="str">
            <v>-31.9800563302</v>
          </cell>
          <cell r="M801" t="str">
            <v>L</v>
          </cell>
          <cell r="N801" t="str">
            <v>11627</v>
          </cell>
          <cell r="O801" t="str">
            <v>HACKETT</v>
          </cell>
          <cell r="P801" t="str">
            <v>DR</v>
          </cell>
          <cell r="R801" t="str">
            <v>CRAWLEY</v>
          </cell>
          <cell r="S801" t="str">
            <v>6009</v>
          </cell>
        </row>
        <row r="802">
          <cell r="B802" t="str">
            <v>S0032284</v>
          </cell>
          <cell r="C802" t="str">
            <v>SPS PARKWAY ST CRAWLEY</v>
          </cell>
          <cell r="D802" t="str">
            <v>A- actual</v>
          </cell>
          <cell r="E802" t="str">
            <v>PS- pump station</v>
          </cell>
          <cell r="F802" t="str">
            <v>PARKWAY ST</v>
          </cell>
          <cell r="G802" t="str">
            <v>067-04</v>
          </cell>
          <cell r="H802" t="str">
            <v>W- water corporation</v>
          </cell>
          <cell r="I802" t="str">
            <v>17710</v>
          </cell>
          <cell r="J802" t="str">
            <v>19880328</v>
          </cell>
          <cell r="K802" t="str">
            <v>115.818577803</v>
          </cell>
          <cell r="L802" t="str">
            <v>-31.9867641187</v>
          </cell>
          <cell r="M802" t="str">
            <v>H</v>
          </cell>
          <cell r="N802" t="str">
            <v>1</v>
          </cell>
          <cell r="O802" t="str">
            <v>HACKETT</v>
          </cell>
          <cell r="P802" t="str">
            <v>DR</v>
          </cell>
          <cell r="R802" t="str">
            <v>CRAWLEY</v>
          </cell>
          <cell r="S802" t="str">
            <v>6009</v>
          </cell>
        </row>
        <row r="803">
          <cell r="D803" t="str">
            <v>A- actual</v>
          </cell>
          <cell r="E803" t="str">
            <v>PS- pump station</v>
          </cell>
          <cell r="F803" t="str">
            <v>UWA</v>
          </cell>
          <cell r="H803" t="str">
            <v>P- private</v>
          </cell>
          <cell r="J803" t="str">
            <v>19810101</v>
          </cell>
          <cell r="K803" t="str">
            <v>115.817896322</v>
          </cell>
          <cell r="L803" t="str">
            <v>-31.9827183388</v>
          </cell>
          <cell r="M803" t="str">
            <v>H</v>
          </cell>
          <cell r="N803" t="str">
            <v>39</v>
          </cell>
          <cell r="O803" t="str">
            <v>MYERS</v>
          </cell>
          <cell r="P803" t="str">
            <v>ST</v>
          </cell>
          <cell r="R803" t="str">
            <v>CRAWLEY</v>
          </cell>
          <cell r="S803" t="str">
            <v>6009</v>
          </cell>
        </row>
        <row r="804">
          <cell r="B804" t="str">
            <v>S0034001</v>
          </cell>
          <cell r="C804" t="str">
            <v>SPS BOWMAN ST SOUTH PERTH</v>
          </cell>
          <cell r="D804" t="str">
            <v>A- actual</v>
          </cell>
          <cell r="E804" t="str">
            <v>PS- pump station</v>
          </cell>
          <cell r="F804" t="str">
            <v>BOWMAN ST</v>
          </cell>
          <cell r="G804" t="str">
            <v>3</v>
          </cell>
          <cell r="H804" t="str">
            <v>W- water corporation</v>
          </cell>
          <cell r="I804" t="str">
            <v>18117</v>
          </cell>
          <cell r="J804" t="str">
            <v>19390101</v>
          </cell>
          <cell r="K804" t="str">
            <v>115.849023123</v>
          </cell>
          <cell r="L804" t="str">
            <v>-31.9744573486</v>
          </cell>
          <cell r="M804" t="str">
            <v>H</v>
          </cell>
          <cell r="N804" t="str">
            <v>2</v>
          </cell>
          <cell r="O804" t="str">
            <v>BOWMAN</v>
          </cell>
          <cell r="P804" t="str">
            <v>ST</v>
          </cell>
          <cell r="R804" t="str">
            <v>SOUTH PERTH</v>
          </cell>
          <cell r="S804" t="str">
            <v>6151</v>
          </cell>
        </row>
        <row r="805">
          <cell r="B805" t="str">
            <v>S0032256</v>
          </cell>
          <cell r="C805" t="str">
            <v>SPS HACKETT DR CRAWLEY</v>
          </cell>
          <cell r="D805" t="str">
            <v>A- actual</v>
          </cell>
          <cell r="E805" t="str">
            <v>PS- pump station</v>
          </cell>
          <cell r="F805" t="str">
            <v>HACKETT DR</v>
          </cell>
          <cell r="G805" t="str">
            <v>067-03</v>
          </cell>
          <cell r="H805" t="str">
            <v>W- water corporation</v>
          </cell>
          <cell r="I805" t="str">
            <v>17709</v>
          </cell>
          <cell r="J805" t="str">
            <v>19381010</v>
          </cell>
          <cell r="K805" t="str">
            <v>115.822143118</v>
          </cell>
          <cell r="L805" t="str">
            <v>-31.9758823246</v>
          </cell>
          <cell r="M805" t="str">
            <v>L</v>
          </cell>
          <cell r="N805" t="str">
            <v>9843</v>
          </cell>
          <cell r="O805" t="str">
            <v>HACKETT</v>
          </cell>
          <cell r="P805" t="str">
            <v>DR</v>
          </cell>
          <cell r="R805" t="str">
            <v>CRAWLEY</v>
          </cell>
          <cell r="S805" t="str">
            <v>6009</v>
          </cell>
        </row>
        <row r="806">
          <cell r="D806" t="str">
            <v>P- proposed</v>
          </cell>
          <cell r="E806" t="str">
            <v>PS- pump station</v>
          </cell>
          <cell r="F806" t="str">
            <v>COODE ST JETTY KIOSK</v>
          </cell>
          <cell r="H806" t="str">
            <v>P- private</v>
          </cell>
          <cell r="J806" t="str">
            <v>19950101</v>
          </cell>
          <cell r="K806" t="str">
            <v>115.864658545</v>
          </cell>
          <cell r="L806" t="str">
            <v>-31.974840771</v>
          </cell>
          <cell r="M806" t="str">
            <v>H</v>
          </cell>
          <cell r="N806" t="str">
            <v>1</v>
          </cell>
          <cell r="O806" t="str">
            <v>COODE</v>
          </cell>
          <cell r="P806" t="str">
            <v>ST</v>
          </cell>
          <cell r="R806" t="str">
            <v>SOUTH PERTH</v>
          </cell>
          <cell r="S806" t="str">
            <v>6151</v>
          </cell>
        </row>
        <row r="807">
          <cell r="B807" t="str">
            <v>S0027296</v>
          </cell>
          <cell r="C807" t="str">
            <v>SPS OCEAN REEF RD OCEAN REEF</v>
          </cell>
          <cell r="D807" t="str">
            <v>A- actual</v>
          </cell>
          <cell r="E807" t="str">
            <v>PS- pump station</v>
          </cell>
          <cell r="F807" t="str">
            <v>OCEAN REEF RD</v>
          </cell>
          <cell r="G807" t="str">
            <v>015-02</v>
          </cell>
          <cell r="H807" t="str">
            <v>W- water corporation</v>
          </cell>
          <cell r="I807" t="str">
            <v>17778</v>
          </cell>
          <cell r="J807" t="str">
            <v>19860101</v>
          </cell>
          <cell r="K807" t="str">
            <v>115.728877614</v>
          </cell>
          <cell r="L807" t="str">
            <v>-31.754296686</v>
          </cell>
          <cell r="M807" t="str">
            <v>H</v>
          </cell>
          <cell r="N807" t="str">
            <v>306</v>
          </cell>
          <cell r="O807" t="str">
            <v>OCEAN REEF</v>
          </cell>
          <cell r="P807" t="str">
            <v>RD</v>
          </cell>
          <cell r="R807" t="str">
            <v>OCEAN REEF</v>
          </cell>
          <cell r="S807" t="str">
            <v>6027</v>
          </cell>
        </row>
        <row r="808">
          <cell r="D808" t="str">
            <v>A- actual</v>
          </cell>
          <cell r="E808" t="str">
            <v>PS- pump station</v>
          </cell>
          <cell r="F808" t="str">
            <v>ROTTNEST ISLAND</v>
          </cell>
          <cell r="G808" t="str">
            <v>2</v>
          </cell>
          <cell r="H808" t="str">
            <v>P- private</v>
          </cell>
          <cell r="J808" t="str">
            <v>19700227</v>
          </cell>
          <cell r="K808" t="str">
            <v>115.512345739</v>
          </cell>
          <cell r="L808" t="str">
            <v>-32.006202587</v>
          </cell>
          <cell r="M808" t="str">
            <v>H</v>
          </cell>
          <cell r="N808" t="str">
            <v>1</v>
          </cell>
          <cell r="O808" t="str">
            <v>VINCENT</v>
          </cell>
          <cell r="P808" t="str">
            <v>WAY</v>
          </cell>
          <cell r="R808" t="str">
            <v>ROTTNEST ISLAND</v>
          </cell>
          <cell r="S808" t="str">
            <v>6161</v>
          </cell>
        </row>
        <row r="809">
          <cell r="D809" t="str">
            <v>A- actual</v>
          </cell>
          <cell r="E809" t="str">
            <v>PS- pump station</v>
          </cell>
          <cell r="F809" t="str">
            <v>ROTTNEST ISLAND</v>
          </cell>
          <cell r="G809" t="str">
            <v>1</v>
          </cell>
          <cell r="H809" t="str">
            <v>P- private</v>
          </cell>
          <cell r="J809" t="str">
            <v>19700227</v>
          </cell>
          <cell r="K809" t="str">
            <v>115.512345739</v>
          </cell>
          <cell r="L809" t="str">
            <v>-32.006202587</v>
          </cell>
          <cell r="M809" t="str">
            <v>H</v>
          </cell>
          <cell r="N809" t="str">
            <v>1</v>
          </cell>
          <cell r="O809" t="str">
            <v>VINCENT</v>
          </cell>
          <cell r="P809" t="str">
            <v>WAY</v>
          </cell>
          <cell r="R809" t="str">
            <v>ROTTNEST ISLAND</v>
          </cell>
          <cell r="S809" t="str">
            <v>6161</v>
          </cell>
        </row>
        <row r="810">
          <cell r="D810" t="str">
            <v>A- actual</v>
          </cell>
          <cell r="E810" t="str">
            <v>PS- pump station</v>
          </cell>
          <cell r="F810" t="str">
            <v>ROTTNEST ISLAND</v>
          </cell>
          <cell r="G810" t="str">
            <v>6</v>
          </cell>
          <cell r="H810" t="str">
            <v>P- private</v>
          </cell>
          <cell r="J810" t="str">
            <v>19700227</v>
          </cell>
          <cell r="K810" t="str">
            <v>115.554075902</v>
          </cell>
          <cell r="L810" t="str">
            <v>-31.988274467</v>
          </cell>
          <cell r="M810" t="str">
            <v>L</v>
          </cell>
          <cell r="N810" t="str">
            <v>11022</v>
          </cell>
          <cell r="O810" t="str">
            <v>HENDERSON</v>
          </cell>
          <cell r="P810" t="str">
            <v>AV</v>
          </cell>
          <cell r="R810" t="str">
            <v>ROTTNEST ISLAND</v>
          </cell>
          <cell r="S810" t="str">
            <v>6161</v>
          </cell>
        </row>
        <row r="811">
          <cell r="D811" t="str">
            <v>A- actual</v>
          </cell>
          <cell r="E811" t="str">
            <v>PS- pump station</v>
          </cell>
          <cell r="F811" t="str">
            <v>ROTTNEST ISLAND</v>
          </cell>
          <cell r="H811" t="str">
            <v>P- private</v>
          </cell>
          <cell r="J811" t="str">
            <v>19700227</v>
          </cell>
          <cell r="K811" t="str">
            <v>115.554075902</v>
          </cell>
          <cell r="L811" t="str">
            <v>-31.988274467</v>
          </cell>
          <cell r="M811" t="str">
            <v>L</v>
          </cell>
          <cell r="N811" t="str">
            <v>11022</v>
          </cell>
          <cell r="O811" t="str">
            <v>HENDERSON</v>
          </cell>
          <cell r="P811" t="str">
            <v>AV</v>
          </cell>
          <cell r="R811" t="str">
            <v>ROTTNEST ISLAND</v>
          </cell>
          <cell r="S811" t="str">
            <v>6161</v>
          </cell>
        </row>
        <row r="812">
          <cell r="B812" t="str">
            <v>S0029122</v>
          </cell>
          <cell r="C812" t="str">
            <v>SPS FALKLAND AV KINROSS</v>
          </cell>
          <cell r="D812" t="str">
            <v>A- actual</v>
          </cell>
          <cell r="E812" t="str">
            <v>PS- pump station</v>
          </cell>
          <cell r="F812" t="str">
            <v>FALKLAND AV</v>
          </cell>
          <cell r="G812" t="str">
            <v>4</v>
          </cell>
          <cell r="H812" t="str">
            <v>W- water corporation</v>
          </cell>
          <cell r="I812" t="str">
            <v>43447</v>
          </cell>
          <cell r="J812" t="str">
            <v>19920918</v>
          </cell>
          <cell r="K812" t="str">
            <v>115.731169284</v>
          </cell>
          <cell r="L812" t="str">
            <v>-31.719745397</v>
          </cell>
          <cell r="M812" t="str">
            <v>H</v>
          </cell>
          <cell r="N812" t="str">
            <v>15</v>
          </cell>
          <cell r="O812" t="str">
            <v>FALKLAND</v>
          </cell>
          <cell r="P812" t="str">
            <v>WAY</v>
          </cell>
          <cell r="R812" t="str">
            <v>KINROSS</v>
          </cell>
          <cell r="S812" t="str">
            <v>6028</v>
          </cell>
        </row>
        <row r="813">
          <cell r="B813" t="str">
            <v>S0027264</v>
          </cell>
          <cell r="C813" t="str">
            <v>SPS BURNS BEACH RD ILUKA</v>
          </cell>
          <cell r="D813" t="str">
            <v>A- actual</v>
          </cell>
          <cell r="E813" t="str">
            <v>PS- pump station</v>
          </cell>
          <cell r="F813" t="str">
            <v>BURNS BEACH RD</v>
          </cell>
          <cell r="G813" t="str">
            <v>5</v>
          </cell>
          <cell r="H813" t="str">
            <v>W- water corporation</v>
          </cell>
          <cell r="I813" t="str">
            <v>32496</v>
          </cell>
          <cell r="J813" t="str">
            <v>19940701</v>
          </cell>
          <cell r="K813" t="str">
            <v>115.719431589</v>
          </cell>
          <cell r="L813" t="str">
            <v>-31.731209383</v>
          </cell>
          <cell r="M813" t="str">
            <v>L</v>
          </cell>
          <cell r="N813" t="str">
            <v>11571</v>
          </cell>
          <cell r="O813" t="str">
            <v>OCEAN</v>
          </cell>
          <cell r="P813" t="str">
            <v>PDE</v>
          </cell>
          <cell r="R813" t="str">
            <v>ILUKA</v>
          </cell>
          <cell r="S813" t="str">
            <v>6028</v>
          </cell>
        </row>
        <row r="814">
          <cell r="B814" t="str">
            <v>S0027310</v>
          </cell>
          <cell r="C814" t="str">
            <v>SPS SILVERSANDS DR ILUKA</v>
          </cell>
          <cell r="D814" t="str">
            <v>A- actual</v>
          </cell>
          <cell r="E814" t="str">
            <v>PS- pump station</v>
          </cell>
          <cell r="F814" t="str">
            <v>SILVERSANDS DR</v>
          </cell>
          <cell r="G814" t="str">
            <v>6</v>
          </cell>
          <cell r="H814" t="str">
            <v>W- water corporation</v>
          </cell>
          <cell r="I814" t="str">
            <v>50415</v>
          </cell>
          <cell r="J814" t="str">
            <v>19950720</v>
          </cell>
          <cell r="K814" t="str">
            <v>115.732165503</v>
          </cell>
          <cell r="L814" t="str">
            <v>-31.739112522</v>
          </cell>
          <cell r="M814" t="str">
            <v>H</v>
          </cell>
          <cell r="N814" t="str">
            <v>2</v>
          </cell>
          <cell r="O814" t="str">
            <v>SILVER SANDS</v>
          </cell>
          <cell r="P814" t="str">
            <v>DR</v>
          </cell>
          <cell r="R814" t="str">
            <v>ILUKA</v>
          </cell>
          <cell r="S814" t="str">
            <v>6028</v>
          </cell>
        </row>
        <row r="815">
          <cell r="B815" t="str">
            <v>S0033312</v>
          </cell>
          <cell r="C815" t="str">
            <v>SPS RIVERSIDE RD EAST FREMANTLE</v>
          </cell>
          <cell r="D815" t="str">
            <v>A- actual</v>
          </cell>
          <cell r="E815" t="str">
            <v>PS- pump station</v>
          </cell>
          <cell r="F815" t="str">
            <v>RIVERSIDE RD</v>
          </cell>
          <cell r="G815" t="str">
            <v>7</v>
          </cell>
          <cell r="H815" t="str">
            <v>W- water corporation</v>
          </cell>
          <cell r="I815" t="str">
            <v>18074</v>
          </cell>
          <cell r="J815" t="str">
            <v>19740410</v>
          </cell>
          <cell r="K815" t="str">
            <v>115.762801557</v>
          </cell>
          <cell r="L815" t="str">
            <v>-32.0362662484</v>
          </cell>
          <cell r="M815" t="str">
            <v>L</v>
          </cell>
          <cell r="N815" t="str">
            <v>33</v>
          </cell>
          <cell r="O815" t="str">
            <v>RIVERSIDE</v>
          </cell>
          <cell r="P815" t="str">
            <v>RD</v>
          </cell>
          <cell r="R815" t="str">
            <v>EAST FREMANTLE</v>
          </cell>
          <cell r="S815" t="str">
            <v>6158</v>
          </cell>
        </row>
        <row r="816">
          <cell r="D816" t="str">
            <v>A- actual</v>
          </cell>
          <cell r="E816" t="str">
            <v>PS- pump station</v>
          </cell>
          <cell r="F816" t="str">
            <v>SEASCAPES</v>
          </cell>
          <cell r="H816" t="str">
            <v>P- private</v>
          </cell>
          <cell r="J816" t="str">
            <v>19910830</v>
          </cell>
          <cell r="K816" t="str">
            <v>115.745627468</v>
          </cell>
          <cell r="L816" t="str">
            <v>-32.0348128139</v>
          </cell>
          <cell r="M816" t="str">
            <v>H</v>
          </cell>
          <cell r="N816" t="str">
            <v>14</v>
          </cell>
          <cell r="O816" t="str">
            <v>LEIGHTON BEACH</v>
          </cell>
          <cell r="P816" t="str">
            <v>BVD</v>
          </cell>
          <cell r="R816" t="str">
            <v>NORTH FREMANTLE</v>
          </cell>
          <cell r="S816" t="str">
            <v>6159</v>
          </cell>
        </row>
        <row r="817">
          <cell r="B817" t="str">
            <v>S0033245</v>
          </cell>
          <cell r="C817" t="str">
            <v>SPS MARKET ST FREMANTLE</v>
          </cell>
          <cell r="D817" t="str">
            <v>A- actual</v>
          </cell>
          <cell r="E817" t="str">
            <v>PS- pump station</v>
          </cell>
          <cell r="F817" t="str">
            <v>MARKET ST</v>
          </cell>
          <cell r="G817" t="str">
            <v>3</v>
          </cell>
          <cell r="H817" t="str">
            <v>W- water corporation</v>
          </cell>
          <cell r="I817" t="str">
            <v>18070</v>
          </cell>
          <cell r="J817" t="str">
            <v>19130901</v>
          </cell>
          <cell r="K817" t="str">
            <v>115.745747267</v>
          </cell>
          <cell r="L817" t="str">
            <v>-32.0525612704</v>
          </cell>
          <cell r="M817" t="str">
            <v>H</v>
          </cell>
          <cell r="N817" t="str">
            <v>1</v>
          </cell>
          <cell r="O817" t="str">
            <v>ELDER</v>
          </cell>
          <cell r="P817" t="str">
            <v>PL</v>
          </cell>
          <cell r="R817" t="str">
            <v>FREMANTLE</v>
          </cell>
          <cell r="S817" t="str">
            <v>6160</v>
          </cell>
        </row>
        <row r="818">
          <cell r="B818" t="str">
            <v>S0033151</v>
          </cell>
          <cell r="C818" t="str">
            <v>SPS ROUS HEAD RD NORTH FREMANTLE</v>
          </cell>
          <cell r="D818" t="str">
            <v>A- actual</v>
          </cell>
          <cell r="E818" t="str">
            <v>PS- pump station</v>
          </cell>
          <cell r="F818" t="str">
            <v>ROUS HEAD RD</v>
          </cell>
          <cell r="G818" t="str">
            <v>2</v>
          </cell>
          <cell r="H818" t="str">
            <v>W- water corporation</v>
          </cell>
          <cell r="I818" t="str">
            <v>42636</v>
          </cell>
          <cell r="J818" t="str">
            <v>19900717</v>
          </cell>
          <cell r="K818" t="str">
            <v>115.739089669</v>
          </cell>
          <cell r="L818" t="str">
            <v>-32.0450709461</v>
          </cell>
          <cell r="M818" t="str">
            <v>H</v>
          </cell>
          <cell r="N818" t="str">
            <v>33</v>
          </cell>
          <cell r="O818" t="str">
            <v>TYDEMAN</v>
          </cell>
          <cell r="P818" t="str">
            <v>RD</v>
          </cell>
          <cell r="R818" t="str">
            <v>NORTH FREMANTLE</v>
          </cell>
          <cell r="S818" t="str">
            <v>6159</v>
          </cell>
        </row>
        <row r="819">
          <cell r="D819" t="str">
            <v>A- actual</v>
          </cell>
          <cell r="E819" t="str">
            <v>PS- pump station</v>
          </cell>
          <cell r="F819" t="str">
            <v>RIVERSIDE RD</v>
          </cell>
          <cell r="H819" t="str">
            <v>P- private</v>
          </cell>
          <cell r="J819" t="str">
            <v>19740410</v>
          </cell>
          <cell r="K819" t="str">
            <v>115.759081142</v>
          </cell>
          <cell r="L819" t="str">
            <v>-32.041559122</v>
          </cell>
          <cell r="M819" t="str">
            <v>H</v>
          </cell>
          <cell r="N819" t="str">
            <v>12</v>
          </cell>
          <cell r="O819" t="str">
            <v>CANNING</v>
          </cell>
          <cell r="P819" t="str">
            <v>HWY</v>
          </cell>
          <cell r="R819" t="str">
            <v>EAST FREMANTLE</v>
          </cell>
          <cell r="S819" t="str">
            <v>6158</v>
          </cell>
        </row>
        <row r="820">
          <cell r="B820" t="str">
            <v>S0033156</v>
          </cell>
          <cell r="C820" t="str">
            <v>SPS TYDEMAN RD NORTH FREMANTLE</v>
          </cell>
          <cell r="D820" t="str">
            <v>A- actual</v>
          </cell>
          <cell r="E820" t="str">
            <v>PS- pump station</v>
          </cell>
          <cell r="F820" t="str">
            <v>TYDEMAN RD</v>
          </cell>
          <cell r="G820" t="str">
            <v>1</v>
          </cell>
          <cell r="H820" t="str">
            <v>W- water corporation</v>
          </cell>
          <cell r="I820" t="str">
            <v>18018</v>
          </cell>
          <cell r="J820" t="str">
            <v>19470422</v>
          </cell>
          <cell r="K820" t="str">
            <v>115.755153712</v>
          </cell>
          <cell r="L820" t="str">
            <v>-32.036209137</v>
          </cell>
          <cell r="M820" t="str">
            <v>H</v>
          </cell>
          <cell r="N820" t="str">
            <v>4</v>
          </cell>
          <cell r="O820" t="str">
            <v>TYDEMAN</v>
          </cell>
          <cell r="P820" t="str">
            <v>RD</v>
          </cell>
          <cell r="R820" t="str">
            <v>NORTH FREMANTLE</v>
          </cell>
          <cell r="S820" t="str">
            <v>6159</v>
          </cell>
        </row>
        <row r="821">
          <cell r="D821" t="str">
            <v>A- actual</v>
          </cell>
          <cell r="E821" t="str">
            <v>PS- pump station</v>
          </cell>
          <cell r="F821" t="str">
            <v>SWAN HOTEL</v>
          </cell>
          <cell r="G821" t="str">
            <v>1</v>
          </cell>
          <cell r="H821" t="str">
            <v>P- private</v>
          </cell>
          <cell r="J821" t="str">
            <v>19820819</v>
          </cell>
          <cell r="K821" t="str">
            <v>115.753743559</v>
          </cell>
          <cell r="L821" t="str">
            <v>-32.037939846</v>
          </cell>
          <cell r="M821" t="str">
            <v>H</v>
          </cell>
          <cell r="N821" t="str">
            <v>201</v>
          </cell>
          <cell r="O821" t="str">
            <v>QUEEN VICTORIA</v>
          </cell>
          <cell r="P821" t="str">
            <v>ST</v>
          </cell>
          <cell r="R821" t="str">
            <v>NORTH FREMANTLE</v>
          </cell>
          <cell r="S821" t="str">
            <v>6159</v>
          </cell>
        </row>
        <row r="822">
          <cell r="D822" t="str">
            <v>A- actual</v>
          </cell>
          <cell r="E822" t="str">
            <v>PS- pump station</v>
          </cell>
          <cell r="F822" t="str">
            <v>COLD STORE</v>
          </cell>
          <cell r="G822" t="str">
            <v>2</v>
          </cell>
          <cell r="H822" t="str">
            <v>P- private</v>
          </cell>
          <cell r="J822" t="str">
            <v>19820819</v>
          </cell>
          <cell r="K822" t="str">
            <v>115.753299255</v>
          </cell>
          <cell r="L822" t="str">
            <v>-32.037571314</v>
          </cell>
          <cell r="M822" t="str">
            <v>H</v>
          </cell>
          <cell r="N822" t="str">
            <v>11</v>
          </cell>
          <cell r="O822" t="str">
            <v>TYDEMAN</v>
          </cell>
          <cell r="P822" t="str">
            <v>RD</v>
          </cell>
          <cell r="R822" t="str">
            <v>NORTH FREMANTLE</v>
          </cell>
          <cell r="S822" t="str">
            <v>6159</v>
          </cell>
        </row>
        <row r="823">
          <cell r="B823" t="str">
            <v>S0033186</v>
          </cell>
          <cell r="C823" t="str">
            <v>SPS BEACH ST FREMANTLE</v>
          </cell>
          <cell r="D823" t="str">
            <v>A- actual</v>
          </cell>
          <cell r="E823" t="str">
            <v>PS- pump station</v>
          </cell>
          <cell r="F823" t="str">
            <v>BEACH ST</v>
          </cell>
          <cell r="G823" t="str">
            <v>026-04</v>
          </cell>
          <cell r="H823" t="str">
            <v>W- water corporation</v>
          </cell>
          <cell r="I823" t="str">
            <v>18071</v>
          </cell>
          <cell r="J823" t="str">
            <v>19151201</v>
          </cell>
          <cell r="K823" t="str">
            <v>115.751149195</v>
          </cell>
          <cell r="L823" t="str">
            <v>-32.04645842</v>
          </cell>
          <cell r="M823" t="str">
            <v>H</v>
          </cell>
          <cell r="N823" t="str">
            <v>1</v>
          </cell>
          <cell r="O823" t="str">
            <v>JAMES</v>
          </cell>
          <cell r="P823" t="str">
            <v>ST</v>
          </cell>
          <cell r="R823" t="str">
            <v>FREMANTLE</v>
          </cell>
          <cell r="S823" t="str">
            <v>6160</v>
          </cell>
        </row>
        <row r="824">
          <cell r="B824" t="str">
            <v>S0033146</v>
          </cell>
          <cell r="C824" t="str">
            <v>SPS BRUCE ST NORTH FREMANTLE</v>
          </cell>
          <cell r="D824" t="str">
            <v>A- actual</v>
          </cell>
          <cell r="E824" t="str">
            <v>PS- pump station</v>
          </cell>
          <cell r="F824" t="str">
            <v>BRUCE ST</v>
          </cell>
          <cell r="G824" t="str">
            <v>3</v>
          </cell>
          <cell r="H824" t="str">
            <v>W- water corporation</v>
          </cell>
          <cell r="I824" t="str">
            <v>67805</v>
          </cell>
          <cell r="J824" t="str">
            <v>19960829</v>
          </cell>
          <cell r="K824" t="str">
            <v>115.758270709</v>
          </cell>
          <cell r="L824" t="str">
            <v>-32.0386097937</v>
          </cell>
          <cell r="M824" t="str">
            <v>L</v>
          </cell>
          <cell r="N824" t="str">
            <v>484</v>
          </cell>
          <cell r="O824" t="str">
            <v>STIRLING</v>
          </cell>
          <cell r="P824" t="str">
            <v>HWY</v>
          </cell>
          <cell r="R824" t="str">
            <v>NORTH FREMANTLE</v>
          </cell>
          <cell r="S824" t="str">
            <v>6159</v>
          </cell>
        </row>
        <row r="825">
          <cell r="B825" t="str">
            <v>S0033319</v>
          </cell>
          <cell r="C825" t="str">
            <v>SPS SAMSON ST WHITE GUM VALLEY</v>
          </cell>
          <cell r="D825" t="str">
            <v>A- actual</v>
          </cell>
          <cell r="E825" t="str">
            <v>PS- pump station</v>
          </cell>
          <cell r="F825" t="str">
            <v>SAMSON ST</v>
          </cell>
          <cell r="G825" t="str">
            <v>5</v>
          </cell>
          <cell r="H825" t="str">
            <v>W- water corporation</v>
          </cell>
          <cell r="I825" t="str">
            <v>18072</v>
          </cell>
          <cell r="J825" t="str">
            <v>19500101</v>
          </cell>
          <cell r="K825" t="str">
            <v>115.769164827</v>
          </cell>
          <cell r="L825" t="str">
            <v>-32.061575479</v>
          </cell>
          <cell r="M825" t="str">
            <v>H</v>
          </cell>
          <cell r="N825" t="str">
            <v>93</v>
          </cell>
          <cell r="O825" t="str">
            <v>SAMSON</v>
          </cell>
          <cell r="P825" t="str">
            <v>ST</v>
          </cell>
          <cell r="R825" t="str">
            <v>WHITE GUM VALLEY</v>
          </cell>
          <cell r="S825" t="str">
            <v>6162</v>
          </cell>
        </row>
        <row r="826">
          <cell r="B826" t="str">
            <v>S0033210</v>
          </cell>
          <cell r="C826" t="str">
            <v>SPS ESSEX ST FREMANTLE</v>
          </cell>
          <cell r="D826" t="str">
            <v>A- actual</v>
          </cell>
          <cell r="E826" t="str">
            <v>PS- pump station</v>
          </cell>
          <cell r="F826" t="str">
            <v>ESSEX ST</v>
          </cell>
          <cell r="G826" t="str">
            <v>2</v>
          </cell>
          <cell r="H826" t="str">
            <v>W- water corporation</v>
          </cell>
          <cell r="I826" t="str">
            <v>18069</v>
          </cell>
          <cell r="J826" t="str">
            <v>19850501</v>
          </cell>
          <cell r="K826" t="str">
            <v>115.746457983</v>
          </cell>
          <cell r="L826" t="str">
            <v>-32.058159815</v>
          </cell>
          <cell r="M826" t="str">
            <v>L</v>
          </cell>
          <cell r="N826" t="str">
            <v>1589</v>
          </cell>
          <cell r="O826" t="str">
            <v>MARINE</v>
          </cell>
          <cell r="P826" t="str">
            <v>TCE</v>
          </cell>
          <cell r="R826" t="str">
            <v>FREMANTLE</v>
          </cell>
          <cell r="S826" t="str">
            <v>6160</v>
          </cell>
        </row>
        <row r="827">
          <cell r="B827" t="str">
            <v>S0033236</v>
          </cell>
          <cell r="C827" t="str">
            <v>SPS MARINE TCE SOUTH FREMANTLE</v>
          </cell>
          <cell r="D827" t="str">
            <v>A- actual</v>
          </cell>
          <cell r="E827" t="str">
            <v>PS- pump station</v>
          </cell>
          <cell r="F827" t="str">
            <v>MARINE TCE</v>
          </cell>
          <cell r="G827" t="str">
            <v>1</v>
          </cell>
          <cell r="H827" t="str">
            <v>W- water corporation</v>
          </cell>
          <cell r="I827" t="str">
            <v>18068</v>
          </cell>
          <cell r="J827" t="str">
            <v>20000216</v>
          </cell>
          <cell r="K827" t="str">
            <v>115.75151464</v>
          </cell>
          <cell r="L827" t="str">
            <v>-32.069876508</v>
          </cell>
          <cell r="M827" t="str">
            <v>H</v>
          </cell>
          <cell r="N827" t="str">
            <v>166</v>
          </cell>
          <cell r="O827" t="str">
            <v>MARINE</v>
          </cell>
          <cell r="P827" t="str">
            <v>TCE</v>
          </cell>
          <cell r="R827" t="str">
            <v>SOUTH FREMANTLE</v>
          </cell>
          <cell r="S827" t="str">
            <v>6162</v>
          </cell>
        </row>
        <row r="828">
          <cell r="D828" t="str">
            <v>A- actual</v>
          </cell>
          <cell r="E828" t="str">
            <v>PS- pump station</v>
          </cell>
          <cell r="F828" t="str">
            <v>FREMANTLE SAILING CLUB</v>
          </cell>
          <cell r="H828" t="str">
            <v>P- private</v>
          </cell>
          <cell r="J828" t="str">
            <v>19790125</v>
          </cell>
          <cell r="K828" t="str">
            <v>115.749410635</v>
          </cell>
          <cell r="L828" t="str">
            <v>-32.0677445072</v>
          </cell>
          <cell r="M828" t="str">
            <v>H</v>
          </cell>
          <cell r="N828" t="str">
            <v>151</v>
          </cell>
          <cell r="O828" t="str">
            <v>MARINE</v>
          </cell>
          <cell r="P828" t="str">
            <v>TCE</v>
          </cell>
          <cell r="R828" t="str">
            <v>SOUTH FREMANTLE</v>
          </cell>
          <cell r="S828" t="str">
            <v>6162</v>
          </cell>
        </row>
        <row r="829">
          <cell r="D829" t="str">
            <v>P- proposed</v>
          </cell>
          <cell r="E829" t="str">
            <v>PS- pump station</v>
          </cell>
          <cell r="F829" t="str">
            <v>TAFE CHILD CARE CENTRE</v>
          </cell>
          <cell r="H829" t="str">
            <v>P- private</v>
          </cell>
          <cell r="J829" t="str">
            <v>19000101</v>
          </cell>
          <cell r="K829" t="str">
            <v>115.767632303</v>
          </cell>
          <cell r="L829" t="str">
            <v>-32.0666894893</v>
          </cell>
          <cell r="M829" t="str">
            <v>H</v>
          </cell>
          <cell r="N829" t="str">
            <v>11</v>
          </cell>
          <cell r="O829" t="str">
            <v>GROSVENOR</v>
          </cell>
          <cell r="P829" t="str">
            <v>ST</v>
          </cell>
          <cell r="R829" t="str">
            <v>BEACONSFIELD</v>
          </cell>
          <cell r="S829" t="str">
            <v>6162</v>
          </cell>
        </row>
        <row r="830">
          <cell r="B830" t="str">
            <v>S0032621</v>
          </cell>
          <cell r="C830" t="str">
            <v>SPS GLENN AV MOSMAN PARK</v>
          </cell>
          <cell r="D830" t="str">
            <v>A- actual</v>
          </cell>
          <cell r="E830" t="str">
            <v>PS- pump station</v>
          </cell>
          <cell r="F830" t="str">
            <v>GLENN AV</v>
          </cell>
          <cell r="G830" t="str">
            <v>022-05</v>
          </cell>
          <cell r="H830" t="str">
            <v>W- water corporation</v>
          </cell>
          <cell r="I830" t="str">
            <v>17740</v>
          </cell>
          <cell r="J830" t="str">
            <v>19870529</v>
          </cell>
          <cell r="K830" t="str">
            <v>115.770828674</v>
          </cell>
          <cell r="L830" t="str">
            <v>-32.018867786</v>
          </cell>
          <cell r="M830" t="str">
            <v>L</v>
          </cell>
          <cell r="N830" t="str">
            <v>49</v>
          </cell>
          <cell r="O830" t="str">
            <v>GLENN</v>
          </cell>
          <cell r="P830" t="str">
            <v>AV</v>
          </cell>
          <cell r="R830" t="str">
            <v>MOSMAN PARK</v>
          </cell>
          <cell r="S830" t="str">
            <v>6012</v>
          </cell>
        </row>
        <row r="831">
          <cell r="D831" t="str">
            <v>A- actual</v>
          </cell>
          <cell r="E831" t="str">
            <v>PS- pump station</v>
          </cell>
          <cell r="F831" t="str">
            <v>AQUARAMA</v>
          </cell>
          <cell r="H831" t="str">
            <v>P- private</v>
          </cell>
          <cell r="J831" t="str">
            <v>19800101</v>
          </cell>
          <cell r="K831" t="str">
            <v>115.76573548</v>
          </cell>
          <cell r="L831" t="str">
            <v>-32.0261369485</v>
          </cell>
          <cell r="M831" t="str">
            <v>H</v>
          </cell>
          <cell r="N831" t="str">
            <v>110</v>
          </cell>
          <cell r="O831" t="str">
            <v>RIVERSIDE</v>
          </cell>
          <cell r="P831" t="str">
            <v>RD</v>
          </cell>
          <cell r="R831" t="str">
            <v>EAST FREMANTLE</v>
          </cell>
          <cell r="S831" t="str">
            <v>6158</v>
          </cell>
        </row>
        <row r="832">
          <cell r="D832" t="str">
            <v>A- actual</v>
          </cell>
          <cell r="E832" t="str">
            <v>PS- pump station</v>
          </cell>
          <cell r="F832" t="str">
            <v>WATER POLICE</v>
          </cell>
          <cell r="H832" t="str">
            <v>P- private</v>
          </cell>
          <cell r="J832" t="str">
            <v>19860515</v>
          </cell>
          <cell r="K832" t="str">
            <v>115.75943646</v>
          </cell>
          <cell r="L832" t="str">
            <v>-32.03068954</v>
          </cell>
          <cell r="M832" t="str">
            <v>H</v>
          </cell>
          <cell r="N832" t="str">
            <v>100</v>
          </cell>
          <cell r="O832" t="str">
            <v>HARVEST</v>
          </cell>
          <cell r="P832" t="str">
            <v>RD</v>
          </cell>
          <cell r="R832" t="str">
            <v>NORTH FREMANTLE</v>
          </cell>
          <cell r="S832" t="str">
            <v>6159</v>
          </cell>
        </row>
        <row r="833">
          <cell r="B833" t="str">
            <v>S0033707</v>
          </cell>
          <cell r="C833" t="str">
            <v>SPS GROVES AV ATTADALE</v>
          </cell>
          <cell r="D833" t="str">
            <v>A- actual</v>
          </cell>
          <cell r="E833" t="str">
            <v>PS- pump station</v>
          </cell>
          <cell r="F833" t="str">
            <v>GROVES AVE</v>
          </cell>
          <cell r="G833" t="str">
            <v>1</v>
          </cell>
          <cell r="H833" t="str">
            <v>W- water corporation</v>
          </cell>
          <cell r="I833" t="str">
            <v>18026</v>
          </cell>
          <cell r="J833" t="str">
            <v>19680101</v>
          </cell>
          <cell r="K833" t="str">
            <v>115.812149083</v>
          </cell>
          <cell r="L833" t="str">
            <v>-32.0309336593</v>
          </cell>
          <cell r="M833" t="str">
            <v>H</v>
          </cell>
          <cell r="N833" t="str">
            <v>558</v>
          </cell>
          <cell r="O833" t="str">
            <v>CANNING</v>
          </cell>
          <cell r="P833" t="str">
            <v>HWY</v>
          </cell>
          <cell r="R833" t="str">
            <v>ATTADALE</v>
          </cell>
          <cell r="S833" t="str">
            <v>6156</v>
          </cell>
        </row>
        <row r="834">
          <cell r="B834" t="str">
            <v>S0033607</v>
          </cell>
          <cell r="C834" t="str">
            <v>SPS BURKE DR ATTADALE</v>
          </cell>
          <cell r="D834" t="str">
            <v>A- actual</v>
          </cell>
          <cell r="E834" t="str">
            <v>PS- pump station</v>
          </cell>
          <cell r="F834" t="str">
            <v>BURKE DR</v>
          </cell>
          <cell r="G834" t="str">
            <v>2</v>
          </cell>
          <cell r="H834" t="str">
            <v>W- water corporation</v>
          </cell>
          <cell r="I834" t="str">
            <v>18027</v>
          </cell>
          <cell r="J834" t="str">
            <v>19720421</v>
          </cell>
          <cell r="K834" t="str">
            <v>115.811639367</v>
          </cell>
          <cell r="L834" t="str">
            <v>-32.022494927</v>
          </cell>
          <cell r="M834" t="str">
            <v>L</v>
          </cell>
          <cell r="N834" t="str">
            <v>11543</v>
          </cell>
          <cell r="O834" t="str">
            <v>BURKE</v>
          </cell>
          <cell r="P834" t="str">
            <v>DR</v>
          </cell>
          <cell r="R834" t="str">
            <v>ATTADALE</v>
          </cell>
          <cell r="S834" t="str">
            <v>6156</v>
          </cell>
        </row>
        <row r="835">
          <cell r="B835" t="str">
            <v>S0033600</v>
          </cell>
          <cell r="C835" t="str">
            <v>SPS BLACKWALL REACH PDE BICTON</v>
          </cell>
          <cell r="D835" t="str">
            <v>A- actual</v>
          </cell>
          <cell r="E835" t="str">
            <v>PS- pump station</v>
          </cell>
          <cell r="F835" t="str">
            <v>BLACKWALL REACH PDE</v>
          </cell>
          <cell r="G835" t="str">
            <v>057-05</v>
          </cell>
          <cell r="H835" t="str">
            <v>W- water corporation</v>
          </cell>
          <cell r="I835" t="str">
            <v>18107</v>
          </cell>
          <cell r="J835" t="str">
            <v>19671218</v>
          </cell>
          <cell r="K835" t="str">
            <v>115.778548876</v>
          </cell>
          <cell r="L835" t="str">
            <v>-32.026968594</v>
          </cell>
          <cell r="M835" t="str">
            <v>L</v>
          </cell>
          <cell r="N835" t="str">
            <v>11245</v>
          </cell>
          <cell r="O835" t="str">
            <v>BLACKWALL REACH</v>
          </cell>
          <cell r="P835" t="str">
            <v>PDE</v>
          </cell>
          <cell r="R835" t="str">
            <v>BICTON</v>
          </cell>
          <cell r="S835" t="str">
            <v>6157</v>
          </cell>
        </row>
        <row r="836">
          <cell r="B836" t="str">
            <v>S0033305</v>
          </cell>
          <cell r="C836" t="str">
            <v>SPS PRESTON POINT RD EAST FREMANTLE</v>
          </cell>
          <cell r="D836" t="str">
            <v>A- actual</v>
          </cell>
          <cell r="E836" t="str">
            <v>PS- pump station</v>
          </cell>
          <cell r="F836" t="str">
            <v>PRESTON PT RD</v>
          </cell>
          <cell r="G836" t="str">
            <v>6</v>
          </cell>
          <cell r="H836" t="str">
            <v>W- water corporation</v>
          </cell>
          <cell r="I836" t="str">
            <v>18073</v>
          </cell>
          <cell r="J836" t="str">
            <v>19320701</v>
          </cell>
          <cell r="K836" t="str">
            <v>115.766687944</v>
          </cell>
          <cell r="L836" t="str">
            <v>-32.029381316</v>
          </cell>
          <cell r="M836" t="str">
            <v>L</v>
          </cell>
          <cell r="N836" t="str">
            <v>6799</v>
          </cell>
          <cell r="O836" t="str">
            <v>PRESTON POINT</v>
          </cell>
          <cell r="P836" t="str">
            <v>RD</v>
          </cell>
          <cell r="R836" t="str">
            <v>EAST FREMANTLE</v>
          </cell>
          <cell r="S836" t="str">
            <v>6158</v>
          </cell>
        </row>
        <row r="837">
          <cell r="B837" t="str">
            <v>S0033640</v>
          </cell>
          <cell r="C837" t="str">
            <v>SPS CREWE ST BICTON</v>
          </cell>
          <cell r="D837" t="str">
            <v>A- actual</v>
          </cell>
          <cell r="E837" t="str">
            <v>PS- pump station</v>
          </cell>
          <cell r="F837" t="str">
            <v>CREWE ST</v>
          </cell>
          <cell r="G837" t="str">
            <v>4</v>
          </cell>
          <cell r="H837" t="str">
            <v>W- water corporation</v>
          </cell>
          <cell r="I837" t="str">
            <v>18106</v>
          </cell>
          <cell r="J837" t="str">
            <v>19670508</v>
          </cell>
          <cell r="K837" t="str">
            <v>115.781594963</v>
          </cell>
          <cell r="L837" t="str">
            <v>-32.023426189</v>
          </cell>
          <cell r="M837" t="str">
            <v>H</v>
          </cell>
          <cell r="N837" t="str">
            <v>24</v>
          </cell>
          <cell r="O837" t="str">
            <v>BLACKWALL REACH</v>
          </cell>
          <cell r="P837" t="str">
            <v>PDE</v>
          </cell>
          <cell r="R837" t="str">
            <v>BICTON</v>
          </cell>
          <cell r="S837" t="str">
            <v>6157</v>
          </cell>
        </row>
        <row r="838">
          <cell r="B838" t="str">
            <v>S0032682</v>
          </cell>
          <cell r="C838" t="str">
            <v>SPS STONE ST MOSMAN PARK</v>
          </cell>
          <cell r="D838" t="str">
            <v>A- actual</v>
          </cell>
          <cell r="E838" t="str">
            <v>PS- pump station</v>
          </cell>
          <cell r="F838" t="str">
            <v>STONE ST</v>
          </cell>
          <cell r="G838" t="str">
            <v>10</v>
          </cell>
          <cell r="H838" t="str">
            <v>W- water corporation</v>
          </cell>
          <cell r="I838" t="str">
            <v>17745</v>
          </cell>
          <cell r="J838" t="str">
            <v>19860409</v>
          </cell>
          <cell r="K838" t="str">
            <v>115.770721313</v>
          </cell>
          <cell r="L838" t="str">
            <v>-32.0228764723</v>
          </cell>
          <cell r="M838" t="str">
            <v>L</v>
          </cell>
          <cell r="N838" t="str">
            <v>654</v>
          </cell>
          <cell r="O838" t="str">
            <v>STONE</v>
          </cell>
          <cell r="P838" t="str">
            <v>ST</v>
          </cell>
          <cell r="R838" t="str">
            <v>MOSMAN PARK</v>
          </cell>
          <cell r="S838" t="str">
            <v>6012</v>
          </cell>
        </row>
        <row r="839">
          <cell r="B839" t="str">
            <v>S0033574</v>
          </cell>
          <cell r="C839" t="str">
            <v>SPS ADRIAN ST PALMYRA</v>
          </cell>
          <cell r="D839" t="str">
            <v>A- actual</v>
          </cell>
          <cell r="E839" t="str">
            <v>PS- pump station</v>
          </cell>
          <cell r="F839" t="str">
            <v>ADRIAN ST</v>
          </cell>
          <cell r="G839" t="str">
            <v>057-01</v>
          </cell>
          <cell r="H839" t="str">
            <v>W- water corporation</v>
          </cell>
          <cell r="I839" t="str">
            <v>18103</v>
          </cell>
          <cell r="J839" t="str">
            <v>19661026</v>
          </cell>
          <cell r="K839" t="str">
            <v>115.782108741</v>
          </cell>
          <cell r="L839" t="str">
            <v>-32.039347658</v>
          </cell>
          <cell r="M839" t="str">
            <v>H</v>
          </cell>
          <cell r="N839" t="str">
            <v>14</v>
          </cell>
          <cell r="O839" t="str">
            <v>ADRIAN</v>
          </cell>
          <cell r="P839" t="str">
            <v>ST</v>
          </cell>
          <cell r="R839" t="str">
            <v>PALMYRA</v>
          </cell>
          <cell r="S839" t="str">
            <v>6157</v>
          </cell>
        </row>
        <row r="840">
          <cell r="B840" t="str">
            <v>S0033721</v>
          </cell>
          <cell r="C840" t="str">
            <v>SPS HOLLAND ST FREMANTLE</v>
          </cell>
          <cell r="D840" t="str">
            <v>A- actual</v>
          </cell>
          <cell r="E840" t="str">
            <v>PS- pump station</v>
          </cell>
          <cell r="F840" t="str">
            <v>HOLLAND ST</v>
          </cell>
          <cell r="G840" t="str">
            <v>2</v>
          </cell>
          <cell r="H840" t="str">
            <v>W- water corporation</v>
          </cell>
          <cell r="I840" t="str">
            <v>18104</v>
          </cell>
          <cell r="J840" t="str">
            <v>19661101</v>
          </cell>
          <cell r="K840" t="str">
            <v>115.777558825</v>
          </cell>
          <cell r="L840" t="str">
            <v>-32.0490199161</v>
          </cell>
          <cell r="M840" t="str">
            <v>H</v>
          </cell>
          <cell r="N840" t="str">
            <v>164</v>
          </cell>
          <cell r="O840" t="str">
            <v>HOLLAND</v>
          </cell>
          <cell r="P840" t="str">
            <v>ST</v>
          </cell>
          <cell r="R840" t="str">
            <v>FREMANTLE</v>
          </cell>
          <cell r="S840" t="str">
            <v>6160</v>
          </cell>
        </row>
        <row r="841">
          <cell r="B841" t="str">
            <v>S0033728</v>
          </cell>
          <cell r="C841" t="str">
            <v>SPS IRWIN ST FREMANTLE</v>
          </cell>
          <cell r="D841" t="str">
            <v>A- actual</v>
          </cell>
          <cell r="E841" t="str">
            <v>PS- pump station</v>
          </cell>
          <cell r="F841" t="str">
            <v>IRWIN ST</v>
          </cell>
          <cell r="G841" t="str">
            <v>3</v>
          </cell>
          <cell r="H841" t="str">
            <v>W- water corporation</v>
          </cell>
          <cell r="I841" t="str">
            <v>18105</v>
          </cell>
          <cell r="J841" t="str">
            <v>19661101</v>
          </cell>
          <cell r="K841" t="str">
            <v>115.774116739</v>
          </cell>
          <cell r="L841" t="str">
            <v>-32.0475846577</v>
          </cell>
          <cell r="M841" t="str">
            <v>H</v>
          </cell>
          <cell r="N841" t="str">
            <v>153</v>
          </cell>
          <cell r="O841" t="str">
            <v>MARMION</v>
          </cell>
          <cell r="P841" t="str">
            <v>ST</v>
          </cell>
          <cell r="R841" t="str">
            <v>FREMANTLE</v>
          </cell>
          <cell r="S841" t="str">
            <v>6160</v>
          </cell>
        </row>
        <row r="842">
          <cell r="B842" t="str">
            <v>S0033700</v>
          </cell>
          <cell r="C842" t="str">
            <v>SPS FORREST ST PALMYRA</v>
          </cell>
          <cell r="D842" t="str">
            <v>A- actual</v>
          </cell>
          <cell r="E842" t="str">
            <v>PS- pump station</v>
          </cell>
          <cell r="F842" t="str">
            <v>FORREST ST</v>
          </cell>
          <cell r="G842" t="str">
            <v>1</v>
          </cell>
          <cell r="H842" t="str">
            <v>W- water corporation</v>
          </cell>
          <cell r="I842" t="str">
            <v>18100</v>
          </cell>
          <cell r="J842" t="str">
            <v>19670101</v>
          </cell>
          <cell r="K842" t="str">
            <v>115.791835605</v>
          </cell>
          <cell r="L842" t="str">
            <v>-32.048337006</v>
          </cell>
          <cell r="M842" t="str">
            <v>H</v>
          </cell>
          <cell r="N842" t="str">
            <v>241</v>
          </cell>
          <cell r="O842" t="str">
            <v>FORREST</v>
          </cell>
          <cell r="P842" t="str">
            <v>ST</v>
          </cell>
          <cell r="R842" t="str">
            <v>PALMYRA</v>
          </cell>
          <cell r="S842" t="str">
            <v>6157</v>
          </cell>
        </row>
        <row r="843">
          <cell r="B843" t="str">
            <v>S0033807</v>
          </cell>
          <cell r="C843" t="str">
            <v>SPS MILROY ST WILLAGEE</v>
          </cell>
          <cell r="D843" t="str">
            <v>A- actual</v>
          </cell>
          <cell r="E843" t="str">
            <v>PS- pump station</v>
          </cell>
          <cell r="F843" t="str">
            <v>MILROY ST</v>
          </cell>
          <cell r="G843" t="str">
            <v>2</v>
          </cell>
          <cell r="H843" t="str">
            <v>W- water corporation</v>
          </cell>
          <cell r="I843" t="str">
            <v>18101</v>
          </cell>
          <cell r="J843" t="str">
            <v>19680701</v>
          </cell>
          <cell r="K843" t="str">
            <v>115.798642524</v>
          </cell>
          <cell r="L843" t="str">
            <v>-32.056155997</v>
          </cell>
          <cell r="M843" t="str">
            <v>H</v>
          </cell>
          <cell r="N843" t="str">
            <v>51</v>
          </cell>
          <cell r="O843" t="str">
            <v>MILROY</v>
          </cell>
          <cell r="P843" t="str">
            <v>ST</v>
          </cell>
          <cell r="R843" t="str">
            <v>WILLAGEE</v>
          </cell>
          <cell r="S843" t="str">
            <v>6156</v>
          </cell>
        </row>
        <row r="844">
          <cell r="D844" t="str">
            <v>N- not in use</v>
          </cell>
          <cell r="E844" t="str">
            <v>PS- pump station</v>
          </cell>
          <cell r="F844" t="str">
            <v>EVELINE RD TEMPORARY</v>
          </cell>
          <cell r="H844" t="str">
            <v>W- water corporation</v>
          </cell>
          <cell r="J844" t="str">
            <v>19520819</v>
          </cell>
          <cell r="K844" t="str">
            <v>116.007413048</v>
          </cell>
          <cell r="L844" t="str">
            <v>-31.876400594</v>
          </cell>
          <cell r="M844" t="str">
            <v>H</v>
          </cell>
          <cell r="N844" t="str">
            <v>1</v>
          </cell>
          <cell r="O844" t="str">
            <v>EVELINE</v>
          </cell>
          <cell r="P844" t="str">
            <v>RD</v>
          </cell>
          <cell r="R844" t="str">
            <v>MIDDLE SWAN</v>
          </cell>
          <cell r="S844" t="str">
            <v>6056</v>
          </cell>
        </row>
        <row r="845">
          <cell r="D845" t="str">
            <v>N- not in use</v>
          </cell>
          <cell r="E845" t="str">
            <v>PS- pump station</v>
          </cell>
          <cell r="F845" t="str">
            <v>MIDLAND CARAVAN PARK</v>
          </cell>
          <cell r="H845" t="str">
            <v>P- private</v>
          </cell>
          <cell r="I845" t="str">
            <v>88924</v>
          </cell>
          <cell r="J845" t="str">
            <v>19520819</v>
          </cell>
          <cell r="K845" t="str">
            <v>116.011292849</v>
          </cell>
          <cell r="L845" t="str">
            <v>-31.8762690483</v>
          </cell>
          <cell r="M845" t="str">
            <v>H</v>
          </cell>
          <cell r="N845" t="str">
            <v>6</v>
          </cell>
          <cell r="O845" t="str">
            <v>TOODYAY</v>
          </cell>
          <cell r="P845" t="str">
            <v>RD</v>
          </cell>
          <cell r="R845" t="str">
            <v>MIDDLE SWAN</v>
          </cell>
          <cell r="S845" t="str">
            <v>6056</v>
          </cell>
        </row>
        <row r="846">
          <cell r="D846" t="str">
            <v>P- proposed</v>
          </cell>
          <cell r="E846" t="str">
            <v>PS- pump station</v>
          </cell>
          <cell r="H846" t="str">
            <v>W- water corporation</v>
          </cell>
          <cell r="J846" t="str">
            <v>18000101</v>
          </cell>
          <cell r="K846" t="str">
            <v>116.015076548</v>
          </cell>
          <cell r="L846" t="str">
            <v>-31.8750097225</v>
          </cell>
          <cell r="M846" t="str">
            <v>H</v>
          </cell>
          <cell r="N846" t="str">
            <v>20</v>
          </cell>
          <cell r="O846" t="str">
            <v>PELION</v>
          </cell>
          <cell r="P846" t="str">
            <v>CT</v>
          </cell>
          <cell r="R846" t="str">
            <v>MIDDLE SWAN</v>
          </cell>
          <cell r="S846" t="str">
            <v>6056</v>
          </cell>
        </row>
        <row r="847">
          <cell r="B847" t="str">
            <v>S0029002</v>
          </cell>
          <cell r="C847" t="str">
            <v>SPS LLOYD ST NTH MIDDLE SWAN</v>
          </cell>
          <cell r="D847" t="str">
            <v>A- actual</v>
          </cell>
          <cell r="E847" t="str">
            <v>PS- pump station</v>
          </cell>
          <cell r="F847" t="str">
            <v>LLOYD ST NORTH TEMP</v>
          </cell>
          <cell r="H847" t="str">
            <v>W- water corporation</v>
          </cell>
          <cell r="I847" t="str">
            <v>32699</v>
          </cell>
          <cell r="J847" t="str">
            <v>19920401</v>
          </cell>
          <cell r="K847" t="str">
            <v>116.018154025</v>
          </cell>
          <cell r="L847" t="str">
            <v>-31.874220055</v>
          </cell>
          <cell r="M847" t="str">
            <v>H</v>
          </cell>
          <cell r="N847" t="str">
            <v>91</v>
          </cell>
          <cell r="O847" t="str">
            <v>PATTERSON</v>
          </cell>
          <cell r="P847" t="str">
            <v>DR</v>
          </cell>
          <cell r="R847" t="str">
            <v>MIDDLE SWAN</v>
          </cell>
          <cell r="S847" t="str">
            <v>6056</v>
          </cell>
        </row>
        <row r="848">
          <cell r="B848" t="str">
            <v>S0029006</v>
          </cell>
          <cell r="C848" t="str">
            <v>SPS LLOYD ST STH MIDDLE SWAN</v>
          </cell>
          <cell r="D848" t="str">
            <v>A- actual</v>
          </cell>
          <cell r="E848" t="str">
            <v>PS- pump station</v>
          </cell>
          <cell r="F848" t="str">
            <v>LLOYD ST SOUTH TEMP</v>
          </cell>
          <cell r="H848" t="str">
            <v>W- water corporation</v>
          </cell>
          <cell r="I848" t="str">
            <v>17841</v>
          </cell>
          <cell r="J848" t="str">
            <v>19880208</v>
          </cell>
          <cell r="K848" t="str">
            <v>116.016762792</v>
          </cell>
          <cell r="L848" t="str">
            <v>-31.875624524</v>
          </cell>
          <cell r="M848" t="str">
            <v>H</v>
          </cell>
          <cell r="N848" t="str">
            <v>9</v>
          </cell>
          <cell r="O848" t="str">
            <v>FRANCIS</v>
          </cell>
          <cell r="P848" t="str">
            <v>ST</v>
          </cell>
          <cell r="R848" t="str">
            <v>MIDDLE SWAN</v>
          </cell>
          <cell r="S848" t="str">
            <v>6056</v>
          </cell>
        </row>
        <row r="849">
          <cell r="D849" t="str">
            <v>N- not in use</v>
          </cell>
          <cell r="E849" t="str">
            <v>PS- pump station</v>
          </cell>
          <cell r="F849" t="str">
            <v>MIDLAND TECHNICAL COLLEGE</v>
          </cell>
          <cell r="H849" t="str">
            <v>P- private</v>
          </cell>
          <cell r="J849" t="str">
            <v>19840806</v>
          </cell>
          <cell r="K849" t="str">
            <v>116.019853663</v>
          </cell>
          <cell r="L849" t="str">
            <v>-31.877912</v>
          </cell>
          <cell r="M849" t="str">
            <v>H</v>
          </cell>
          <cell r="N849" t="str">
            <v>172</v>
          </cell>
          <cell r="O849" t="str">
            <v>LLOYD</v>
          </cell>
          <cell r="P849" t="str">
            <v>ST</v>
          </cell>
          <cell r="R849" t="str">
            <v>MIDDLE SWAN</v>
          </cell>
          <cell r="S849" t="str">
            <v>6056</v>
          </cell>
        </row>
        <row r="850">
          <cell r="B850" t="str">
            <v>S0028965</v>
          </cell>
          <cell r="C850" t="str">
            <v>SPS DE GREY RTT JANE BROOK</v>
          </cell>
          <cell r="D850" t="str">
            <v>A- actual</v>
          </cell>
          <cell r="E850" t="str">
            <v>PS- pump station</v>
          </cell>
          <cell r="F850" t="str">
            <v>DE GREY RTT TEMP</v>
          </cell>
          <cell r="H850" t="str">
            <v>W- water corporation</v>
          </cell>
          <cell r="I850" t="str">
            <v>52729</v>
          </cell>
          <cell r="J850" t="str">
            <v>19940101</v>
          </cell>
          <cell r="K850" t="str">
            <v>116.041438671</v>
          </cell>
          <cell r="L850" t="str">
            <v>-31.858809936</v>
          </cell>
          <cell r="M850" t="str">
            <v>L</v>
          </cell>
          <cell r="N850" t="str">
            <v>18</v>
          </cell>
          <cell r="O850" t="str">
            <v>DE GREY</v>
          </cell>
          <cell r="P850" t="str">
            <v>RTT</v>
          </cell>
          <cell r="R850" t="str">
            <v>JANE BROOK</v>
          </cell>
          <cell r="S850" t="str">
            <v>6056</v>
          </cell>
        </row>
        <row r="851">
          <cell r="D851" t="str">
            <v>N- not in use</v>
          </cell>
          <cell r="E851" t="str">
            <v>PS- pump station</v>
          </cell>
          <cell r="F851" t="str">
            <v>VELEDROME</v>
          </cell>
          <cell r="H851" t="str">
            <v>P- private</v>
          </cell>
          <cell r="J851" t="str">
            <v>19960701</v>
          </cell>
          <cell r="K851" t="str">
            <v>116.025128263</v>
          </cell>
          <cell r="L851" t="str">
            <v>-31.8775357451</v>
          </cell>
          <cell r="M851" t="str">
            <v>H</v>
          </cell>
          <cell r="N851" t="str">
            <v>83</v>
          </cell>
          <cell r="O851" t="str">
            <v>EDDIE BARRON</v>
          </cell>
          <cell r="P851" t="str">
            <v>DR</v>
          </cell>
          <cell r="R851" t="str">
            <v>MIDDLE SWAN</v>
          </cell>
          <cell r="S851" t="str">
            <v>6056</v>
          </cell>
        </row>
        <row r="852">
          <cell r="B852" t="str">
            <v>S0028957</v>
          </cell>
          <cell r="C852" t="str">
            <v>SPS CHARLES ST MIDLAND</v>
          </cell>
          <cell r="D852" t="str">
            <v>A- actual</v>
          </cell>
          <cell r="E852" t="str">
            <v>PS- pump station</v>
          </cell>
          <cell r="F852" t="str">
            <v>CHARLES ST</v>
          </cell>
          <cell r="G852" t="str">
            <v>1</v>
          </cell>
          <cell r="H852" t="str">
            <v>W- water corporation</v>
          </cell>
          <cell r="I852" t="str">
            <v>17811</v>
          </cell>
          <cell r="J852" t="str">
            <v>19510101</v>
          </cell>
          <cell r="K852" t="str">
            <v>116.005224081</v>
          </cell>
          <cell r="L852" t="str">
            <v>-31.88303448</v>
          </cell>
          <cell r="M852" t="str">
            <v>H</v>
          </cell>
          <cell r="N852" t="str">
            <v>35</v>
          </cell>
          <cell r="O852" t="str">
            <v>DUDLEY</v>
          </cell>
          <cell r="P852" t="str">
            <v>ST</v>
          </cell>
          <cell r="R852" t="str">
            <v>MIDLAND</v>
          </cell>
          <cell r="S852" t="str">
            <v>6056</v>
          </cell>
        </row>
        <row r="853">
          <cell r="B853" t="str">
            <v>S0028975</v>
          </cell>
          <cell r="C853" t="str">
            <v>SPS ELVIRE ST VIVEASH</v>
          </cell>
          <cell r="D853" t="str">
            <v>A- actual</v>
          </cell>
          <cell r="E853" t="str">
            <v>PS- pump station</v>
          </cell>
          <cell r="F853" t="str">
            <v>ELVIRE ST</v>
          </cell>
          <cell r="H853" t="str">
            <v>W- water corporation</v>
          </cell>
          <cell r="I853" t="str">
            <v>17817</v>
          </cell>
          <cell r="J853" t="str">
            <v>19520612</v>
          </cell>
          <cell r="K853" t="str">
            <v>115.999788249</v>
          </cell>
          <cell r="L853" t="str">
            <v>-31.884468797</v>
          </cell>
          <cell r="M853" t="str">
            <v>L</v>
          </cell>
          <cell r="N853" t="str">
            <v>2</v>
          </cell>
          <cell r="O853" t="str">
            <v>ELVIRE</v>
          </cell>
          <cell r="P853" t="str">
            <v>ST</v>
          </cell>
          <cell r="R853" t="str">
            <v>VIVEASH</v>
          </cell>
          <cell r="S853" t="str">
            <v>6056</v>
          </cell>
        </row>
        <row r="854">
          <cell r="B854" t="str">
            <v>S0030138</v>
          </cell>
          <cell r="C854" t="str">
            <v>SPS HARPER ST WOODBRIDGE</v>
          </cell>
          <cell r="D854" t="str">
            <v>A- actual</v>
          </cell>
          <cell r="E854" t="str">
            <v>PS- pump station</v>
          </cell>
          <cell r="F854" t="str">
            <v>HARPER ST</v>
          </cell>
          <cell r="G854" t="str">
            <v>4</v>
          </cell>
          <cell r="H854" t="str">
            <v>W- water corporation</v>
          </cell>
          <cell r="I854" t="str">
            <v>17813</v>
          </cell>
          <cell r="J854" t="str">
            <v>19630719</v>
          </cell>
          <cell r="K854" t="str">
            <v>115.996985891</v>
          </cell>
          <cell r="L854" t="str">
            <v>-31.886754552</v>
          </cell>
          <cell r="M854" t="str">
            <v>H</v>
          </cell>
          <cell r="N854" t="str">
            <v>43</v>
          </cell>
          <cell r="O854" t="str">
            <v>HARPER</v>
          </cell>
          <cell r="P854" t="str">
            <v>ST</v>
          </cell>
          <cell r="R854" t="str">
            <v>WOODBRIDGE</v>
          </cell>
          <cell r="S854" t="str">
            <v>6056</v>
          </cell>
        </row>
        <row r="855">
          <cell r="D855" t="str">
            <v>N- not in use</v>
          </cell>
          <cell r="E855" t="str">
            <v>PS- pump station</v>
          </cell>
          <cell r="F855" t="str">
            <v>CALNON'S LAUNDRY</v>
          </cell>
          <cell r="H855" t="str">
            <v>P- private</v>
          </cell>
          <cell r="J855" t="str">
            <v>19530324</v>
          </cell>
          <cell r="K855" t="str">
            <v>116.016098685</v>
          </cell>
          <cell r="L855" t="str">
            <v>-31.894250537</v>
          </cell>
          <cell r="M855" t="str">
            <v>H</v>
          </cell>
          <cell r="N855" t="str">
            <v>70</v>
          </cell>
          <cell r="O855" t="str">
            <v>ELGEE</v>
          </cell>
          <cell r="P855" t="str">
            <v>RD</v>
          </cell>
          <cell r="R855" t="str">
            <v>MIDLAND</v>
          </cell>
          <cell r="S855" t="str">
            <v>6056</v>
          </cell>
        </row>
        <row r="856">
          <cell r="B856" t="str">
            <v>S0030152</v>
          </cell>
          <cell r="C856" t="str">
            <v>SPS HOLMESDALE RD WOODBRIDGE</v>
          </cell>
          <cell r="D856" t="str">
            <v>A- actual</v>
          </cell>
          <cell r="E856" t="str">
            <v>PS- pump station</v>
          </cell>
          <cell r="F856" t="str">
            <v>HOLMESDALE RD</v>
          </cell>
          <cell r="G856" t="str">
            <v>3</v>
          </cell>
          <cell r="H856" t="str">
            <v>W- water corporation</v>
          </cell>
          <cell r="I856" t="str">
            <v>17812</v>
          </cell>
          <cell r="J856" t="str">
            <v>19550801</v>
          </cell>
          <cell r="K856" t="str">
            <v>115.991445541</v>
          </cell>
          <cell r="L856" t="str">
            <v>-31.892868567</v>
          </cell>
          <cell r="M856" t="str">
            <v>H</v>
          </cell>
          <cell r="N856" t="str">
            <v>38</v>
          </cell>
          <cell r="O856" t="str">
            <v>HOLMESDALE</v>
          </cell>
          <cell r="P856" t="str">
            <v>RD</v>
          </cell>
          <cell r="R856" t="str">
            <v>WOODBRIDGE</v>
          </cell>
          <cell r="S856" t="str">
            <v>6056</v>
          </cell>
        </row>
        <row r="857">
          <cell r="D857" t="str">
            <v>N- not in use</v>
          </cell>
          <cell r="E857" t="str">
            <v>ES- ejector station</v>
          </cell>
          <cell r="F857" t="str">
            <v>MIDLAND TEMPORARY</v>
          </cell>
          <cell r="H857" t="str">
            <v>W- water corporation</v>
          </cell>
          <cell r="I857" t="str">
            <v>17818</v>
          </cell>
          <cell r="J857" t="str">
            <v>19491101</v>
          </cell>
          <cell r="K857" t="str">
            <v>116.013738364</v>
          </cell>
          <cell r="L857" t="str">
            <v>-31.8805211556</v>
          </cell>
          <cell r="M857" t="str">
            <v>L</v>
          </cell>
          <cell r="N857" t="str">
            <v>361</v>
          </cell>
          <cell r="O857" t="str">
            <v>JOHN</v>
          </cell>
          <cell r="P857" t="str">
            <v>ST</v>
          </cell>
          <cell r="R857" t="str">
            <v>MIDLAND</v>
          </cell>
          <cell r="S857" t="str">
            <v>6056</v>
          </cell>
        </row>
        <row r="858">
          <cell r="B858" t="str">
            <v>S0028985</v>
          </cell>
          <cell r="C858" t="str">
            <v>SPS FLORA ST MIDLAND</v>
          </cell>
          <cell r="D858" t="str">
            <v>A- actual</v>
          </cell>
          <cell r="E858" t="str">
            <v>PS- pump station</v>
          </cell>
          <cell r="F858" t="str">
            <v>FLORA ST MAIN</v>
          </cell>
          <cell r="H858" t="str">
            <v>W- water corporation</v>
          </cell>
          <cell r="I858" t="str">
            <v>17679</v>
          </cell>
          <cell r="J858" t="str">
            <v>19731101</v>
          </cell>
          <cell r="K858" t="str">
            <v>116.005141727</v>
          </cell>
          <cell r="L858" t="str">
            <v>-31.882155347</v>
          </cell>
          <cell r="M858" t="str">
            <v>H</v>
          </cell>
          <cell r="N858" t="str">
            <v>3</v>
          </cell>
          <cell r="O858" t="str">
            <v>FLORA</v>
          </cell>
          <cell r="P858" t="str">
            <v>ST</v>
          </cell>
          <cell r="R858" t="str">
            <v>MIDLAND</v>
          </cell>
          <cell r="S858" t="str">
            <v>6056</v>
          </cell>
        </row>
        <row r="859">
          <cell r="D859" t="str">
            <v>N- not in use</v>
          </cell>
          <cell r="E859" t="str">
            <v>PS- pump station</v>
          </cell>
          <cell r="F859" t="str">
            <v>RIVERBANK BVD TEMP</v>
          </cell>
          <cell r="H859" t="str">
            <v>W- water corporation</v>
          </cell>
          <cell r="I859" t="str">
            <v>52719</v>
          </cell>
          <cell r="J859" t="str">
            <v>19940101</v>
          </cell>
          <cell r="K859" t="str">
            <v>115.987217047</v>
          </cell>
          <cell r="L859" t="str">
            <v>-31.89936909</v>
          </cell>
          <cell r="M859" t="str">
            <v>H</v>
          </cell>
          <cell r="N859" t="str">
            <v>21</v>
          </cell>
          <cell r="O859" t="str">
            <v>RIVER BANK</v>
          </cell>
          <cell r="P859" t="str">
            <v>BVD</v>
          </cell>
          <cell r="R859" t="str">
            <v>SOUTH GUILDFORD</v>
          </cell>
          <cell r="S859" t="str">
            <v>6055</v>
          </cell>
        </row>
        <row r="860">
          <cell r="D860" t="str">
            <v>N- not in use</v>
          </cell>
          <cell r="E860" t="str">
            <v>PS- pump station</v>
          </cell>
          <cell r="F860" t="str">
            <v>MIDLAND MILITARY MARKETS</v>
          </cell>
          <cell r="H860" t="str">
            <v>P- private</v>
          </cell>
          <cell r="J860" t="str">
            <v>19961001</v>
          </cell>
          <cell r="K860" t="str">
            <v>116.017541448</v>
          </cell>
          <cell r="L860" t="str">
            <v>-31.8970671398</v>
          </cell>
          <cell r="M860" t="str">
            <v>H</v>
          </cell>
          <cell r="N860" t="str">
            <v>7</v>
          </cell>
          <cell r="O860" t="str">
            <v>CLAYTON</v>
          </cell>
          <cell r="P860" t="str">
            <v>ST</v>
          </cell>
          <cell r="R860" t="str">
            <v>BELLEVUE</v>
          </cell>
          <cell r="S860" t="str">
            <v>6056</v>
          </cell>
        </row>
        <row r="861">
          <cell r="B861" t="str">
            <v>S0028348</v>
          </cell>
          <cell r="C861" t="str">
            <v>SPS DORIOT WY CARINE</v>
          </cell>
          <cell r="D861" t="str">
            <v>A- actual</v>
          </cell>
          <cell r="E861" t="str">
            <v>PS- pump station</v>
          </cell>
          <cell r="F861" t="str">
            <v>DORIOT WY</v>
          </cell>
          <cell r="G861" t="str">
            <v>032-14</v>
          </cell>
          <cell r="H861" t="str">
            <v>W- water corporation</v>
          </cell>
          <cell r="I861" t="str">
            <v>17802</v>
          </cell>
          <cell r="J861" t="str">
            <v>19780119</v>
          </cell>
          <cell r="K861" t="str">
            <v>115.785155091</v>
          </cell>
          <cell r="L861" t="str">
            <v>-31.8571128299</v>
          </cell>
          <cell r="M861" t="str">
            <v>H</v>
          </cell>
          <cell r="N861" t="str">
            <v>38</v>
          </cell>
          <cell r="O861" t="str">
            <v>DORIOT</v>
          </cell>
          <cell r="P861" t="str">
            <v>WAY</v>
          </cell>
          <cell r="R861" t="str">
            <v>CARINE</v>
          </cell>
          <cell r="S861" t="str">
            <v>6020</v>
          </cell>
        </row>
        <row r="862">
          <cell r="B862" t="str">
            <v>S0028376</v>
          </cell>
          <cell r="C862" t="str">
            <v>SPS DUTTON CR HAMERSLEY</v>
          </cell>
          <cell r="D862" t="str">
            <v>A- actual</v>
          </cell>
          <cell r="E862" t="str">
            <v>PS- pump station</v>
          </cell>
          <cell r="F862" t="str">
            <v>DUTTON CR</v>
          </cell>
          <cell r="G862" t="str">
            <v>032-02</v>
          </cell>
          <cell r="H862" t="str">
            <v>W- water corporation</v>
          </cell>
          <cell r="I862" t="str">
            <v>17790</v>
          </cell>
          <cell r="J862" t="str">
            <v>19700101</v>
          </cell>
          <cell r="K862" t="str">
            <v>115.807022038</v>
          </cell>
          <cell r="L862" t="str">
            <v>-31.855041776</v>
          </cell>
          <cell r="M862" t="str">
            <v>H</v>
          </cell>
          <cell r="N862" t="str">
            <v>80</v>
          </cell>
          <cell r="O862" t="str">
            <v>DUTTON</v>
          </cell>
          <cell r="P862" t="str">
            <v>CR</v>
          </cell>
          <cell r="R862" t="str">
            <v>HAMERSLEY</v>
          </cell>
          <cell r="S862" t="str">
            <v>6022</v>
          </cell>
        </row>
        <row r="863">
          <cell r="B863" t="str">
            <v>S0028710</v>
          </cell>
          <cell r="C863" t="str">
            <v>SPS WHIPPLE ST BALCATTA</v>
          </cell>
          <cell r="D863" t="str">
            <v>A- actual</v>
          </cell>
          <cell r="E863" t="str">
            <v>PS- pump station</v>
          </cell>
          <cell r="F863" t="str">
            <v>WHIPPLE ST</v>
          </cell>
          <cell r="G863" t="str">
            <v>4</v>
          </cell>
          <cell r="H863" t="str">
            <v>W- water corporation</v>
          </cell>
          <cell r="I863" t="str">
            <v>17750</v>
          </cell>
          <cell r="J863" t="str">
            <v>19760323</v>
          </cell>
          <cell r="K863" t="str">
            <v>115.807408521</v>
          </cell>
          <cell r="L863" t="str">
            <v>-31.862548826</v>
          </cell>
          <cell r="M863" t="str">
            <v>H</v>
          </cell>
          <cell r="N863" t="str">
            <v>9</v>
          </cell>
          <cell r="O863" t="str">
            <v>WHIPPLE</v>
          </cell>
          <cell r="P863" t="str">
            <v>ST</v>
          </cell>
          <cell r="R863" t="str">
            <v>BALCATTA</v>
          </cell>
          <cell r="S863" t="str">
            <v>6021</v>
          </cell>
        </row>
        <row r="864">
          <cell r="B864" t="str">
            <v>S0028397</v>
          </cell>
          <cell r="C864" t="str">
            <v>SPS CORANDER GARDENS CARINE</v>
          </cell>
          <cell r="D864" t="str">
            <v>A- actual</v>
          </cell>
          <cell r="E864" t="str">
            <v>PS- pump station</v>
          </cell>
          <cell r="F864" t="str">
            <v>CORANDER GDNS</v>
          </cell>
          <cell r="G864" t="str">
            <v>064-02</v>
          </cell>
          <cell r="H864" t="str">
            <v>W- water corporation</v>
          </cell>
          <cell r="I864" t="str">
            <v>17836</v>
          </cell>
          <cell r="J864" t="str">
            <v>19750507</v>
          </cell>
          <cell r="K864" t="str">
            <v>115.776348106</v>
          </cell>
          <cell r="L864" t="str">
            <v>-31.857654343</v>
          </cell>
          <cell r="M864" t="str">
            <v>H</v>
          </cell>
          <cell r="N864" t="str">
            <v>8</v>
          </cell>
          <cell r="O864" t="str">
            <v>CORANDER</v>
          </cell>
          <cell r="P864" t="str">
            <v>GDNS</v>
          </cell>
          <cell r="R864" t="str">
            <v>CARINE</v>
          </cell>
          <cell r="S864" t="str">
            <v>6020</v>
          </cell>
        </row>
        <row r="865">
          <cell r="B865" t="str">
            <v>S0028288</v>
          </cell>
          <cell r="C865" t="str">
            <v>SPS CARENIUP AV GWELUP</v>
          </cell>
          <cell r="D865" t="str">
            <v>A- actual</v>
          </cell>
          <cell r="E865" t="str">
            <v>PS- pump station</v>
          </cell>
          <cell r="F865" t="str">
            <v>CARENIUP AV</v>
          </cell>
          <cell r="G865" t="str">
            <v>9</v>
          </cell>
          <cell r="H865" t="str">
            <v>W- water corporation</v>
          </cell>
          <cell r="I865" t="str">
            <v>56729</v>
          </cell>
          <cell r="J865" t="str">
            <v>19960101</v>
          </cell>
          <cell r="K865" t="str">
            <v>115.795461103</v>
          </cell>
          <cell r="L865" t="str">
            <v>-31.860875422</v>
          </cell>
          <cell r="M865" t="str">
            <v>H</v>
          </cell>
          <cell r="N865" t="str">
            <v>20</v>
          </cell>
          <cell r="O865" t="str">
            <v>CARENIUP</v>
          </cell>
          <cell r="P865" t="str">
            <v>AV</v>
          </cell>
          <cell r="R865" t="str">
            <v>GWELUP</v>
          </cell>
          <cell r="S865" t="str">
            <v>6018</v>
          </cell>
        </row>
        <row r="866">
          <cell r="D866" t="str">
            <v>P- proposed</v>
          </cell>
          <cell r="E866" t="str">
            <v>PS- pump station</v>
          </cell>
          <cell r="F866" t="str">
            <v>MEATH HOMES</v>
          </cell>
          <cell r="H866" t="str">
            <v>P- private</v>
          </cell>
          <cell r="J866" t="str">
            <v>19931022</v>
          </cell>
          <cell r="K866" t="str">
            <v>115.759334905</v>
          </cell>
          <cell r="L866" t="str">
            <v>-31.8660479752</v>
          </cell>
          <cell r="M866" t="str">
            <v>H</v>
          </cell>
          <cell r="N866" t="str">
            <v>13</v>
          </cell>
          <cell r="O866" t="str">
            <v>ARNOTT</v>
          </cell>
          <cell r="P866" t="str">
            <v>ST</v>
          </cell>
          <cell r="R866" t="str">
            <v>NORTH BEACH</v>
          </cell>
          <cell r="S866" t="str">
            <v>6020</v>
          </cell>
        </row>
        <row r="867">
          <cell r="D867" t="str">
            <v>N- not in use</v>
          </cell>
          <cell r="E867" t="str">
            <v>PS- pump station</v>
          </cell>
          <cell r="F867" t="str">
            <v>SCARBOROUGH TEMPORARY</v>
          </cell>
          <cell r="H867" t="str">
            <v>W- water corporation</v>
          </cell>
          <cell r="I867" t="str">
            <v>17837</v>
          </cell>
          <cell r="J867" t="str">
            <v>19930913</v>
          </cell>
          <cell r="K867" t="str">
            <v>115.780082295</v>
          </cell>
          <cell r="L867" t="str">
            <v>-31.873010116</v>
          </cell>
          <cell r="M867" t="str">
            <v>H</v>
          </cell>
          <cell r="N867" t="str">
            <v>1</v>
          </cell>
          <cell r="O867" t="str">
            <v>FROME</v>
          </cell>
          <cell r="P867" t="str">
            <v>ST</v>
          </cell>
          <cell r="R867" t="str">
            <v>KARRINYUP</v>
          </cell>
          <cell r="S867" t="str">
            <v>6018</v>
          </cell>
        </row>
        <row r="868">
          <cell r="B868" t="str">
            <v>S0030110</v>
          </cell>
          <cell r="C868" t="str">
            <v>SPS CRESSWELL RD DIANELLA</v>
          </cell>
          <cell r="D868" t="str">
            <v>A- actual</v>
          </cell>
          <cell r="E868" t="str">
            <v>PS- pump station</v>
          </cell>
          <cell r="F868" t="str">
            <v>CRESSWELL RD</v>
          </cell>
          <cell r="G868" t="str">
            <v>700-23</v>
          </cell>
          <cell r="H868" t="str">
            <v>W- water corporation</v>
          </cell>
          <cell r="I868" t="str">
            <v>17680</v>
          </cell>
          <cell r="J868" t="str">
            <v>19970415</v>
          </cell>
          <cell r="K868" t="str">
            <v>115.863904089</v>
          </cell>
          <cell r="L868" t="str">
            <v>-31.89960519</v>
          </cell>
          <cell r="M868" t="str">
            <v>H</v>
          </cell>
          <cell r="N868" t="str">
            <v>140</v>
          </cell>
          <cell r="O868" t="str">
            <v>CRESSWELL</v>
          </cell>
          <cell r="P868" t="str">
            <v>RD</v>
          </cell>
          <cell r="R868" t="str">
            <v>DIANELLA</v>
          </cell>
          <cell r="S868" t="str">
            <v>6059</v>
          </cell>
        </row>
        <row r="869">
          <cell r="B869" t="str">
            <v>S0031642</v>
          </cell>
          <cell r="C869" t="str">
            <v>SPS ALBERT ST NORTH PERTH</v>
          </cell>
          <cell r="D869" t="str">
            <v>A- actual</v>
          </cell>
          <cell r="E869" t="str">
            <v>PS- pump station</v>
          </cell>
          <cell r="F869" t="str">
            <v>ALBERT ST</v>
          </cell>
          <cell r="G869" t="str">
            <v>6</v>
          </cell>
          <cell r="H869" t="str">
            <v>W- water corporation</v>
          </cell>
          <cell r="I869" t="str">
            <v>17695</v>
          </cell>
          <cell r="J869" t="str">
            <v>19520101</v>
          </cell>
          <cell r="K869" t="str">
            <v>115.850754826</v>
          </cell>
          <cell r="L869" t="str">
            <v>-31.930042934</v>
          </cell>
          <cell r="M869" t="str">
            <v>H</v>
          </cell>
          <cell r="N869" t="str">
            <v>53</v>
          </cell>
          <cell r="O869" t="str">
            <v>ALBERT</v>
          </cell>
          <cell r="P869" t="str">
            <v>ST</v>
          </cell>
          <cell r="R869" t="str">
            <v>NORTH PERTH</v>
          </cell>
          <cell r="S869" t="str">
            <v>6006</v>
          </cell>
        </row>
        <row r="870">
          <cell r="D870" t="str">
            <v>A- actual</v>
          </cell>
          <cell r="E870" t="str">
            <v>PS- pump station</v>
          </cell>
          <cell r="F870" t="str">
            <v>HYDE PARK TOILETS</v>
          </cell>
          <cell r="H870" t="str">
            <v>P- private</v>
          </cell>
          <cell r="J870" t="str">
            <v>19000101</v>
          </cell>
          <cell r="K870" t="str">
            <v>115.859648036</v>
          </cell>
          <cell r="L870" t="str">
            <v>-31.9370006766</v>
          </cell>
          <cell r="M870" t="str">
            <v>H</v>
          </cell>
          <cell r="N870" t="str">
            <v>17</v>
          </cell>
          <cell r="O870" t="str">
            <v>THROSSELL</v>
          </cell>
          <cell r="P870" t="str">
            <v>ST</v>
          </cell>
          <cell r="R870" t="str">
            <v>PERTH</v>
          </cell>
          <cell r="S870" t="str">
            <v>6000</v>
          </cell>
        </row>
        <row r="871">
          <cell r="B871" t="str">
            <v>S0030071</v>
          </cell>
          <cell r="C871" t="str">
            <v>SPS BRADFORD ST MENORA</v>
          </cell>
          <cell r="D871" t="str">
            <v>A- actual</v>
          </cell>
          <cell r="E871" t="str">
            <v>PS- pump station</v>
          </cell>
          <cell r="F871" t="str">
            <v>BRADFORD ST</v>
          </cell>
          <cell r="G871" t="str">
            <v>049-02</v>
          </cell>
          <cell r="H871" t="str">
            <v>W- water corporation</v>
          </cell>
          <cell r="I871" t="str">
            <v>17684</v>
          </cell>
          <cell r="J871" t="str">
            <v>19360709</v>
          </cell>
          <cell r="K871" t="str">
            <v>115.866188912</v>
          </cell>
          <cell r="L871" t="str">
            <v>-31.9217973786</v>
          </cell>
          <cell r="M871" t="str">
            <v>H</v>
          </cell>
          <cell r="N871" t="str">
            <v>16</v>
          </cell>
          <cell r="O871" t="str">
            <v>FERRAR</v>
          </cell>
          <cell r="P871" t="str">
            <v>ST</v>
          </cell>
          <cell r="R871" t="str">
            <v>MENORA</v>
          </cell>
          <cell r="S871" t="str">
            <v>6050</v>
          </cell>
        </row>
        <row r="872">
          <cell r="D872" t="str">
            <v>A- actual</v>
          </cell>
          <cell r="E872" t="str">
            <v>PS- pump station</v>
          </cell>
          <cell r="F872" t="str">
            <v>DAVID BRAND CENTRE</v>
          </cell>
          <cell r="H872" t="str">
            <v>P- private</v>
          </cell>
          <cell r="J872" t="str">
            <v>19680101</v>
          </cell>
          <cell r="K872" t="str">
            <v>115.857811727</v>
          </cell>
          <cell r="L872" t="str">
            <v>-31.9116570116</v>
          </cell>
          <cell r="M872" t="str">
            <v>H</v>
          </cell>
          <cell r="N872" t="str">
            <v>106</v>
          </cell>
          <cell r="O872" t="str">
            <v>BRADFORD</v>
          </cell>
          <cell r="P872" t="str">
            <v>ST</v>
          </cell>
          <cell r="R872" t="str">
            <v>COOLBINIA</v>
          </cell>
          <cell r="S872" t="str">
            <v>6050</v>
          </cell>
        </row>
        <row r="873">
          <cell r="B873" t="str">
            <v>S0028615</v>
          </cell>
          <cell r="C873" t="str">
            <v>SPS RODGERS ST GREENWOOD</v>
          </cell>
          <cell r="D873" t="str">
            <v>A- actual</v>
          </cell>
          <cell r="E873" t="str">
            <v>PS- pump station</v>
          </cell>
          <cell r="F873" t="str">
            <v>RODGERS ST</v>
          </cell>
          <cell r="G873" t="str">
            <v>052-03</v>
          </cell>
          <cell r="H873" t="str">
            <v>W- water corporation</v>
          </cell>
          <cell r="I873" t="str">
            <v>17821</v>
          </cell>
          <cell r="J873" t="str">
            <v>19741125</v>
          </cell>
          <cell r="K873" t="str">
            <v>115.81688695</v>
          </cell>
          <cell r="L873" t="str">
            <v>-31.832403514</v>
          </cell>
          <cell r="M873" t="str">
            <v>H</v>
          </cell>
          <cell r="N873" t="str">
            <v>15</v>
          </cell>
          <cell r="O873" t="str">
            <v>RODGERS</v>
          </cell>
          <cell r="P873" t="str">
            <v>ST</v>
          </cell>
          <cell r="R873" t="str">
            <v>GREENWOOD</v>
          </cell>
          <cell r="S873" t="str">
            <v>6024</v>
          </cell>
        </row>
        <row r="874">
          <cell r="B874" t="str">
            <v>S0030086</v>
          </cell>
          <cell r="C874" t="str">
            <v>SPS BROOKSIDE GDNS CAVERSHAM</v>
          </cell>
          <cell r="D874" t="str">
            <v>A- actual</v>
          </cell>
          <cell r="E874" t="str">
            <v>PS- pump station</v>
          </cell>
          <cell r="F874" t="str">
            <v>BROOKSIDE GDNS TEMP</v>
          </cell>
          <cell r="H874" t="str">
            <v>W- water corporation</v>
          </cell>
          <cell r="I874" t="str">
            <v>52489</v>
          </cell>
          <cell r="J874" t="str">
            <v>19940101</v>
          </cell>
          <cell r="K874" t="str">
            <v>115.954678086</v>
          </cell>
          <cell r="L874" t="str">
            <v>-31.861662988</v>
          </cell>
          <cell r="M874" t="str">
            <v>L</v>
          </cell>
          <cell r="N874" t="str">
            <v>12444</v>
          </cell>
          <cell r="O874" t="str">
            <v>BROOKSIDE</v>
          </cell>
          <cell r="P874" t="str">
            <v>GDNS</v>
          </cell>
          <cell r="R874" t="str">
            <v>CAVERSHAM</v>
          </cell>
          <cell r="S874" t="str">
            <v>6055</v>
          </cell>
        </row>
        <row r="875">
          <cell r="B875" t="str">
            <v>S0030106</v>
          </cell>
          <cell r="C875" t="str">
            <v>SPS CONIFER PL BEECHBORO</v>
          </cell>
          <cell r="D875" t="str">
            <v>A- actual</v>
          </cell>
          <cell r="E875" t="str">
            <v>PS- pump station</v>
          </cell>
          <cell r="F875" t="str">
            <v>CONIFER PL</v>
          </cell>
          <cell r="G875" t="str">
            <v>5</v>
          </cell>
          <cell r="H875" t="str">
            <v>W- water corporation</v>
          </cell>
          <cell r="I875" t="str">
            <v>33553</v>
          </cell>
          <cell r="J875" t="str">
            <v>19901221</v>
          </cell>
          <cell r="K875" t="str">
            <v>115.922081537</v>
          </cell>
          <cell r="L875" t="str">
            <v>-31.863778165</v>
          </cell>
          <cell r="M875" t="str">
            <v>L</v>
          </cell>
          <cell r="N875" t="str">
            <v>407</v>
          </cell>
          <cell r="O875" t="str">
            <v>CONIFER</v>
          </cell>
          <cell r="P875" t="str">
            <v>PL</v>
          </cell>
          <cell r="R875" t="str">
            <v>BEECHBORO</v>
          </cell>
          <cell r="S875" t="str">
            <v>6063</v>
          </cell>
        </row>
        <row r="876">
          <cell r="D876" t="str">
            <v>A- actual</v>
          </cell>
          <cell r="E876" t="str">
            <v>PS- pump station</v>
          </cell>
          <cell r="F876" t="str">
            <v>PERTH HOLIDAY PARK</v>
          </cell>
          <cell r="H876" t="str">
            <v>P- private</v>
          </cell>
          <cell r="J876" t="str">
            <v>19780712</v>
          </cell>
          <cell r="K876" t="str">
            <v>115.964487007</v>
          </cell>
          <cell r="L876" t="str">
            <v>-31.8772132349</v>
          </cell>
          <cell r="M876" t="str">
            <v>H</v>
          </cell>
          <cell r="N876" t="str">
            <v>91</v>
          </cell>
          <cell r="O876" t="str">
            <v>BENARA</v>
          </cell>
          <cell r="P876" t="str">
            <v>RD</v>
          </cell>
          <cell r="R876" t="str">
            <v>CAVERSHAM</v>
          </cell>
          <cell r="S876" t="str">
            <v>6055</v>
          </cell>
        </row>
        <row r="877">
          <cell r="B877" t="str">
            <v>S0030035</v>
          </cell>
          <cell r="C877" t="str">
            <v>SPS BENARA RD EAST BEECHBORO</v>
          </cell>
          <cell r="D877" t="str">
            <v>A- actual</v>
          </cell>
          <cell r="E877" t="str">
            <v>PS- pump station</v>
          </cell>
          <cell r="F877" t="str">
            <v>BENARA RD EAST</v>
          </cell>
          <cell r="G877" t="str">
            <v>700-05</v>
          </cell>
          <cell r="H877" t="str">
            <v>W- water corporation</v>
          </cell>
          <cell r="J877" t="str">
            <v>19710408</v>
          </cell>
          <cell r="K877" t="str">
            <v>115.952201239</v>
          </cell>
          <cell r="L877" t="str">
            <v>-31.875975711</v>
          </cell>
          <cell r="M877" t="str">
            <v>H</v>
          </cell>
          <cell r="N877" t="str">
            <v>209</v>
          </cell>
          <cell r="O877" t="str">
            <v>BENARA</v>
          </cell>
          <cell r="P877" t="str">
            <v>RD</v>
          </cell>
          <cell r="R877" t="str">
            <v>BEECHBORO</v>
          </cell>
          <cell r="S877" t="str">
            <v>6063</v>
          </cell>
        </row>
        <row r="878">
          <cell r="B878" t="str">
            <v>S0030042</v>
          </cell>
          <cell r="C878" t="str">
            <v>SPS BENARA RD WEST NORANDA</v>
          </cell>
          <cell r="D878" t="str">
            <v>A- actual</v>
          </cell>
          <cell r="E878" t="str">
            <v>PS- pump station</v>
          </cell>
          <cell r="F878" t="str">
            <v>BENARA RD WEST</v>
          </cell>
          <cell r="G878" t="str">
            <v>5</v>
          </cell>
          <cell r="H878" t="str">
            <v>W- water corporation</v>
          </cell>
          <cell r="I878" t="str">
            <v>17826</v>
          </cell>
          <cell r="J878" t="str">
            <v>19801106</v>
          </cell>
          <cell r="K878" t="str">
            <v>115.910030701</v>
          </cell>
          <cell r="L878" t="str">
            <v>-31.876080477</v>
          </cell>
          <cell r="M878" t="str">
            <v>L</v>
          </cell>
          <cell r="N878" t="str">
            <v>480</v>
          </cell>
          <cell r="O878" t="str">
            <v>BENARA</v>
          </cell>
          <cell r="P878" t="str">
            <v>RD</v>
          </cell>
          <cell r="R878" t="str">
            <v>NORANDA</v>
          </cell>
          <cell r="S878" t="str">
            <v>6062</v>
          </cell>
        </row>
        <row r="879">
          <cell r="B879" t="str">
            <v>S0037971</v>
          </cell>
          <cell r="C879" t="str">
            <v>SPS 1 CASSERLEY WAY LANCELIN</v>
          </cell>
          <cell r="D879" t="str">
            <v>A- actual</v>
          </cell>
          <cell r="E879" t="str">
            <v>PS- pump station</v>
          </cell>
          <cell r="F879" t="str">
            <v>CASSERLEY WY</v>
          </cell>
          <cell r="G879" t="str">
            <v>1</v>
          </cell>
          <cell r="H879" t="str">
            <v>W- water corporation</v>
          </cell>
          <cell r="J879" t="str">
            <v>19890101</v>
          </cell>
          <cell r="K879" t="str">
            <v>115.33524034</v>
          </cell>
          <cell r="L879" t="str">
            <v>-31.027191112</v>
          </cell>
          <cell r="M879" t="str">
            <v>H</v>
          </cell>
          <cell r="N879" t="str">
            <v>29</v>
          </cell>
          <cell r="O879" t="str">
            <v>CASSERLEY</v>
          </cell>
          <cell r="P879" t="str">
            <v>WAY</v>
          </cell>
          <cell r="R879" t="str">
            <v>LANCELIN</v>
          </cell>
          <cell r="S879" t="str">
            <v>6044</v>
          </cell>
        </row>
        <row r="880">
          <cell r="D880" t="str">
            <v>A- actual</v>
          </cell>
          <cell r="E880" t="str">
            <v>PS- pump station</v>
          </cell>
          <cell r="F880" t="str">
            <v>ROEBOURNE HOSPITAL</v>
          </cell>
          <cell r="H880" t="str">
            <v>P- private</v>
          </cell>
          <cell r="J880" t="str">
            <v>19960222</v>
          </cell>
          <cell r="K880" t="str">
            <v>117.144023296</v>
          </cell>
          <cell r="L880" t="str">
            <v>-20.776338426</v>
          </cell>
          <cell r="M880" t="str">
            <v>H</v>
          </cell>
          <cell r="N880" t="str">
            <v>51</v>
          </cell>
          <cell r="O880" t="str">
            <v>HAMPTON</v>
          </cell>
          <cell r="P880" t="str">
            <v>ST</v>
          </cell>
          <cell r="R880" t="str">
            <v>ROEBOURNE</v>
          </cell>
          <cell r="S880" t="str">
            <v>6718</v>
          </cell>
        </row>
        <row r="881">
          <cell r="D881" t="str">
            <v>A- actual</v>
          </cell>
          <cell r="E881" t="str">
            <v>PS- pump station</v>
          </cell>
          <cell r="F881" t="str">
            <v>YAANDINA</v>
          </cell>
          <cell r="H881" t="str">
            <v>P- private</v>
          </cell>
          <cell r="J881" t="str">
            <v>19800825</v>
          </cell>
          <cell r="K881" t="str">
            <v>117.14286321</v>
          </cell>
          <cell r="L881" t="str">
            <v>-20.77633443</v>
          </cell>
          <cell r="M881" t="str">
            <v>H</v>
          </cell>
          <cell r="N881" t="str">
            <v>54</v>
          </cell>
          <cell r="O881" t="str">
            <v>HAMPTON</v>
          </cell>
          <cell r="P881" t="str">
            <v>ST</v>
          </cell>
          <cell r="R881" t="str">
            <v>ROEBOURNE</v>
          </cell>
          <cell r="S881" t="str">
            <v>6718</v>
          </cell>
        </row>
        <row r="882">
          <cell r="B882" t="str">
            <v>S0030235</v>
          </cell>
          <cell r="C882" t="str">
            <v>VPS WILKIE ST SOUTH GUILDFORD</v>
          </cell>
          <cell r="D882" t="str">
            <v>A- actual</v>
          </cell>
          <cell r="E882" t="str">
            <v>PS- pump station</v>
          </cell>
          <cell r="F882" t="str">
            <v>WILKIE ST</v>
          </cell>
          <cell r="G882" t="str">
            <v>1</v>
          </cell>
          <cell r="H882" t="str">
            <v>W- water corporation</v>
          </cell>
          <cell r="I882" t="str">
            <v>71691</v>
          </cell>
          <cell r="J882" t="str">
            <v>19970128</v>
          </cell>
          <cell r="K882" t="str">
            <v>115.965203055</v>
          </cell>
          <cell r="L882" t="str">
            <v>-31.9078137212</v>
          </cell>
          <cell r="M882" t="str">
            <v>H</v>
          </cell>
          <cell r="N882" t="str">
            <v>1</v>
          </cell>
          <cell r="O882" t="str">
            <v>WILKIE</v>
          </cell>
          <cell r="P882" t="str">
            <v>ST</v>
          </cell>
          <cell r="R882" t="str">
            <v>SOUTH GUILDFORD</v>
          </cell>
          <cell r="S882" t="str">
            <v>6055</v>
          </cell>
        </row>
        <row r="883">
          <cell r="D883" t="str">
            <v>N- not in use</v>
          </cell>
          <cell r="E883" t="str">
            <v>PS- pump station</v>
          </cell>
          <cell r="F883" t="str">
            <v>EAST ROCKINGHAM</v>
          </cell>
          <cell r="G883" t="str">
            <v>3</v>
          </cell>
          <cell r="H883" t="str">
            <v>W- water corporation</v>
          </cell>
          <cell r="I883" t="str">
            <v>68557</v>
          </cell>
          <cell r="J883" t="str">
            <v>19700101</v>
          </cell>
          <cell r="K883" t="str">
            <v>115.7596546</v>
          </cell>
          <cell r="L883" t="str">
            <v>-32.25149706</v>
          </cell>
          <cell r="M883" t="str">
            <v>L</v>
          </cell>
          <cell r="N883" t="str">
            <v>8001</v>
          </cell>
          <cell r="O883" t="str">
            <v>PATTERSON</v>
          </cell>
          <cell r="P883" t="str">
            <v>RD</v>
          </cell>
          <cell r="R883" t="str">
            <v>EAST ROCKINGHAM</v>
          </cell>
          <cell r="S883" t="str">
            <v>6168</v>
          </cell>
        </row>
        <row r="884">
          <cell r="B884" t="str">
            <v>S0033140</v>
          </cell>
          <cell r="C884" t="str">
            <v>SPS WYNDHAM ST ST JAMES</v>
          </cell>
          <cell r="D884" t="str">
            <v>A- actual</v>
          </cell>
          <cell r="E884" t="str">
            <v>PS- pump station</v>
          </cell>
          <cell r="F884" t="str">
            <v>WYNDHAM ST</v>
          </cell>
          <cell r="G884" t="str">
            <v>17</v>
          </cell>
          <cell r="H884" t="str">
            <v>W- water corporation</v>
          </cell>
          <cell r="I884" t="str">
            <v>69951</v>
          </cell>
          <cell r="J884" t="str">
            <v>19961203</v>
          </cell>
          <cell r="K884" t="str">
            <v>115.910715317</v>
          </cell>
          <cell r="L884" t="str">
            <v>-31.9975897661</v>
          </cell>
          <cell r="M884" t="str">
            <v>H</v>
          </cell>
          <cell r="N884" t="str">
            <v>33</v>
          </cell>
          <cell r="O884" t="str">
            <v>WYNDHAM</v>
          </cell>
          <cell r="P884" t="str">
            <v>ST</v>
          </cell>
          <cell r="R884" t="str">
            <v>ST JAMES</v>
          </cell>
          <cell r="S884" t="str">
            <v>6102</v>
          </cell>
        </row>
        <row r="885">
          <cell r="D885" t="str">
            <v>A- actual</v>
          </cell>
          <cell r="E885" t="str">
            <v>PS- pump station</v>
          </cell>
          <cell r="F885" t="str">
            <v>LOT 232 KING EDWARD RD</v>
          </cell>
          <cell r="H885" t="str">
            <v>P- private</v>
          </cell>
          <cell r="J885" t="str">
            <v>19961121</v>
          </cell>
          <cell r="K885" t="str">
            <v>115.809585507</v>
          </cell>
          <cell r="L885" t="str">
            <v>-31.900522814</v>
          </cell>
          <cell r="M885" t="str">
            <v>H</v>
          </cell>
          <cell r="N885" t="str">
            <v>40</v>
          </cell>
          <cell r="O885" t="str">
            <v>KING EDWARD</v>
          </cell>
          <cell r="P885" t="str">
            <v>RD</v>
          </cell>
          <cell r="R885" t="str">
            <v>OSBORNE PARK</v>
          </cell>
          <cell r="S885" t="str">
            <v>6017</v>
          </cell>
        </row>
        <row r="886">
          <cell r="B886" t="str">
            <v>S0030266</v>
          </cell>
          <cell r="C886" t="str">
            <v>SPS BERTRAM RD BERTRAM</v>
          </cell>
          <cell r="D886" t="str">
            <v>A- actual</v>
          </cell>
          <cell r="E886" t="str">
            <v>PS- pump station</v>
          </cell>
          <cell r="F886" t="str">
            <v>BERTRAM RD</v>
          </cell>
          <cell r="G886" t="str">
            <v>6</v>
          </cell>
          <cell r="H886" t="str">
            <v>W- water corporation</v>
          </cell>
          <cell r="I886" t="str">
            <v>40452</v>
          </cell>
          <cell r="J886" t="str">
            <v>19890821</v>
          </cell>
          <cell r="K886" t="str">
            <v>115.835060066</v>
          </cell>
          <cell r="L886" t="str">
            <v>-32.25142273</v>
          </cell>
          <cell r="M886" t="str">
            <v>H</v>
          </cell>
          <cell r="N886" t="str">
            <v>61</v>
          </cell>
          <cell r="O886" t="str">
            <v>BERTRAM</v>
          </cell>
          <cell r="P886" t="str">
            <v>RD</v>
          </cell>
          <cell r="R886" t="str">
            <v>BERTRAM</v>
          </cell>
          <cell r="S886" t="str">
            <v>6167</v>
          </cell>
        </row>
        <row r="887">
          <cell r="B887" t="str">
            <v>S0044669</v>
          </cell>
          <cell r="C887" t="str">
            <v>SPS HARPER ST HARVEY</v>
          </cell>
          <cell r="D887" t="str">
            <v>A- actual</v>
          </cell>
          <cell r="E887" t="str">
            <v>PS- pump station</v>
          </cell>
          <cell r="F887" t="str">
            <v>HARPER ST</v>
          </cell>
          <cell r="G887" t="str">
            <v>5</v>
          </cell>
          <cell r="H887" t="str">
            <v>W- water corporation</v>
          </cell>
          <cell r="I887" t="str">
            <v>70592</v>
          </cell>
          <cell r="J887" t="str">
            <v>19961214</v>
          </cell>
          <cell r="K887" t="str">
            <v>115.898993904</v>
          </cell>
          <cell r="L887" t="str">
            <v>-33.078116728</v>
          </cell>
          <cell r="M887" t="str">
            <v>H</v>
          </cell>
          <cell r="N887" t="str">
            <v>30</v>
          </cell>
          <cell r="O887" t="str">
            <v>HARPER</v>
          </cell>
          <cell r="P887" t="str">
            <v>ST</v>
          </cell>
          <cell r="R887" t="str">
            <v>HARVEY</v>
          </cell>
          <cell r="S887" t="str">
            <v>6220</v>
          </cell>
        </row>
        <row r="888">
          <cell r="B888" t="str">
            <v>S0022241</v>
          </cell>
          <cell r="C888" t="str">
            <v>SPS ROWLEY ST ALBANY</v>
          </cell>
          <cell r="D888" t="str">
            <v>A- actual</v>
          </cell>
          <cell r="E888" t="str">
            <v>PS- pump station</v>
          </cell>
          <cell r="F888" t="str">
            <v>ROWLEY ST</v>
          </cell>
          <cell r="G888" t="str">
            <v>18</v>
          </cell>
          <cell r="H888" t="str">
            <v>W- water corporation</v>
          </cell>
          <cell r="I888" t="str">
            <v>70668</v>
          </cell>
          <cell r="J888" t="str">
            <v>19960917</v>
          </cell>
          <cell r="K888" t="str">
            <v>117.887443774</v>
          </cell>
          <cell r="L888" t="str">
            <v>-35.02225821</v>
          </cell>
          <cell r="M888" t="str">
            <v>H</v>
          </cell>
          <cell r="N888" t="str">
            <v>48</v>
          </cell>
          <cell r="O888" t="str">
            <v>ROWLEY</v>
          </cell>
          <cell r="P888" t="str">
            <v>ST</v>
          </cell>
          <cell r="R888" t="str">
            <v>ALBANY</v>
          </cell>
          <cell r="S888" t="str">
            <v>6330</v>
          </cell>
        </row>
        <row r="889">
          <cell r="D889" t="str">
            <v>A- actual</v>
          </cell>
          <cell r="E889" t="str">
            <v>PS- pump station</v>
          </cell>
          <cell r="F889" t="str">
            <v>LOT 828 WENDOURIE RD</v>
          </cell>
          <cell r="H889" t="str">
            <v>P- private</v>
          </cell>
          <cell r="J889" t="str">
            <v>19970522</v>
          </cell>
          <cell r="K889" t="str">
            <v>115.899330601</v>
          </cell>
          <cell r="L889" t="str">
            <v>-32.0162467633</v>
          </cell>
          <cell r="M889" t="str">
            <v>H</v>
          </cell>
          <cell r="N889" t="str">
            <v>1</v>
          </cell>
          <cell r="O889" t="str">
            <v>EGRETTA</v>
          </cell>
          <cell r="P889" t="str">
            <v>DR</v>
          </cell>
          <cell r="R889" t="str">
            <v>WATERFORD</v>
          </cell>
          <cell r="S889" t="str">
            <v>6152</v>
          </cell>
        </row>
        <row r="890">
          <cell r="B890" t="str">
            <v>S0044928</v>
          </cell>
          <cell r="C890" t="str">
            <v>SPS SPINEBILL RMBL MARGARET RIVER</v>
          </cell>
          <cell r="D890" t="str">
            <v>N- not in use</v>
          </cell>
          <cell r="E890" t="str">
            <v>PS- pump station</v>
          </cell>
          <cell r="F890" t="str">
            <v>SPINEBILL RMBL</v>
          </cell>
          <cell r="H890" t="str">
            <v>W- water corporation</v>
          </cell>
          <cell r="J890" t="str">
            <v>19960101</v>
          </cell>
          <cell r="K890" t="str">
            <v>115.0853345</v>
          </cell>
          <cell r="L890" t="str">
            <v>-33.95811186</v>
          </cell>
          <cell r="M890" t="str">
            <v>H</v>
          </cell>
          <cell r="N890" t="str">
            <v>26</v>
          </cell>
          <cell r="O890" t="str">
            <v>SPINEBILL</v>
          </cell>
          <cell r="P890" t="str">
            <v>RMBL</v>
          </cell>
          <cell r="R890" t="str">
            <v>MARGARET RIVER</v>
          </cell>
          <cell r="S890" t="str">
            <v>6285</v>
          </cell>
        </row>
        <row r="891">
          <cell r="B891" t="str">
            <v>S0030049</v>
          </cell>
          <cell r="C891" t="str">
            <v>SPS BENNETT ST CAVERSHAM</v>
          </cell>
          <cell r="D891" t="str">
            <v>D- dead</v>
          </cell>
          <cell r="E891" t="str">
            <v>PS- pump station</v>
          </cell>
          <cell r="F891" t="str">
            <v>BENNETT ST TEMP</v>
          </cell>
          <cell r="H891" t="str">
            <v>W- water corporation</v>
          </cell>
          <cell r="I891" t="str">
            <v>66872</v>
          </cell>
          <cell r="J891" t="str">
            <v>19970320</v>
          </cell>
          <cell r="K891" t="str">
            <v>115.959633302</v>
          </cell>
          <cell r="L891" t="str">
            <v>-31.871247892</v>
          </cell>
          <cell r="M891" t="str">
            <v>H</v>
          </cell>
          <cell r="N891" t="str">
            <v>49</v>
          </cell>
          <cell r="O891" t="str">
            <v>BENNETT</v>
          </cell>
          <cell r="P891" t="str">
            <v>ST</v>
          </cell>
          <cell r="R891" t="str">
            <v>CAVERSHAM</v>
          </cell>
          <cell r="S891" t="str">
            <v>6055</v>
          </cell>
        </row>
        <row r="892">
          <cell r="B892" t="str">
            <v>S0030319</v>
          </cell>
          <cell r="C892" t="str">
            <v>SPS HARTUNG ST MUNDARING</v>
          </cell>
          <cell r="D892" t="str">
            <v>A- actual</v>
          </cell>
          <cell r="E892" t="str">
            <v>PS- pump station</v>
          </cell>
          <cell r="F892" t="str">
            <v>HARTUNG ST INTERIM</v>
          </cell>
          <cell r="H892" t="str">
            <v>W- water corporation</v>
          </cell>
          <cell r="I892" t="str">
            <v>66884</v>
          </cell>
          <cell r="J892" t="str">
            <v>19961216</v>
          </cell>
          <cell r="K892" t="str">
            <v>116.167642316</v>
          </cell>
          <cell r="L892" t="str">
            <v>-31.900047055</v>
          </cell>
          <cell r="M892" t="str">
            <v>H</v>
          </cell>
          <cell r="N892" t="str">
            <v>37</v>
          </cell>
          <cell r="O892" t="str">
            <v>HARTUNG</v>
          </cell>
          <cell r="P892" t="str">
            <v>ST</v>
          </cell>
          <cell r="R892" t="str">
            <v>MUNDARING</v>
          </cell>
          <cell r="S892" t="str">
            <v>6073</v>
          </cell>
        </row>
        <row r="893">
          <cell r="D893" t="str">
            <v>A- actual</v>
          </cell>
          <cell r="E893" t="str">
            <v>PS- pump station</v>
          </cell>
          <cell r="F893" t="str">
            <v>EDEN CARAVAN PARK</v>
          </cell>
          <cell r="H893" t="str">
            <v>P- private</v>
          </cell>
          <cell r="J893" t="str">
            <v>19970701</v>
          </cell>
          <cell r="K893" t="str">
            <v>122.211193764</v>
          </cell>
          <cell r="L893" t="str">
            <v>-17.98485591</v>
          </cell>
          <cell r="M893" t="str">
            <v>H</v>
          </cell>
          <cell r="N893" t="str">
            <v>225</v>
          </cell>
          <cell r="O893" t="str">
            <v>PORT</v>
          </cell>
          <cell r="P893" t="str">
            <v>DR</v>
          </cell>
          <cell r="R893" t="str">
            <v>MINYIRR</v>
          </cell>
          <cell r="S893" t="str">
            <v>6725</v>
          </cell>
        </row>
        <row r="894">
          <cell r="B894" t="str">
            <v>S0044740</v>
          </cell>
          <cell r="C894" t="str">
            <v>SPS MURDOCH DR GREENFIELDS</v>
          </cell>
          <cell r="D894" t="str">
            <v>A- actual</v>
          </cell>
          <cell r="E894" t="str">
            <v>PS- pump station</v>
          </cell>
          <cell r="F894" t="str">
            <v>MURDOCH DR</v>
          </cell>
          <cell r="G894" t="str">
            <v>22</v>
          </cell>
          <cell r="H894" t="str">
            <v>W- water corporation</v>
          </cell>
          <cell r="J894" t="str">
            <v>19970128</v>
          </cell>
          <cell r="K894" t="str">
            <v>115.75402488</v>
          </cell>
          <cell r="L894" t="str">
            <v>-32.530885812</v>
          </cell>
          <cell r="M894" t="str">
            <v>H</v>
          </cell>
          <cell r="N894" t="str">
            <v>65</v>
          </cell>
          <cell r="O894" t="str">
            <v>MURDOCH</v>
          </cell>
          <cell r="P894" t="str">
            <v>DR</v>
          </cell>
          <cell r="R894" t="str">
            <v>GREENFIELDS</v>
          </cell>
          <cell r="S894" t="str">
            <v>6210</v>
          </cell>
        </row>
        <row r="895">
          <cell r="B895" t="str">
            <v>S0045007</v>
          </cell>
          <cell r="C895" t="str">
            <v>SPS QUEEN PDE WANNANUP</v>
          </cell>
          <cell r="D895" t="str">
            <v>A- actual</v>
          </cell>
          <cell r="E895" t="str">
            <v>PS- pump station</v>
          </cell>
          <cell r="F895" t="str">
            <v>QUEEN PDE WWPS</v>
          </cell>
          <cell r="G895" t="str">
            <v>3</v>
          </cell>
          <cell r="H895" t="str">
            <v>W- water corporation</v>
          </cell>
          <cell r="I895" t="str">
            <v>52890</v>
          </cell>
          <cell r="J895" t="str">
            <v>19961219</v>
          </cell>
          <cell r="K895" t="str">
            <v>115.64788502</v>
          </cell>
          <cell r="L895" t="str">
            <v>-32.602350357</v>
          </cell>
          <cell r="M895" t="str">
            <v>L</v>
          </cell>
          <cell r="N895" t="str">
            <v>259</v>
          </cell>
          <cell r="O895" t="str">
            <v>QUEEN</v>
          </cell>
          <cell r="P895" t="str">
            <v>PDE</v>
          </cell>
          <cell r="R895" t="str">
            <v>WANNANUP</v>
          </cell>
          <cell r="S895" t="str">
            <v>6210</v>
          </cell>
        </row>
        <row r="896">
          <cell r="B896" t="str">
            <v>S0037755</v>
          </cell>
          <cell r="C896" t="str">
            <v>SPS CHAPMAN RD RD BERESFORD</v>
          </cell>
          <cell r="D896" t="str">
            <v>A- actual</v>
          </cell>
          <cell r="E896" t="str">
            <v>PS- pump station</v>
          </cell>
          <cell r="F896" t="str">
            <v>CHAPMAN RD</v>
          </cell>
          <cell r="H896" t="str">
            <v>W- water corporation</v>
          </cell>
          <cell r="I896" t="str">
            <v>68883</v>
          </cell>
          <cell r="J896" t="str">
            <v>19970201</v>
          </cell>
          <cell r="K896" t="str">
            <v>114.6158735</v>
          </cell>
          <cell r="L896" t="str">
            <v>-28.76332727</v>
          </cell>
          <cell r="M896" t="str">
            <v>H</v>
          </cell>
          <cell r="N896" t="str">
            <v>17</v>
          </cell>
          <cell r="O896" t="str">
            <v>FLOUR</v>
          </cell>
          <cell r="P896" t="str">
            <v>KEY</v>
          </cell>
          <cell r="R896" t="str">
            <v>BERESFORD</v>
          </cell>
          <cell r="S896" t="str">
            <v>6530</v>
          </cell>
        </row>
        <row r="897">
          <cell r="D897" t="str">
            <v>A- actual</v>
          </cell>
          <cell r="E897" t="str">
            <v>PS- pump station</v>
          </cell>
          <cell r="F897" t="str">
            <v>SEATON CATHOLIC COLLEDGE</v>
          </cell>
          <cell r="H897" t="str">
            <v>P- private</v>
          </cell>
          <cell r="J897" t="str">
            <v>19931101</v>
          </cell>
          <cell r="K897" t="str">
            <v>115.79337056</v>
          </cell>
          <cell r="L897" t="str">
            <v>-32.072695311</v>
          </cell>
          <cell r="M897" t="str">
            <v>H</v>
          </cell>
          <cell r="N897" t="str">
            <v>26</v>
          </cell>
          <cell r="O897" t="str">
            <v>MARCHANT</v>
          </cell>
          <cell r="P897" t="str">
            <v>RD</v>
          </cell>
          <cell r="R897" t="str">
            <v>SAMSON</v>
          </cell>
          <cell r="S897" t="str">
            <v>6163</v>
          </cell>
        </row>
        <row r="898">
          <cell r="D898" t="str">
            <v>A- actual</v>
          </cell>
          <cell r="E898" t="str">
            <v>PS- pump station</v>
          </cell>
          <cell r="F898" t="str">
            <v>RED SANDS TAVERN</v>
          </cell>
          <cell r="H898" t="str">
            <v>P- private</v>
          </cell>
          <cell r="J898" t="str">
            <v>19970801</v>
          </cell>
          <cell r="K898" t="str">
            <v>119.74034897</v>
          </cell>
          <cell r="L898" t="str">
            <v>-23.35247899</v>
          </cell>
          <cell r="M898" t="str">
            <v>L</v>
          </cell>
          <cell r="N898" t="str">
            <v>22</v>
          </cell>
          <cell r="O898" t="str">
            <v>NEWMAN</v>
          </cell>
          <cell r="P898" t="str">
            <v>DR</v>
          </cell>
          <cell r="R898" t="str">
            <v>NEWMAN</v>
          </cell>
          <cell r="S898" t="str">
            <v>6753</v>
          </cell>
        </row>
        <row r="899">
          <cell r="D899" t="str">
            <v>A- actual</v>
          </cell>
          <cell r="E899" t="str">
            <v>PS- pump station</v>
          </cell>
          <cell r="F899" t="str">
            <v>OSPREY VILLAGE</v>
          </cell>
          <cell r="H899" t="str">
            <v>P- private</v>
          </cell>
          <cell r="J899" t="str">
            <v>19970227</v>
          </cell>
          <cell r="K899" t="str">
            <v>114.127542592</v>
          </cell>
          <cell r="L899" t="str">
            <v>-21.9291706496</v>
          </cell>
          <cell r="M899" t="str">
            <v>H</v>
          </cell>
          <cell r="N899" t="str">
            <v>570</v>
          </cell>
          <cell r="O899" t="str">
            <v>MURAT</v>
          </cell>
          <cell r="P899" t="str">
            <v>RD</v>
          </cell>
          <cell r="R899" t="str">
            <v>EXMOUTH</v>
          </cell>
          <cell r="S899" t="str">
            <v>6707</v>
          </cell>
        </row>
        <row r="900">
          <cell r="B900" t="str">
            <v>S0022255</v>
          </cell>
          <cell r="C900" t="str">
            <v>SPS WARRANGOO RD BAYONET HEAD</v>
          </cell>
          <cell r="D900" t="str">
            <v>A- actual</v>
          </cell>
          <cell r="E900" t="str">
            <v>PS- pump station</v>
          </cell>
          <cell r="F900" t="str">
            <v>WARRANGOO RD</v>
          </cell>
          <cell r="G900" t="str">
            <v>1</v>
          </cell>
          <cell r="H900" t="str">
            <v>W- water corporation</v>
          </cell>
          <cell r="I900" t="str">
            <v>70618</v>
          </cell>
          <cell r="J900" t="str">
            <v>19951123</v>
          </cell>
          <cell r="K900" t="str">
            <v>117.93167618</v>
          </cell>
          <cell r="L900" t="str">
            <v>-34.9830631795</v>
          </cell>
          <cell r="M900" t="str">
            <v>H</v>
          </cell>
          <cell r="N900" t="str">
            <v>63</v>
          </cell>
          <cell r="O900" t="str">
            <v>WARRANGOO</v>
          </cell>
          <cell r="P900" t="str">
            <v>RD</v>
          </cell>
          <cell r="R900" t="str">
            <v>BAYONET HEAD</v>
          </cell>
          <cell r="S900" t="str">
            <v>6330</v>
          </cell>
        </row>
        <row r="901">
          <cell r="B901" t="str">
            <v>S0015173</v>
          </cell>
          <cell r="C901" t="str">
            <v>SPS 10 NORTH RD ESPERANCE</v>
          </cell>
          <cell r="D901" t="str">
            <v>A- actual</v>
          </cell>
          <cell r="E901" t="str">
            <v>PS- pump station</v>
          </cell>
          <cell r="F901" t="str">
            <v>NORTH RD</v>
          </cell>
          <cell r="G901" t="str">
            <v>10</v>
          </cell>
          <cell r="H901" t="str">
            <v>W- water corporation</v>
          </cell>
          <cell r="J901" t="str">
            <v>19950411</v>
          </cell>
          <cell r="K901" t="str">
            <v>121.904710827</v>
          </cell>
          <cell r="L901" t="str">
            <v>-33.832910255</v>
          </cell>
          <cell r="M901" t="str">
            <v>L</v>
          </cell>
          <cell r="N901" t="str">
            <v>41</v>
          </cell>
          <cell r="O901" t="str">
            <v>NORTH</v>
          </cell>
          <cell r="P901" t="str">
            <v>RD</v>
          </cell>
          <cell r="R901" t="str">
            <v>CASTLETOWN</v>
          </cell>
          <cell r="S901" t="str">
            <v>6450</v>
          </cell>
        </row>
        <row r="902">
          <cell r="B902" t="str">
            <v>S0030349</v>
          </cell>
          <cell r="C902" t="str">
            <v>SPS TRANBY DR BALDIVIS</v>
          </cell>
          <cell r="D902" t="str">
            <v>A- actual</v>
          </cell>
          <cell r="E902" t="str">
            <v>PS- pump station</v>
          </cell>
          <cell r="F902" t="str">
            <v>TRANBY DR</v>
          </cell>
          <cell r="G902" t="str">
            <v>2</v>
          </cell>
          <cell r="H902" t="str">
            <v>W- water corporation</v>
          </cell>
          <cell r="I902" t="str">
            <v>68558</v>
          </cell>
          <cell r="J902" t="str">
            <v>19970913</v>
          </cell>
          <cell r="K902" t="str">
            <v>115.798528052</v>
          </cell>
          <cell r="L902" t="str">
            <v>-32.3439224519</v>
          </cell>
          <cell r="M902" t="str">
            <v>H</v>
          </cell>
          <cell r="N902" t="str">
            <v>11</v>
          </cell>
          <cell r="O902" t="str">
            <v>TUOMEY</v>
          </cell>
          <cell r="P902" t="str">
            <v>FOLW</v>
          </cell>
          <cell r="R902" t="str">
            <v>BALDIVIS</v>
          </cell>
          <cell r="S902" t="str">
            <v>6171</v>
          </cell>
        </row>
        <row r="903">
          <cell r="B903" t="str">
            <v>S0028674</v>
          </cell>
          <cell r="C903" t="str">
            <v>SPS VICTORIA RD EAST MALAGA</v>
          </cell>
          <cell r="D903" t="str">
            <v>A- actual</v>
          </cell>
          <cell r="E903" t="str">
            <v>PS- pump station</v>
          </cell>
          <cell r="F903" t="str">
            <v>VICTORIA RD EAST</v>
          </cell>
          <cell r="G903" t="str">
            <v>4</v>
          </cell>
          <cell r="H903" t="str">
            <v>W- water corporation</v>
          </cell>
          <cell r="I903" t="str">
            <v>74600</v>
          </cell>
          <cell r="J903" t="str">
            <v>19970718</v>
          </cell>
          <cell r="K903" t="str">
            <v>115.900874277</v>
          </cell>
          <cell r="L903" t="str">
            <v>-31.861210379</v>
          </cell>
          <cell r="M903" t="str">
            <v>L</v>
          </cell>
          <cell r="N903" t="str">
            <v>12810</v>
          </cell>
          <cell r="O903" t="str">
            <v>VICTORIA</v>
          </cell>
          <cell r="P903" t="str">
            <v>RD</v>
          </cell>
          <cell r="R903" t="str">
            <v>MALAGA</v>
          </cell>
          <cell r="S903" t="str">
            <v>6090</v>
          </cell>
        </row>
        <row r="904">
          <cell r="B904" t="str">
            <v>S0045082</v>
          </cell>
          <cell r="C904" t="str">
            <v>VPS YUNDERUP RD SOUTH YUNDERUP</v>
          </cell>
          <cell r="D904" t="str">
            <v>A- actual</v>
          </cell>
          <cell r="E904" t="str">
            <v>PS- pump station</v>
          </cell>
          <cell r="F904" t="str">
            <v>YUNDERUP RD</v>
          </cell>
          <cell r="G904" t="str">
            <v>10</v>
          </cell>
          <cell r="H904" t="str">
            <v>W- water corporation</v>
          </cell>
          <cell r="I904" t="str">
            <v>57046</v>
          </cell>
          <cell r="J904" t="str">
            <v>19971222</v>
          </cell>
          <cell r="K904" t="str">
            <v>115.790131523</v>
          </cell>
          <cell r="L904" t="str">
            <v>-32.582929494</v>
          </cell>
          <cell r="M904" t="str">
            <v>H</v>
          </cell>
          <cell r="N904" t="str">
            <v>26</v>
          </cell>
          <cell r="O904" t="str">
            <v>YUNDERUP</v>
          </cell>
          <cell r="P904" t="str">
            <v>RD</v>
          </cell>
          <cell r="R904" t="str">
            <v>SOUTH YUNDERUP</v>
          </cell>
          <cell r="S904" t="str">
            <v>6208</v>
          </cell>
        </row>
        <row r="905">
          <cell r="D905" t="str">
            <v>A- actual</v>
          </cell>
          <cell r="E905" t="str">
            <v>PS- pump station</v>
          </cell>
          <cell r="F905" t="str">
            <v>L101 MILLS RD</v>
          </cell>
          <cell r="H905" t="str">
            <v>P- private</v>
          </cell>
          <cell r="J905" t="str">
            <v>19700101</v>
          </cell>
          <cell r="K905" t="str">
            <v>116.005992461</v>
          </cell>
          <cell r="L905" t="str">
            <v>-32.0682982655</v>
          </cell>
          <cell r="M905" t="str">
            <v>H</v>
          </cell>
          <cell r="N905" t="str">
            <v>79</v>
          </cell>
          <cell r="O905" t="str">
            <v>MILLS</v>
          </cell>
          <cell r="P905" t="str">
            <v>RD</v>
          </cell>
          <cell r="Q905" t="str">
            <v>W</v>
          </cell>
          <cell r="R905" t="str">
            <v>GOSNELLS</v>
          </cell>
          <cell r="S905" t="str">
            <v>6110</v>
          </cell>
        </row>
        <row r="906">
          <cell r="B906" t="str">
            <v>S0044085</v>
          </cell>
          <cell r="C906" t="str">
            <v>SPS GIBBONS RD DAVENPORT</v>
          </cell>
          <cell r="D906" t="str">
            <v>A- actual</v>
          </cell>
          <cell r="E906" t="str">
            <v>PS- pump station</v>
          </cell>
          <cell r="F906" t="str">
            <v>GIBBONS RD</v>
          </cell>
          <cell r="G906" t="str">
            <v>32</v>
          </cell>
          <cell r="H906" t="str">
            <v>W- water corporation</v>
          </cell>
          <cell r="I906" t="str">
            <v>81500</v>
          </cell>
          <cell r="J906" t="str">
            <v>19971208</v>
          </cell>
          <cell r="K906" t="str">
            <v>115.672982167</v>
          </cell>
          <cell r="L906" t="str">
            <v>-33.359273542</v>
          </cell>
          <cell r="M906" t="str">
            <v>H</v>
          </cell>
          <cell r="N906" t="str">
            <v>2</v>
          </cell>
          <cell r="O906" t="str">
            <v>GIBBONS</v>
          </cell>
          <cell r="P906" t="str">
            <v>RD</v>
          </cell>
          <cell r="R906" t="str">
            <v>DAVENPORT</v>
          </cell>
          <cell r="S906" t="str">
            <v>6230</v>
          </cell>
        </row>
        <row r="907">
          <cell r="D907" t="str">
            <v>N- not in use</v>
          </cell>
          <cell r="E907" t="str">
            <v>PS- pump station</v>
          </cell>
          <cell r="F907" t="str">
            <v>HAMILTON ST TEMPORARY</v>
          </cell>
          <cell r="H907" t="str">
            <v>W- water corporation</v>
          </cell>
          <cell r="I907" t="str">
            <v>17754</v>
          </cell>
          <cell r="J907" t="str">
            <v>19700101</v>
          </cell>
          <cell r="K907" t="str">
            <v>115.819907562</v>
          </cell>
          <cell r="L907" t="str">
            <v>-31.8948975846</v>
          </cell>
          <cell r="M907" t="str">
            <v>H</v>
          </cell>
          <cell r="N907" t="str">
            <v>93</v>
          </cell>
          <cell r="O907" t="str">
            <v>HAMILTON</v>
          </cell>
          <cell r="P907" t="str">
            <v>ST</v>
          </cell>
          <cell r="R907" t="str">
            <v>STIRLING</v>
          </cell>
          <cell r="S907" t="str">
            <v>6021</v>
          </cell>
        </row>
        <row r="908">
          <cell r="D908" t="str">
            <v>A- actual</v>
          </cell>
          <cell r="E908" t="str">
            <v>PS- pump station</v>
          </cell>
          <cell r="F908" t="str">
            <v>L87 STOCKDALE RD</v>
          </cell>
          <cell r="H908" t="str">
            <v>P- private</v>
          </cell>
          <cell r="J908" t="str">
            <v>19990305</v>
          </cell>
          <cell r="K908" t="str">
            <v>115.790711247</v>
          </cell>
          <cell r="L908" t="str">
            <v>-32.0604200198</v>
          </cell>
          <cell r="M908" t="str">
            <v>H</v>
          </cell>
          <cell r="N908" t="str">
            <v>13</v>
          </cell>
          <cell r="O908" t="str">
            <v>PEEL</v>
          </cell>
          <cell r="P908" t="str">
            <v>RD</v>
          </cell>
          <cell r="R908" t="str">
            <v>O'CONNOR</v>
          </cell>
          <cell r="S908" t="str">
            <v>6163</v>
          </cell>
        </row>
        <row r="909">
          <cell r="D909" t="str">
            <v>A- actual</v>
          </cell>
          <cell r="E909" t="str">
            <v>PS- pump station</v>
          </cell>
          <cell r="F909" t="str">
            <v>CARAVAN VILLAGE</v>
          </cell>
          <cell r="H909" t="str">
            <v>P- private</v>
          </cell>
          <cell r="J909" t="str">
            <v>19970730</v>
          </cell>
          <cell r="K909" t="str">
            <v>116.014147892</v>
          </cell>
          <cell r="L909" t="str">
            <v>-32.0865334131</v>
          </cell>
          <cell r="M909" t="str">
            <v>H</v>
          </cell>
          <cell r="N909" t="str">
            <v>2462</v>
          </cell>
          <cell r="O909" t="str">
            <v>ALBANY</v>
          </cell>
          <cell r="P909" t="str">
            <v>HWY</v>
          </cell>
          <cell r="R909" t="str">
            <v>GOSNELLS</v>
          </cell>
          <cell r="S909" t="str">
            <v>6110</v>
          </cell>
        </row>
        <row r="910">
          <cell r="D910" t="str">
            <v>A- actual</v>
          </cell>
          <cell r="E910" t="str">
            <v>PS- pump station</v>
          </cell>
          <cell r="F910" t="str">
            <v>ROEBOURNE POLICE STATION</v>
          </cell>
          <cell r="H910" t="str">
            <v>P- private</v>
          </cell>
          <cell r="J910" t="str">
            <v>19971202</v>
          </cell>
          <cell r="K910" t="str">
            <v>117.144594158</v>
          </cell>
          <cell r="L910" t="str">
            <v>-20.7779673261</v>
          </cell>
          <cell r="M910" t="str">
            <v>H</v>
          </cell>
          <cell r="N910" t="str">
            <v>785</v>
          </cell>
          <cell r="O910" t="str">
            <v>QUEEN</v>
          </cell>
          <cell r="P910" t="str">
            <v>ST</v>
          </cell>
          <cell r="R910" t="str">
            <v>ROEBOURNE</v>
          </cell>
          <cell r="S910" t="str">
            <v>6718</v>
          </cell>
        </row>
        <row r="911">
          <cell r="D911" t="str">
            <v>A- actual</v>
          </cell>
          <cell r="E911" t="str">
            <v>PS- pump station</v>
          </cell>
          <cell r="F911" t="str">
            <v>MASONIC HOMES</v>
          </cell>
          <cell r="H911" t="str">
            <v>P- private</v>
          </cell>
          <cell r="J911" t="str">
            <v>19970501</v>
          </cell>
          <cell r="K911" t="str">
            <v>118.610871351</v>
          </cell>
          <cell r="L911" t="str">
            <v>-20.3094561155</v>
          </cell>
          <cell r="M911" t="str">
            <v>L</v>
          </cell>
          <cell r="N911" t="str">
            <v>5915</v>
          </cell>
          <cell r="O911" t="str">
            <v>MCGREGOR</v>
          </cell>
          <cell r="P911" t="str">
            <v>ST</v>
          </cell>
          <cell r="R911" t="str">
            <v>PORT HEDLAND</v>
          </cell>
          <cell r="S911" t="str">
            <v>6721</v>
          </cell>
        </row>
        <row r="912">
          <cell r="D912" t="str">
            <v>A- actual</v>
          </cell>
          <cell r="E912" t="str">
            <v>PS- pump station</v>
          </cell>
          <cell r="F912" t="str">
            <v>PORT HEDLAND HOSPITAL</v>
          </cell>
          <cell r="H912" t="str">
            <v>P- private</v>
          </cell>
          <cell r="J912" t="str">
            <v>19780524</v>
          </cell>
          <cell r="K912" t="str">
            <v>118.590867122</v>
          </cell>
          <cell r="L912" t="str">
            <v>-20.311078984</v>
          </cell>
          <cell r="M912" t="str">
            <v>H</v>
          </cell>
          <cell r="N912" t="str">
            <v>84</v>
          </cell>
          <cell r="O912" t="str">
            <v>MORGANS</v>
          </cell>
          <cell r="P912" t="str">
            <v>ST</v>
          </cell>
          <cell r="R912" t="str">
            <v>PORT HEDLAND</v>
          </cell>
          <cell r="S912" t="str">
            <v>6721</v>
          </cell>
        </row>
        <row r="913">
          <cell r="D913" t="str">
            <v>A- actual</v>
          </cell>
          <cell r="E913" t="str">
            <v>PS- pump station</v>
          </cell>
          <cell r="F913" t="str">
            <v>BOULEVARD SHOPPING CENTRE</v>
          </cell>
          <cell r="H913" t="str">
            <v>P- private</v>
          </cell>
          <cell r="J913" t="str">
            <v>19870601</v>
          </cell>
          <cell r="K913" t="str">
            <v>118.608640181</v>
          </cell>
          <cell r="L913" t="str">
            <v>-20.311051117</v>
          </cell>
          <cell r="M913" t="str">
            <v>L</v>
          </cell>
          <cell r="N913" t="str">
            <v>5828</v>
          </cell>
          <cell r="O913" t="str">
            <v>ANDERSON</v>
          </cell>
          <cell r="P913" t="str">
            <v>ST</v>
          </cell>
          <cell r="R913" t="str">
            <v>PORT HEDLAND</v>
          </cell>
          <cell r="S913" t="str">
            <v>6721</v>
          </cell>
        </row>
        <row r="914">
          <cell r="D914" t="str">
            <v>A- actual</v>
          </cell>
          <cell r="E914" t="str">
            <v>PS- pump station</v>
          </cell>
          <cell r="F914" t="str">
            <v>SHELL ROADHOUSE</v>
          </cell>
          <cell r="H914" t="str">
            <v>P- private</v>
          </cell>
          <cell r="J914" t="str">
            <v>19760427</v>
          </cell>
          <cell r="K914" t="str">
            <v>118.606253716</v>
          </cell>
          <cell r="L914" t="str">
            <v>-20.3114033668</v>
          </cell>
          <cell r="M914" t="str">
            <v>L</v>
          </cell>
          <cell r="N914" t="str">
            <v>2065</v>
          </cell>
          <cell r="O914" t="str">
            <v>WILSON</v>
          </cell>
          <cell r="P914" t="str">
            <v>ST</v>
          </cell>
          <cell r="R914" t="str">
            <v>PORT HEDLAND</v>
          </cell>
          <cell r="S914" t="str">
            <v>6721</v>
          </cell>
        </row>
        <row r="915">
          <cell r="D915" t="str">
            <v>A- actual</v>
          </cell>
          <cell r="E915" t="str">
            <v>PS- pump station</v>
          </cell>
          <cell r="F915" t="str">
            <v>JUNJUWA</v>
          </cell>
          <cell r="H915" t="str">
            <v>P- private</v>
          </cell>
          <cell r="J915" t="str">
            <v>19971010</v>
          </cell>
          <cell r="K915" t="str">
            <v>125.565917047</v>
          </cell>
          <cell r="L915" t="str">
            <v>-18.1786323055</v>
          </cell>
          <cell r="M915" t="str">
            <v>H</v>
          </cell>
          <cell r="N915" t="str">
            <v>2</v>
          </cell>
          <cell r="O915" t="str">
            <v>SCRIVENER</v>
          </cell>
          <cell r="P915" t="str">
            <v>RD</v>
          </cell>
          <cell r="R915" t="str">
            <v>FITZROY CROSSING</v>
          </cell>
          <cell r="S915" t="str">
            <v>6765</v>
          </cell>
        </row>
        <row r="916">
          <cell r="B916" t="str">
            <v>S0028437</v>
          </cell>
          <cell r="C916" t="str">
            <v>SPS GRENVILLE ST TUART HILL</v>
          </cell>
          <cell r="D916" t="str">
            <v>A- actual</v>
          </cell>
          <cell r="E916" t="str">
            <v>PS- pump station</v>
          </cell>
          <cell r="F916" t="str">
            <v>GRENVILLE ST</v>
          </cell>
          <cell r="G916" t="str">
            <v>4</v>
          </cell>
          <cell r="H916" t="str">
            <v>W- water corporation</v>
          </cell>
          <cell r="I916" t="str">
            <v>49853</v>
          </cell>
          <cell r="J916" t="str">
            <v>19941101</v>
          </cell>
          <cell r="K916" t="str">
            <v>115.841426915</v>
          </cell>
          <cell r="L916" t="str">
            <v>-31.9029455515</v>
          </cell>
          <cell r="M916" t="str">
            <v>H</v>
          </cell>
          <cell r="N916" t="str">
            <v>41</v>
          </cell>
          <cell r="O916" t="str">
            <v>GRENVILLE</v>
          </cell>
          <cell r="P916" t="str">
            <v>ST</v>
          </cell>
          <cell r="R916" t="str">
            <v>TUART HILL</v>
          </cell>
          <cell r="S916" t="str">
            <v>6060</v>
          </cell>
        </row>
        <row r="917">
          <cell r="D917" t="str">
            <v>A- actual</v>
          </cell>
          <cell r="E917" t="str">
            <v>PS- pump station</v>
          </cell>
          <cell r="F917" t="str">
            <v>BUNBURY CAR WASH</v>
          </cell>
          <cell r="H917" t="str">
            <v>P- private</v>
          </cell>
          <cell r="J917" t="str">
            <v>19971125</v>
          </cell>
          <cell r="K917" t="str">
            <v>115.648054573</v>
          </cell>
          <cell r="L917" t="str">
            <v>-33.339157607</v>
          </cell>
          <cell r="M917" t="str">
            <v>L</v>
          </cell>
          <cell r="N917" t="str">
            <v>25</v>
          </cell>
          <cell r="O917" t="str">
            <v>BLAIR</v>
          </cell>
          <cell r="P917" t="str">
            <v>ST</v>
          </cell>
          <cell r="R917" t="str">
            <v>SOUTH BUNBURY</v>
          </cell>
          <cell r="S917" t="str">
            <v>6230</v>
          </cell>
        </row>
        <row r="918">
          <cell r="D918" t="str">
            <v>A- actual</v>
          </cell>
          <cell r="E918" t="str">
            <v>PS- pump station</v>
          </cell>
          <cell r="F918" t="str">
            <v>LOT 270 GT EASTERN HWY</v>
          </cell>
          <cell r="H918" t="str">
            <v>P- private</v>
          </cell>
          <cell r="J918" t="str">
            <v>19971222</v>
          </cell>
          <cell r="K918" t="str">
            <v>116.02064941</v>
          </cell>
          <cell r="L918" t="str">
            <v>-31.893453903</v>
          </cell>
          <cell r="M918" t="str">
            <v>H</v>
          </cell>
          <cell r="N918" t="str">
            <v>167</v>
          </cell>
          <cell r="O918" t="str">
            <v>GREAT EASTERN</v>
          </cell>
          <cell r="P918" t="str">
            <v>HWY</v>
          </cell>
          <cell r="R918" t="str">
            <v>BELLEVUE</v>
          </cell>
          <cell r="S918" t="str">
            <v>6056</v>
          </cell>
        </row>
        <row r="919">
          <cell r="B919" t="str">
            <v>S0032970</v>
          </cell>
          <cell r="C919" t="str">
            <v>SPS DUBS CL FORRESTFIELD</v>
          </cell>
          <cell r="D919" t="str">
            <v>A- actual</v>
          </cell>
          <cell r="E919" t="str">
            <v>PS- pump station</v>
          </cell>
          <cell r="F919" t="str">
            <v>DUBS CL</v>
          </cell>
          <cell r="G919" t="str">
            <v>1</v>
          </cell>
          <cell r="H919" t="str">
            <v>W- water corporation</v>
          </cell>
          <cell r="I919" t="str">
            <v>84604</v>
          </cell>
          <cell r="J919" t="str">
            <v>19980109</v>
          </cell>
          <cell r="K919" t="str">
            <v>115.98319663</v>
          </cell>
          <cell r="L919" t="str">
            <v>-31.968705051</v>
          </cell>
          <cell r="M919" t="str">
            <v>H</v>
          </cell>
          <cell r="N919" t="str">
            <v>21</v>
          </cell>
          <cell r="O919" t="str">
            <v>DUBS</v>
          </cell>
          <cell r="P919" t="str">
            <v>CL</v>
          </cell>
          <cell r="R919" t="str">
            <v>FORRESTFIELD</v>
          </cell>
          <cell r="S919" t="str">
            <v>6058</v>
          </cell>
        </row>
        <row r="920">
          <cell r="B920" t="str">
            <v>S0027301</v>
          </cell>
          <cell r="C920" t="str">
            <v>SPS OHRID PL JOONDALUP</v>
          </cell>
          <cell r="D920" t="str">
            <v>A- actual</v>
          </cell>
          <cell r="E920" t="str">
            <v>PS- pump station</v>
          </cell>
          <cell r="F920" t="str">
            <v>OHRID PL</v>
          </cell>
          <cell r="G920" t="str">
            <v>6</v>
          </cell>
          <cell r="H920" t="str">
            <v>W- water corporation</v>
          </cell>
          <cell r="I920" t="str">
            <v>71690</v>
          </cell>
          <cell r="J920" t="str">
            <v>19971217</v>
          </cell>
          <cell r="K920" t="str">
            <v>115.769881996</v>
          </cell>
          <cell r="L920" t="str">
            <v>-31.718473463</v>
          </cell>
          <cell r="M920" t="str">
            <v>H</v>
          </cell>
          <cell r="N920" t="str">
            <v>24</v>
          </cell>
          <cell r="O920" t="str">
            <v>OHRID</v>
          </cell>
          <cell r="P920" t="str">
            <v>PL</v>
          </cell>
          <cell r="R920" t="str">
            <v>JOONDALUP</v>
          </cell>
          <cell r="S920" t="str">
            <v>6027</v>
          </cell>
        </row>
        <row r="921">
          <cell r="D921" t="str">
            <v>A- actual</v>
          </cell>
          <cell r="E921" t="str">
            <v>PS- pump station</v>
          </cell>
          <cell r="F921" t="str">
            <v>LOT 232 MCDONALD ST</v>
          </cell>
          <cell r="H921" t="str">
            <v>P- private</v>
          </cell>
          <cell r="J921" t="str">
            <v>19980225</v>
          </cell>
          <cell r="K921" t="str">
            <v>115.82879155</v>
          </cell>
          <cell r="L921" t="str">
            <v>-31.9061916</v>
          </cell>
          <cell r="M921" t="str">
            <v>H</v>
          </cell>
          <cell r="N921" t="str">
            <v>92</v>
          </cell>
          <cell r="O921" t="str">
            <v>MCDONALD</v>
          </cell>
          <cell r="P921" t="str">
            <v>ST</v>
          </cell>
          <cell r="R921" t="str">
            <v>OSBORNE PARK</v>
          </cell>
          <cell r="S921" t="str">
            <v>6017</v>
          </cell>
        </row>
        <row r="922">
          <cell r="D922" t="str">
            <v>A- actual</v>
          </cell>
          <cell r="E922" t="str">
            <v>PS- pump station</v>
          </cell>
          <cell r="F922" t="str">
            <v>PARK HOME LEISURE VILLAGE</v>
          </cell>
          <cell r="H922" t="str">
            <v>P- private</v>
          </cell>
          <cell r="J922" t="str">
            <v>19980319</v>
          </cell>
          <cell r="K922" t="str">
            <v>115.761687447</v>
          </cell>
          <cell r="L922" t="str">
            <v>-32.541520673</v>
          </cell>
          <cell r="M922" t="str">
            <v>H</v>
          </cell>
          <cell r="N922" t="str">
            <v>445</v>
          </cell>
          <cell r="O922" t="str">
            <v>PINJARRA</v>
          </cell>
          <cell r="P922" t="str">
            <v>RD</v>
          </cell>
          <cell r="R922" t="str">
            <v>COODANUP</v>
          </cell>
          <cell r="S922" t="str">
            <v>6210</v>
          </cell>
        </row>
        <row r="923">
          <cell r="B923" t="str">
            <v>S0033061</v>
          </cell>
          <cell r="C923" t="str">
            <v>SPS PACKER ST BECKENHAM</v>
          </cell>
          <cell r="D923" t="str">
            <v>A- actual</v>
          </cell>
          <cell r="E923" t="str">
            <v>PS- pump station</v>
          </cell>
          <cell r="F923" t="str">
            <v>PACKER ST</v>
          </cell>
          <cell r="G923" t="str">
            <v>7</v>
          </cell>
          <cell r="H923" t="str">
            <v>W- water corporation</v>
          </cell>
          <cell r="I923" t="str">
            <v>87760</v>
          </cell>
          <cell r="J923" t="str">
            <v>19981028</v>
          </cell>
          <cell r="K923" t="str">
            <v>115.946794336</v>
          </cell>
          <cell r="L923" t="str">
            <v>-32.028463077</v>
          </cell>
          <cell r="M923" t="str">
            <v>H</v>
          </cell>
          <cell r="N923" t="str">
            <v>10</v>
          </cell>
          <cell r="O923" t="str">
            <v>HIGHBURY</v>
          </cell>
          <cell r="P923" t="str">
            <v>CR</v>
          </cell>
          <cell r="R923" t="str">
            <v>BECKENHAM</v>
          </cell>
          <cell r="S923" t="str">
            <v>6107</v>
          </cell>
        </row>
        <row r="924">
          <cell r="D924" t="str">
            <v>A- actual</v>
          </cell>
          <cell r="E924" t="str">
            <v>PS- pump station</v>
          </cell>
          <cell r="F924" t="str">
            <v>LOT 52 ALICE ST</v>
          </cell>
          <cell r="H924" t="str">
            <v>P- private</v>
          </cell>
          <cell r="J924" t="str">
            <v>19980409</v>
          </cell>
          <cell r="K924" t="str">
            <v>115.930852253</v>
          </cell>
          <cell r="L924" t="str">
            <v>-31.9077584942</v>
          </cell>
          <cell r="M924" t="str">
            <v>H</v>
          </cell>
          <cell r="N924" t="str">
            <v>8</v>
          </cell>
          <cell r="O924" t="str">
            <v>ALICE</v>
          </cell>
          <cell r="P924" t="str">
            <v>ST</v>
          </cell>
          <cell r="R924" t="str">
            <v>BASSENDEAN</v>
          </cell>
          <cell r="S924" t="str">
            <v>6054</v>
          </cell>
        </row>
        <row r="925">
          <cell r="B925" t="str">
            <v>S0030173</v>
          </cell>
          <cell r="C925" t="str">
            <v>SPS KATANNING ST BAYSWATER</v>
          </cell>
          <cell r="D925" t="str">
            <v>A- actual</v>
          </cell>
          <cell r="E925" t="str">
            <v>PS- pump station</v>
          </cell>
          <cell r="F925" t="str">
            <v>KATANNING ST</v>
          </cell>
          <cell r="G925" t="str">
            <v>6</v>
          </cell>
          <cell r="H925" t="str">
            <v>W- water corporation</v>
          </cell>
          <cell r="I925" t="str">
            <v>88302</v>
          </cell>
          <cell r="J925" t="str">
            <v>19980408</v>
          </cell>
          <cell r="K925" t="str">
            <v>115.936998828</v>
          </cell>
          <cell r="L925" t="str">
            <v>-31.925809743</v>
          </cell>
          <cell r="M925" t="str">
            <v>H</v>
          </cell>
          <cell r="N925" t="str">
            <v>84</v>
          </cell>
          <cell r="O925" t="str">
            <v>KATANNING</v>
          </cell>
          <cell r="P925" t="str">
            <v>ST</v>
          </cell>
          <cell r="R925" t="str">
            <v>BAYSWATER</v>
          </cell>
          <cell r="S925" t="str">
            <v>6053</v>
          </cell>
        </row>
        <row r="926">
          <cell r="D926" t="str">
            <v>A- actual</v>
          </cell>
          <cell r="E926" t="str">
            <v>PS- pump station</v>
          </cell>
          <cell r="F926" t="str">
            <v>LOT 17 CALEDONIAN AVE</v>
          </cell>
          <cell r="H926" t="str">
            <v>P- private</v>
          </cell>
          <cell r="J926" t="str">
            <v>19980416</v>
          </cell>
          <cell r="K926" t="str">
            <v>115.906005496</v>
          </cell>
          <cell r="L926" t="str">
            <v>-31.935774259</v>
          </cell>
          <cell r="M926" t="str">
            <v>H</v>
          </cell>
          <cell r="N926" t="str">
            <v>8</v>
          </cell>
          <cell r="O926" t="str">
            <v>CALEDONIAN</v>
          </cell>
          <cell r="P926" t="str">
            <v>AV</v>
          </cell>
          <cell r="R926" t="str">
            <v>MAYLANDS</v>
          </cell>
          <cell r="S926" t="str">
            <v>6051</v>
          </cell>
        </row>
        <row r="927">
          <cell r="D927" t="str">
            <v>A- actual</v>
          </cell>
          <cell r="E927" t="str">
            <v>PS- pump station</v>
          </cell>
          <cell r="F927" t="str">
            <v>LOTS 37 &amp; 8 PINJARRA RD</v>
          </cell>
          <cell r="H927" t="str">
            <v>P- private</v>
          </cell>
          <cell r="J927" t="str">
            <v>19980331</v>
          </cell>
          <cell r="K927" t="str">
            <v>115.732214482</v>
          </cell>
          <cell r="L927" t="str">
            <v>-32.535861037</v>
          </cell>
          <cell r="M927" t="str">
            <v>H</v>
          </cell>
          <cell r="N927" t="str">
            <v>22</v>
          </cell>
          <cell r="O927" t="str">
            <v>ANSTRUTHER</v>
          </cell>
          <cell r="P927" t="str">
            <v>RD</v>
          </cell>
          <cell r="R927" t="str">
            <v>MANDURAH</v>
          </cell>
          <cell r="S927" t="str">
            <v>6210</v>
          </cell>
        </row>
        <row r="928">
          <cell r="B928" t="str">
            <v>S0045003</v>
          </cell>
          <cell r="C928" t="str">
            <v>SPS MELROS BEACH RD DAWESVILLE</v>
          </cell>
          <cell r="D928" t="str">
            <v>A- actual</v>
          </cell>
          <cell r="E928" t="str">
            <v>PS- pump station</v>
          </cell>
          <cell r="F928" t="str">
            <v>MELROS BEACH RD</v>
          </cell>
          <cell r="G928" t="str">
            <v>6</v>
          </cell>
          <cell r="H928" t="str">
            <v>W- water corporation</v>
          </cell>
          <cell r="J928" t="str">
            <v>19980515</v>
          </cell>
          <cell r="K928" t="str">
            <v>115.622116405</v>
          </cell>
          <cell r="L928" t="str">
            <v>-32.63537408</v>
          </cell>
          <cell r="M928" t="str">
            <v>H</v>
          </cell>
          <cell r="N928" t="str">
            <v>25</v>
          </cell>
          <cell r="O928" t="str">
            <v>MELROS BEACH</v>
          </cell>
          <cell r="P928" t="str">
            <v>RD</v>
          </cell>
          <cell r="R928" t="str">
            <v>DAWESVILLE</v>
          </cell>
          <cell r="S928" t="str">
            <v>6211</v>
          </cell>
        </row>
        <row r="929">
          <cell r="D929" t="str">
            <v>A- actual</v>
          </cell>
          <cell r="E929" t="str">
            <v>PS- pump station</v>
          </cell>
          <cell r="F929" t="str">
            <v>L9 GNANGARA RD</v>
          </cell>
          <cell r="H929" t="str">
            <v>P- private</v>
          </cell>
          <cell r="J929" t="str">
            <v>19900814</v>
          </cell>
          <cell r="K929" t="str">
            <v>115.848433704</v>
          </cell>
          <cell r="L929" t="str">
            <v>-31.7983613464</v>
          </cell>
          <cell r="M929" t="str">
            <v>H</v>
          </cell>
          <cell r="N929" t="str">
            <v>286</v>
          </cell>
          <cell r="O929" t="str">
            <v>GNANGARA</v>
          </cell>
          <cell r="P929" t="str">
            <v>RD</v>
          </cell>
          <cell r="R929" t="str">
            <v>LANDSDALE</v>
          </cell>
          <cell r="S929" t="str">
            <v>6065</v>
          </cell>
        </row>
        <row r="930">
          <cell r="B930" t="str">
            <v>S0045059</v>
          </cell>
          <cell r="C930" t="str">
            <v>SPS MURRAY WATERS BVD SOUTH YUNDERUP</v>
          </cell>
          <cell r="D930" t="str">
            <v>A- actual</v>
          </cell>
          <cell r="E930" t="str">
            <v>PS- pump station</v>
          </cell>
          <cell r="F930" t="str">
            <v>MURRAY WATERS BVD WWPS</v>
          </cell>
          <cell r="G930" t="str">
            <v>11</v>
          </cell>
          <cell r="H930" t="str">
            <v>W- water corporation</v>
          </cell>
          <cell r="J930" t="str">
            <v>19980216</v>
          </cell>
          <cell r="K930" t="str">
            <v>115.780907036</v>
          </cell>
          <cell r="L930" t="str">
            <v>-32.589409611</v>
          </cell>
          <cell r="M930" t="str">
            <v>H</v>
          </cell>
          <cell r="N930" t="str">
            <v>45</v>
          </cell>
          <cell r="O930" t="str">
            <v>MURRAY WATERS</v>
          </cell>
          <cell r="P930" t="str">
            <v>BVD</v>
          </cell>
          <cell r="R930" t="str">
            <v>SOUTH YUNDERUP</v>
          </cell>
          <cell r="S930" t="str">
            <v>6208</v>
          </cell>
        </row>
        <row r="931">
          <cell r="D931" t="str">
            <v>A- actual</v>
          </cell>
          <cell r="E931" t="str">
            <v>PS- pump station</v>
          </cell>
          <cell r="F931" t="str">
            <v>L103 CARBON CT</v>
          </cell>
          <cell r="H931" t="str">
            <v>P- private</v>
          </cell>
          <cell r="J931" t="str">
            <v>19980409</v>
          </cell>
          <cell r="K931" t="str">
            <v>115.805017637</v>
          </cell>
          <cell r="L931" t="str">
            <v>-31.900143581</v>
          </cell>
          <cell r="M931" t="str">
            <v>H</v>
          </cell>
          <cell r="N931" t="str">
            <v>28</v>
          </cell>
          <cell r="O931" t="str">
            <v>CARBON</v>
          </cell>
          <cell r="P931" t="str">
            <v>CT</v>
          </cell>
          <cell r="R931" t="str">
            <v>OSBORNE PARK</v>
          </cell>
          <cell r="S931" t="str">
            <v>6017</v>
          </cell>
        </row>
        <row r="932">
          <cell r="B932" t="str">
            <v>S0022339</v>
          </cell>
          <cell r="C932" t="str">
            <v>SPS FIRTH ST EMU POINT</v>
          </cell>
          <cell r="D932" t="str">
            <v>A- actual</v>
          </cell>
          <cell r="E932" t="str">
            <v>PS- pump station</v>
          </cell>
          <cell r="F932" t="str">
            <v>FIRTH ST</v>
          </cell>
          <cell r="G932" t="str">
            <v>2</v>
          </cell>
          <cell r="H932" t="str">
            <v>W- water corporation</v>
          </cell>
          <cell r="I932" t="str">
            <v>70666</v>
          </cell>
          <cell r="J932" t="str">
            <v>19970825</v>
          </cell>
          <cell r="K932" t="str">
            <v>117.941685356</v>
          </cell>
          <cell r="L932" t="str">
            <v>-34.9998682586</v>
          </cell>
          <cell r="M932" t="str">
            <v>H</v>
          </cell>
          <cell r="N932" t="str">
            <v>8</v>
          </cell>
          <cell r="O932" t="str">
            <v>MEDCALF</v>
          </cell>
          <cell r="P932" t="str">
            <v>PDE</v>
          </cell>
          <cell r="R932" t="str">
            <v>EMU POINT</v>
          </cell>
          <cell r="S932" t="str">
            <v>6330</v>
          </cell>
        </row>
        <row r="933">
          <cell r="D933" t="str">
            <v>A- actual</v>
          </cell>
          <cell r="E933" t="str">
            <v>PS- pump station</v>
          </cell>
          <cell r="F933" t="str">
            <v>LOT 182 WEST COAST HWY</v>
          </cell>
          <cell r="H933" t="str">
            <v>P- private</v>
          </cell>
          <cell r="J933" t="str">
            <v>19980520</v>
          </cell>
          <cell r="K933" t="str">
            <v>115.758857877</v>
          </cell>
          <cell r="L933" t="str">
            <v>-31.9003569685</v>
          </cell>
          <cell r="M933" t="str">
            <v>H</v>
          </cell>
          <cell r="N933" t="str">
            <v>282</v>
          </cell>
          <cell r="O933" t="str">
            <v>WEST COAST</v>
          </cell>
          <cell r="P933" t="str">
            <v>HWY</v>
          </cell>
          <cell r="R933" t="str">
            <v>SCARBOROUGH</v>
          </cell>
          <cell r="S933" t="str">
            <v>6019</v>
          </cell>
        </row>
        <row r="934">
          <cell r="D934" t="str">
            <v>A- actual</v>
          </cell>
          <cell r="E934" t="str">
            <v>PS- pump station</v>
          </cell>
          <cell r="F934" t="str">
            <v>LOT 8 KEWDALE RD</v>
          </cell>
          <cell r="H934" t="str">
            <v>P- private</v>
          </cell>
          <cell r="J934" t="str">
            <v>19980401</v>
          </cell>
          <cell r="K934" t="str">
            <v>115.961743517</v>
          </cell>
          <cell r="L934" t="str">
            <v>-31.9769267257</v>
          </cell>
          <cell r="M934" t="str">
            <v>H</v>
          </cell>
          <cell r="N934" t="str">
            <v>170</v>
          </cell>
          <cell r="O934" t="str">
            <v>KEWDALE</v>
          </cell>
          <cell r="P934" t="str">
            <v>RD</v>
          </cell>
          <cell r="R934" t="str">
            <v>KEWDALE</v>
          </cell>
          <cell r="S934" t="str">
            <v>6105</v>
          </cell>
        </row>
        <row r="935">
          <cell r="B935" t="str">
            <v>S2000008</v>
          </cell>
          <cell r="C935" t="str">
            <v>SPS MERSEY RD SHOALWATER</v>
          </cell>
          <cell r="D935" t="str">
            <v>A- actual</v>
          </cell>
          <cell r="E935" t="str">
            <v>PS- pump station</v>
          </cell>
          <cell r="F935" t="str">
            <v>MERSEY RD</v>
          </cell>
          <cell r="G935" t="str">
            <v>16</v>
          </cell>
          <cell r="H935" t="str">
            <v>W- water corporation</v>
          </cell>
          <cell r="J935" t="str">
            <v>19990128</v>
          </cell>
          <cell r="K935" t="str">
            <v>115.705031552</v>
          </cell>
          <cell r="L935" t="str">
            <v>-32.3040122308</v>
          </cell>
          <cell r="M935" t="str">
            <v>H</v>
          </cell>
          <cell r="N935" t="str">
            <v>11</v>
          </cell>
          <cell r="O935" t="str">
            <v>MERSEY</v>
          </cell>
          <cell r="P935" t="str">
            <v>RD</v>
          </cell>
          <cell r="R935" t="str">
            <v>SHOALWATER</v>
          </cell>
          <cell r="S935" t="str">
            <v>6169</v>
          </cell>
        </row>
        <row r="936">
          <cell r="B936" t="str">
            <v>S8000011</v>
          </cell>
          <cell r="C936" t="str">
            <v>SPS BRAIDWOOD DR AUSTRALIND</v>
          </cell>
          <cell r="D936" t="str">
            <v>A- actual</v>
          </cell>
          <cell r="E936" t="str">
            <v>PS- pump station</v>
          </cell>
          <cell r="F936" t="str">
            <v>BRAIDWOOD DR</v>
          </cell>
          <cell r="G936" t="str">
            <v>8</v>
          </cell>
          <cell r="H936" t="str">
            <v>W- water corporation</v>
          </cell>
          <cell r="J936" t="str">
            <v>19980101</v>
          </cell>
          <cell r="K936" t="str">
            <v>115.737429363</v>
          </cell>
          <cell r="L936" t="str">
            <v>-33.262267937</v>
          </cell>
          <cell r="M936" t="str">
            <v>H</v>
          </cell>
          <cell r="N936" t="str">
            <v>65</v>
          </cell>
          <cell r="O936" t="str">
            <v>BRAIDWOOD</v>
          </cell>
          <cell r="P936" t="str">
            <v>DR</v>
          </cell>
          <cell r="R936" t="str">
            <v>AUSTRALIND</v>
          </cell>
          <cell r="S936" t="str">
            <v>6233</v>
          </cell>
        </row>
        <row r="937">
          <cell r="B937" t="str">
            <v>S0018775</v>
          </cell>
          <cell r="C937" t="str">
            <v>SPS 1 SOUTH ST YORK</v>
          </cell>
          <cell r="D937" t="str">
            <v>A- actual</v>
          </cell>
          <cell r="E937" t="str">
            <v>PS- pump station</v>
          </cell>
          <cell r="F937" t="str">
            <v>SOUTH ST</v>
          </cell>
          <cell r="G937" t="str">
            <v>1</v>
          </cell>
          <cell r="H937" t="str">
            <v>W- water corporation</v>
          </cell>
          <cell r="I937" t="str">
            <v>82976</v>
          </cell>
          <cell r="J937" t="str">
            <v>19980423</v>
          </cell>
          <cell r="K937" t="str">
            <v>116.769791187</v>
          </cell>
          <cell r="L937" t="str">
            <v>-31.8895501605</v>
          </cell>
          <cell r="M937" t="str">
            <v>H</v>
          </cell>
          <cell r="N937" t="str">
            <v>26</v>
          </cell>
          <cell r="O937" t="str">
            <v>MONGER</v>
          </cell>
          <cell r="P937" t="str">
            <v>ST</v>
          </cell>
          <cell r="R937" t="str">
            <v>YORK</v>
          </cell>
          <cell r="S937" t="str">
            <v>6302</v>
          </cell>
        </row>
        <row r="938">
          <cell r="B938" t="str">
            <v>S0022349</v>
          </cell>
          <cell r="C938" t="str">
            <v>SPS CLARK ST EMU POINT</v>
          </cell>
          <cell r="D938" t="str">
            <v>A- actual</v>
          </cell>
          <cell r="E938" t="str">
            <v>PS- pump station</v>
          </cell>
          <cell r="F938" t="str">
            <v>CLARK ST</v>
          </cell>
          <cell r="G938" t="str">
            <v>3</v>
          </cell>
          <cell r="H938" t="str">
            <v>W- water corporation</v>
          </cell>
          <cell r="I938" t="str">
            <v>70665</v>
          </cell>
          <cell r="J938" t="str">
            <v>19970813</v>
          </cell>
          <cell r="K938" t="str">
            <v>117.936422489</v>
          </cell>
          <cell r="L938" t="str">
            <v>-34.996686853</v>
          </cell>
          <cell r="M938" t="str">
            <v>H</v>
          </cell>
          <cell r="N938" t="str">
            <v>51</v>
          </cell>
          <cell r="O938" t="str">
            <v>SWARBRICK</v>
          </cell>
          <cell r="P938" t="str">
            <v>ST</v>
          </cell>
          <cell r="R938" t="str">
            <v>EMU POINT</v>
          </cell>
          <cell r="S938" t="str">
            <v>6330</v>
          </cell>
        </row>
        <row r="939">
          <cell r="B939" t="str">
            <v>S0029160</v>
          </cell>
          <cell r="C939" t="str">
            <v>SPS BRONZEWING AV ELLENBROOK</v>
          </cell>
          <cell r="D939" t="str">
            <v>A- actual</v>
          </cell>
          <cell r="E939" t="str">
            <v>PS- pump station</v>
          </cell>
          <cell r="F939" t="str">
            <v>BRONZEWING AV</v>
          </cell>
          <cell r="H939" t="str">
            <v>W- water corporation</v>
          </cell>
          <cell r="I939" t="str">
            <v>70933</v>
          </cell>
          <cell r="J939" t="str">
            <v>19971124</v>
          </cell>
          <cell r="K939" t="str">
            <v>115.978111384</v>
          </cell>
          <cell r="L939" t="str">
            <v>-31.791854578</v>
          </cell>
          <cell r="M939" t="str">
            <v>H</v>
          </cell>
          <cell r="N939" t="str">
            <v>144</v>
          </cell>
          <cell r="O939" t="str">
            <v>BRONZEWING</v>
          </cell>
          <cell r="P939" t="str">
            <v>AV</v>
          </cell>
          <cell r="R939" t="str">
            <v>ELLENBROOK</v>
          </cell>
          <cell r="S939" t="str">
            <v>6069</v>
          </cell>
        </row>
        <row r="940">
          <cell r="B940" t="str">
            <v>S0028575</v>
          </cell>
          <cell r="C940" t="str">
            <v>#NORTH BEACH RD TEMP SPS 901-79</v>
          </cell>
          <cell r="D940" t="str">
            <v>A- actual</v>
          </cell>
          <cell r="E940" t="str">
            <v>PS- pump station</v>
          </cell>
          <cell r="F940" t="str">
            <v>KARRINYUP WATERS</v>
          </cell>
          <cell r="H940" t="str">
            <v>P- private</v>
          </cell>
          <cell r="I940" t="str">
            <v>73230</v>
          </cell>
          <cell r="J940" t="str">
            <v>19970919</v>
          </cell>
          <cell r="K940" t="str">
            <v>115.792939961</v>
          </cell>
          <cell r="L940" t="str">
            <v>-31.862169907</v>
          </cell>
          <cell r="M940" t="str">
            <v>H</v>
          </cell>
          <cell r="N940" t="str">
            <v>463</v>
          </cell>
          <cell r="O940" t="str">
            <v>NORTH BEACH</v>
          </cell>
          <cell r="P940" t="str">
            <v>RD</v>
          </cell>
          <cell r="R940" t="str">
            <v>GWELUP</v>
          </cell>
          <cell r="S940" t="str">
            <v>6018</v>
          </cell>
        </row>
        <row r="941">
          <cell r="B941" t="str">
            <v>S8000427</v>
          </cell>
          <cell r="C941" t="str">
            <v>SPS BUSSELL HWY COWARAMUP</v>
          </cell>
          <cell r="D941" t="str">
            <v>A- actual</v>
          </cell>
          <cell r="E941" t="str">
            <v>PS- pump station</v>
          </cell>
          <cell r="F941" t="str">
            <v>BUSSELL HWY COWARAMUP</v>
          </cell>
          <cell r="G941" t="str">
            <v>1</v>
          </cell>
          <cell r="H941" t="str">
            <v>W- water corporation</v>
          </cell>
          <cell r="J941" t="str">
            <v>19980403</v>
          </cell>
          <cell r="K941" t="str">
            <v>115.105487215</v>
          </cell>
          <cell r="L941" t="str">
            <v>-33.8469768068</v>
          </cell>
          <cell r="M941" t="str">
            <v>L</v>
          </cell>
          <cell r="N941" t="str">
            <v>301</v>
          </cell>
          <cell r="O941" t="str">
            <v>BUSSELL</v>
          </cell>
          <cell r="P941" t="str">
            <v>HWY</v>
          </cell>
          <cell r="R941" t="str">
            <v>COWARAMUP</v>
          </cell>
          <cell r="S941" t="str">
            <v>6284</v>
          </cell>
        </row>
        <row r="942">
          <cell r="B942" t="str">
            <v>S0044309</v>
          </cell>
          <cell r="C942" t="str">
            <v>VPS FORD RD GEOGRAPHE</v>
          </cell>
          <cell r="D942" t="str">
            <v>A- actual</v>
          </cell>
          <cell r="E942" t="str">
            <v>VPS- vacuum pump station</v>
          </cell>
          <cell r="F942" t="str">
            <v>FORD RD</v>
          </cell>
          <cell r="G942" t="str">
            <v>13</v>
          </cell>
          <cell r="H942" t="str">
            <v>W- water corporation</v>
          </cell>
          <cell r="I942" t="str">
            <v>88293</v>
          </cell>
          <cell r="J942" t="str">
            <v>19971126</v>
          </cell>
          <cell r="K942" t="str">
            <v>115.358978584</v>
          </cell>
          <cell r="L942" t="str">
            <v>-33.646519136</v>
          </cell>
          <cell r="M942" t="str">
            <v>H</v>
          </cell>
          <cell r="N942" t="str">
            <v>47</v>
          </cell>
          <cell r="O942" t="str">
            <v>FORD</v>
          </cell>
          <cell r="P942" t="str">
            <v>RD</v>
          </cell>
          <cell r="R942" t="str">
            <v>GEOGRAPHE</v>
          </cell>
          <cell r="S942" t="str">
            <v>6280</v>
          </cell>
        </row>
        <row r="943">
          <cell r="B943" t="str">
            <v>S0015428</v>
          </cell>
          <cell r="C943" t="str">
            <v>SPS 2 HAMMOND ST KELLERBERRIN</v>
          </cell>
          <cell r="D943" t="str">
            <v>A- actual</v>
          </cell>
          <cell r="E943" t="str">
            <v>ES- ejector station</v>
          </cell>
          <cell r="F943" t="str">
            <v>HAMMOND ST</v>
          </cell>
          <cell r="H943" t="str">
            <v>W- water corporation</v>
          </cell>
          <cell r="I943" t="str">
            <v>16555</v>
          </cell>
          <cell r="J943" t="str">
            <v>19980703</v>
          </cell>
          <cell r="K943" t="str">
            <v>117.720157523</v>
          </cell>
          <cell r="L943" t="str">
            <v>-31.63462149</v>
          </cell>
          <cell r="M943" t="str">
            <v>L</v>
          </cell>
          <cell r="N943" t="str">
            <v>5</v>
          </cell>
          <cell r="O943" t="str">
            <v>HAMMOND</v>
          </cell>
          <cell r="P943" t="str">
            <v>ST</v>
          </cell>
          <cell r="R943" t="str">
            <v>KELLERBERRIN</v>
          </cell>
          <cell r="S943" t="str">
            <v>6410</v>
          </cell>
        </row>
        <row r="944">
          <cell r="B944" t="str">
            <v>S0038065</v>
          </cell>
          <cell r="C944" t="str">
            <v>SPS KITTYHAWK VIEW MAYLANDS</v>
          </cell>
          <cell r="D944" t="str">
            <v>A- actual</v>
          </cell>
          <cell r="E944" t="str">
            <v>PS- pump station</v>
          </cell>
          <cell r="F944" t="str">
            <v>KITTYHAWK VW</v>
          </cell>
          <cell r="H944" t="str">
            <v>W- water corporation</v>
          </cell>
          <cell r="J944" t="str">
            <v>19981118</v>
          </cell>
          <cell r="K944" t="str">
            <v>115.906890966</v>
          </cell>
          <cell r="L944" t="str">
            <v>-31.945463446</v>
          </cell>
          <cell r="M944" t="str">
            <v>H</v>
          </cell>
          <cell r="N944" t="str">
            <v>20</v>
          </cell>
          <cell r="O944" t="str">
            <v>KITTYHAWK</v>
          </cell>
          <cell r="P944" t="str">
            <v>VIEW</v>
          </cell>
          <cell r="R944" t="str">
            <v>MAYLANDS</v>
          </cell>
          <cell r="S944" t="str">
            <v>6051</v>
          </cell>
        </row>
        <row r="945">
          <cell r="B945" t="str">
            <v>S0029146</v>
          </cell>
          <cell r="C945" t="str">
            <v>SPS VIRIDIAN DR BANKSIA GROVE</v>
          </cell>
          <cell r="D945" t="str">
            <v>A- actual</v>
          </cell>
          <cell r="E945" t="str">
            <v>PS- pump station</v>
          </cell>
          <cell r="F945" t="str">
            <v>VIRIDIAN DR</v>
          </cell>
          <cell r="G945" t="str">
            <v>1</v>
          </cell>
          <cell r="H945" t="str">
            <v>W- water corporation</v>
          </cell>
          <cell r="I945" t="str">
            <v>51100</v>
          </cell>
          <cell r="J945" t="str">
            <v>19941025</v>
          </cell>
          <cell r="K945" t="str">
            <v>115.811803696</v>
          </cell>
          <cell r="L945" t="str">
            <v>-31.697574097</v>
          </cell>
          <cell r="M945" t="str">
            <v>H</v>
          </cell>
          <cell r="N945" t="str">
            <v>93</v>
          </cell>
          <cell r="O945" t="str">
            <v>VIRIDIAN</v>
          </cell>
          <cell r="P945" t="str">
            <v>DR</v>
          </cell>
          <cell r="R945" t="str">
            <v>BANKSIA GROVE</v>
          </cell>
          <cell r="S945" t="str">
            <v>6031</v>
          </cell>
        </row>
        <row r="946">
          <cell r="B946" t="str">
            <v>S0032637</v>
          </cell>
          <cell r="C946" t="str">
            <v>SPS JETTY RD CLAREMONT</v>
          </cell>
          <cell r="D946" t="str">
            <v>A- actual</v>
          </cell>
          <cell r="E946" t="str">
            <v>TPS- temporary pump station</v>
          </cell>
          <cell r="F946" t="str">
            <v>JETTY RD</v>
          </cell>
          <cell r="H946" t="str">
            <v>W- water corporation</v>
          </cell>
          <cell r="I946" t="str">
            <v>17733</v>
          </cell>
          <cell r="J946" t="str">
            <v>19351023</v>
          </cell>
          <cell r="K946" t="str">
            <v>115.78124625</v>
          </cell>
          <cell r="L946" t="str">
            <v>-31.9889460972</v>
          </cell>
          <cell r="M946" t="str">
            <v>L</v>
          </cell>
          <cell r="N946" t="str">
            <v>10716</v>
          </cell>
          <cell r="O946" t="str">
            <v>VICTORIA</v>
          </cell>
          <cell r="P946" t="str">
            <v>AV</v>
          </cell>
          <cell r="R946" t="str">
            <v>CLAREMONT</v>
          </cell>
          <cell r="S946" t="str">
            <v>6010</v>
          </cell>
        </row>
        <row r="947">
          <cell r="B947" t="str">
            <v>S0044768</v>
          </cell>
          <cell r="C947" t="str">
            <v>VPS RONLYN RD FURNISSDALE</v>
          </cell>
          <cell r="D947" t="str">
            <v>A- actual</v>
          </cell>
          <cell r="E947" t="str">
            <v>VPS- vacuum pump station</v>
          </cell>
          <cell r="F947" t="str">
            <v>RONLYN RD</v>
          </cell>
          <cell r="G947" t="str">
            <v>1</v>
          </cell>
          <cell r="H947" t="str">
            <v>W- water corporation</v>
          </cell>
          <cell r="I947" t="str">
            <v>66832</v>
          </cell>
          <cell r="J947" t="str">
            <v>19971111</v>
          </cell>
          <cell r="K947" t="str">
            <v>115.765786735</v>
          </cell>
          <cell r="L947" t="str">
            <v>-32.558773026</v>
          </cell>
          <cell r="M947" t="str">
            <v>H</v>
          </cell>
          <cell r="N947" t="str">
            <v>40</v>
          </cell>
          <cell r="O947" t="str">
            <v>RONLYN</v>
          </cell>
          <cell r="P947" t="str">
            <v>RD</v>
          </cell>
          <cell r="R947" t="str">
            <v>FURNISSDALE</v>
          </cell>
          <cell r="S947" t="str">
            <v>6209</v>
          </cell>
        </row>
        <row r="948">
          <cell r="D948" t="str">
            <v>A- actual</v>
          </cell>
          <cell r="E948" t="str">
            <v>PS- pump station</v>
          </cell>
          <cell r="F948" t="str">
            <v>ESPLANADE HOTEL</v>
          </cell>
          <cell r="H948" t="str">
            <v>P- private</v>
          </cell>
          <cell r="J948" t="str">
            <v>19980303</v>
          </cell>
          <cell r="K948" t="str">
            <v>115.75760735</v>
          </cell>
          <cell r="L948" t="str">
            <v>-31.89772016</v>
          </cell>
          <cell r="M948" t="str">
            <v>H</v>
          </cell>
          <cell r="N948" t="str">
            <v>188</v>
          </cell>
          <cell r="O948" t="str">
            <v>THE ESPLANADE</v>
          </cell>
          <cell r="R948" t="str">
            <v>SCARBOROUGH</v>
          </cell>
          <cell r="S948" t="str">
            <v>6019</v>
          </cell>
        </row>
        <row r="949">
          <cell r="B949" t="str">
            <v>S0025712</v>
          </cell>
          <cell r="C949" t="str">
            <v>SPS 1 IVANHOE RD KUNUNURRA</v>
          </cell>
          <cell r="D949" t="str">
            <v>A- actual</v>
          </cell>
          <cell r="E949" t="str">
            <v>PS- pump station</v>
          </cell>
          <cell r="F949" t="str">
            <v>IVANHOE RD</v>
          </cell>
          <cell r="G949" t="str">
            <v>1</v>
          </cell>
          <cell r="H949" t="str">
            <v>W- water corporation</v>
          </cell>
          <cell r="I949" t="str">
            <v>88089</v>
          </cell>
          <cell r="J949" t="str">
            <v>19981020</v>
          </cell>
          <cell r="K949" t="str">
            <v>128.732041488</v>
          </cell>
          <cell r="L949" t="str">
            <v>-15.7730483717</v>
          </cell>
          <cell r="M949" t="str">
            <v>H</v>
          </cell>
          <cell r="N949" t="str">
            <v>199</v>
          </cell>
          <cell r="O949" t="str">
            <v>COOLIBAH</v>
          </cell>
          <cell r="P949" t="str">
            <v>DR</v>
          </cell>
          <cell r="R949" t="str">
            <v>KUNUNURRA</v>
          </cell>
          <cell r="S949" t="str">
            <v>6743</v>
          </cell>
        </row>
        <row r="950">
          <cell r="D950" t="str">
            <v>A- actual</v>
          </cell>
          <cell r="E950" t="str">
            <v>PS- pump station</v>
          </cell>
          <cell r="F950" t="str">
            <v>MOLINE HOUSE</v>
          </cell>
          <cell r="H950" t="str">
            <v>P- private</v>
          </cell>
          <cell r="J950" t="str">
            <v>19970601</v>
          </cell>
          <cell r="K950" t="str">
            <v>115.766569247</v>
          </cell>
          <cell r="L950" t="str">
            <v>-31.88156802</v>
          </cell>
          <cell r="M950" t="str">
            <v>H</v>
          </cell>
          <cell r="N950" t="str">
            <v>1</v>
          </cell>
          <cell r="O950" t="str">
            <v>JEANES</v>
          </cell>
          <cell r="P950" t="str">
            <v>RD</v>
          </cell>
          <cell r="R950" t="str">
            <v>KARRINYUP</v>
          </cell>
          <cell r="S950" t="str">
            <v>6018</v>
          </cell>
        </row>
        <row r="951">
          <cell r="D951" t="str">
            <v>A- actual</v>
          </cell>
          <cell r="E951" t="str">
            <v>PS- pump station</v>
          </cell>
          <cell r="F951" t="str">
            <v>WOODVALE BAPTIST CHURCH</v>
          </cell>
          <cell r="H951" t="str">
            <v>P- private</v>
          </cell>
          <cell r="J951" t="str">
            <v>19970601</v>
          </cell>
          <cell r="K951" t="str">
            <v>115.803268166</v>
          </cell>
          <cell r="L951" t="str">
            <v>-31.789274749</v>
          </cell>
          <cell r="M951" t="str">
            <v>H</v>
          </cell>
          <cell r="N951" t="str">
            <v>67</v>
          </cell>
          <cell r="O951" t="str">
            <v>WOODVALE</v>
          </cell>
          <cell r="P951" t="str">
            <v>DR</v>
          </cell>
          <cell r="R951" t="str">
            <v>WOODVALE</v>
          </cell>
          <cell r="S951" t="str">
            <v>6026</v>
          </cell>
        </row>
        <row r="952">
          <cell r="B952" t="str">
            <v>S0027313</v>
          </cell>
          <cell r="C952" t="str">
            <v>SPS TYNESIDE GDNS CURRAMBINE</v>
          </cell>
          <cell r="D952" t="str">
            <v>A- actual</v>
          </cell>
          <cell r="E952" t="str">
            <v>PS- pump station</v>
          </cell>
          <cell r="F952" t="str">
            <v>TYNESIDE GR</v>
          </cell>
          <cell r="G952" t="str">
            <v>4</v>
          </cell>
          <cell r="H952" t="str">
            <v>W- water corporation</v>
          </cell>
          <cell r="I952" t="str">
            <v>65859</v>
          </cell>
          <cell r="J952" t="str">
            <v>19960112</v>
          </cell>
          <cell r="K952" t="str">
            <v>115.752673287</v>
          </cell>
          <cell r="L952" t="str">
            <v>-31.73973165</v>
          </cell>
          <cell r="M952" t="str">
            <v>H</v>
          </cell>
          <cell r="N952" t="str">
            <v>10</v>
          </cell>
          <cell r="O952" t="str">
            <v>TYNESIDE</v>
          </cell>
          <cell r="P952" t="str">
            <v>GR</v>
          </cell>
          <cell r="R952" t="str">
            <v>CURRAMBINE</v>
          </cell>
          <cell r="S952" t="str">
            <v>6028</v>
          </cell>
        </row>
        <row r="953">
          <cell r="B953" t="str">
            <v>S0033775</v>
          </cell>
          <cell r="C953" t="str">
            <v>SPS MARMION ST WEST MYAREE</v>
          </cell>
          <cell r="D953" t="str">
            <v>A- actual</v>
          </cell>
          <cell r="E953" t="str">
            <v>PS- pump station</v>
          </cell>
          <cell r="F953" t="str">
            <v>MARMION ST WEST</v>
          </cell>
          <cell r="G953" t="str">
            <v>7</v>
          </cell>
          <cell r="H953" t="str">
            <v>W- water corporation</v>
          </cell>
          <cell r="I953" t="str">
            <v>85055</v>
          </cell>
          <cell r="J953" t="str">
            <v>19970101</v>
          </cell>
          <cell r="K953" t="str">
            <v>115.811719177</v>
          </cell>
          <cell r="L953" t="str">
            <v>-32.039696212</v>
          </cell>
          <cell r="M953" t="str">
            <v>H</v>
          </cell>
          <cell r="N953" t="str">
            <v>436</v>
          </cell>
          <cell r="O953" t="str">
            <v>MARMION</v>
          </cell>
          <cell r="P953" t="str">
            <v>ST</v>
          </cell>
          <cell r="R953" t="str">
            <v>MYAREE</v>
          </cell>
          <cell r="S953" t="str">
            <v>6154</v>
          </cell>
        </row>
        <row r="954">
          <cell r="B954" t="str">
            <v>S0025768</v>
          </cell>
          <cell r="C954" t="str">
            <v>SPS 1 MCGRATH ST ONSLOW</v>
          </cell>
          <cell r="D954" t="str">
            <v>A- actual</v>
          </cell>
          <cell r="E954" t="str">
            <v>PS- pump station</v>
          </cell>
          <cell r="F954" t="str">
            <v>MCGRATH AV</v>
          </cell>
          <cell r="H954" t="str">
            <v>W- water corporation</v>
          </cell>
          <cell r="J954" t="str">
            <v>19980101</v>
          </cell>
          <cell r="K954" t="str">
            <v>115.115417822</v>
          </cell>
          <cell r="L954" t="str">
            <v>-21.6419003196</v>
          </cell>
          <cell r="M954" t="str">
            <v>H</v>
          </cell>
          <cell r="N954" t="str">
            <v>45</v>
          </cell>
          <cell r="O954" t="str">
            <v>MCGRATH</v>
          </cell>
          <cell r="P954" t="str">
            <v>AV</v>
          </cell>
          <cell r="R954" t="str">
            <v>ONSLOW</v>
          </cell>
          <cell r="S954" t="str">
            <v>6710</v>
          </cell>
        </row>
        <row r="955">
          <cell r="B955" t="str">
            <v>S0030365</v>
          </cell>
          <cell r="C955" t="str">
            <v>SPS PICKARD AV ROCKINGHAM</v>
          </cell>
          <cell r="D955" t="str">
            <v>A- actual</v>
          </cell>
          <cell r="E955" t="str">
            <v>PS- pump station</v>
          </cell>
          <cell r="F955" t="str">
            <v>PICKARD AV</v>
          </cell>
          <cell r="G955" t="str">
            <v>2</v>
          </cell>
          <cell r="H955" t="str">
            <v>W- water corporation</v>
          </cell>
          <cell r="J955" t="str">
            <v>19961216</v>
          </cell>
          <cell r="K955" t="str">
            <v>115.751270629</v>
          </cell>
          <cell r="L955" t="str">
            <v>-32.2730714683</v>
          </cell>
          <cell r="M955" t="str">
            <v>H</v>
          </cell>
          <cell r="N955" t="str">
            <v>44</v>
          </cell>
          <cell r="O955" t="str">
            <v>TESLA</v>
          </cell>
          <cell r="P955" t="str">
            <v>RD</v>
          </cell>
          <cell r="R955" t="str">
            <v>ROCKINGHAM</v>
          </cell>
          <cell r="S955" t="str">
            <v>6168</v>
          </cell>
        </row>
        <row r="956">
          <cell r="B956" t="str">
            <v>S0034237</v>
          </cell>
          <cell r="C956" t="str">
            <v>SPS CAMPBELL RD CANNING VALE</v>
          </cell>
          <cell r="D956" t="str">
            <v>A- actual</v>
          </cell>
          <cell r="E956" t="str">
            <v>PS- pump station</v>
          </cell>
          <cell r="F956" t="str">
            <v>CAMPBELL RD</v>
          </cell>
          <cell r="G956" t="str">
            <v>6</v>
          </cell>
          <cell r="H956" t="str">
            <v>W- water corporation</v>
          </cell>
          <cell r="J956" t="str">
            <v>19960701</v>
          </cell>
          <cell r="K956" t="str">
            <v>115.932065704</v>
          </cell>
          <cell r="L956" t="str">
            <v>-32.088238322</v>
          </cell>
          <cell r="M956" t="str">
            <v>H</v>
          </cell>
          <cell r="N956" t="str">
            <v>122</v>
          </cell>
          <cell r="O956" t="str">
            <v>CAMPBELL</v>
          </cell>
          <cell r="P956" t="str">
            <v>RD</v>
          </cell>
          <cell r="R956" t="str">
            <v>CANNING VALE</v>
          </cell>
          <cell r="S956" t="str">
            <v>6155</v>
          </cell>
        </row>
        <row r="957">
          <cell r="B957" t="str">
            <v>S0037748</v>
          </cell>
          <cell r="C957" t="str">
            <v>SPS BEAVER ST WEBBERTON</v>
          </cell>
          <cell r="D957" t="str">
            <v>A- actual</v>
          </cell>
          <cell r="E957" t="str">
            <v>PS- pump station</v>
          </cell>
          <cell r="F957" t="str">
            <v>BEAVER ST</v>
          </cell>
          <cell r="G957" t="str">
            <v>6</v>
          </cell>
          <cell r="H957" t="str">
            <v>W- water corporation</v>
          </cell>
          <cell r="J957" t="str">
            <v>19970131</v>
          </cell>
          <cell r="K957" t="str">
            <v>114.634437002</v>
          </cell>
          <cell r="L957" t="str">
            <v>-28.757702817</v>
          </cell>
          <cell r="M957" t="str">
            <v>L</v>
          </cell>
          <cell r="N957" t="str">
            <v>40</v>
          </cell>
          <cell r="O957" t="str">
            <v>ANDERSON</v>
          </cell>
          <cell r="P957" t="str">
            <v>ST</v>
          </cell>
          <cell r="R957" t="str">
            <v>WEBBERTON</v>
          </cell>
          <cell r="S957" t="str">
            <v>6530</v>
          </cell>
        </row>
        <row r="958">
          <cell r="B958" t="str">
            <v>S0028683</v>
          </cell>
          <cell r="C958" t="str">
            <v>SPS VICTORIA RD WEST MALAGA</v>
          </cell>
          <cell r="D958" t="str">
            <v>A- actual</v>
          </cell>
          <cell r="E958" t="str">
            <v>PS- pump station</v>
          </cell>
          <cell r="F958" t="str">
            <v>VICTORIA RD WEST</v>
          </cell>
          <cell r="G958" t="str">
            <v>5</v>
          </cell>
          <cell r="H958" t="str">
            <v>W- water corporation</v>
          </cell>
          <cell r="I958" t="str">
            <v>33081</v>
          </cell>
          <cell r="J958" t="str">
            <v>19930101</v>
          </cell>
          <cell r="K958" t="str">
            <v>115.891907768</v>
          </cell>
          <cell r="L958" t="str">
            <v>-31.8618228802</v>
          </cell>
          <cell r="M958" t="str">
            <v>L</v>
          </cell>
          <cell r="N958" t="str">
            <v>13</v>
          </cell>
          <cell r="O958" t="str">
            <v>VICTORIA</v>
          </cell>
          <cell r="P958" t="str">
            <v>RD</v>
          </cell>
          <cell r="R958" t="str">
            <v>MALAGA</v>
          </cell>
          <cell r="S958" t="str">
            <v>6090</v>
          </cell>
        </row>
        <row r="959">
          <cell r="B959" t="str">
            <v>S0044919</v>
          </cell>
          <cell r="C959" t="str">
            <v>SPS RENDALL CL MARGARET RIVER</v>
          </cell>
          <cell r="D959" t="str">
            <v>A- actual</v>
          </cell>
          <cell r="E959" t="str">
            <v>PS- pump station</v>
          </cell>
          <cell r="F959" t="str">
            <v>RENDALL CL</v>
          </cell>
          <cell r="H959" t="str">
            <v>W- water corporation</v>
          </cell>
          <cell r="J959" t="str">
            <v>19960101</v>
          </cell>
          <cell r="K959" t="str">
            <v>115.086247802</v>
          </cell>
          <cell r="L959" t="str">
            <v>-33.94950208</v>
          </cell>
          <cell r="M959" t="str">
            <v>L</v>
          </cell>
          <cell r="N959" t="str">
            <v>3698</v>
          </cell>
          <cell r="O959" t="str">
            <v>RENDALL</v>
          </cell>
          <cell r="P959" t="str">
            <v>CL</v>
          </cell>
          <cell r="R959" t="str">
            <v>MARGARET RIVER</v>
          </cell>
          <cell r="S959" t="str">
            <v>6285</v>
          </cell>
        </row>
        <row r="960">
          <cell r="B960" t="str">
            <v>S0032992</v>
          </cell>
          <cell r="C960" t="str">
            <v>SPS GEORGE ST QUEENS PARK</v>
          </cell>
          <cell r="D960" t="str">
            <v>A- actual</v>
          </cell>
          <cell r="E960" t="str">
            <v>PS- pump station</v>
          </cell>
          <cell r="F960" t="str">
            <v>GEORGE ST</v>
          </cell>
          <cell r="G960" t="str">
            <v>8</v>
          </cell>
          <cell r="H960" t="str">
            <v>W- water corporation</v>
          </cell>
          <cell r="J960" t="str">
            <v>19980624</v>
          </cell>
          <cell r="K960" t="str">
            <v>115.940690183</v>
          </cell>
          <cell r="L960" t="str">
            <v>-32.007667709</v>
          </cell>
          <cell r="M960" t="str">
            <v>H</v>
          </cell>
          <cell r="N960" t="str">
            <v>166</v>
          </cell>
          <cell r="O960" t="str">
            <v>RAILWAY</v>
          </cell>
          <cell r="P960" t="str">
            <v>PDE</v>
          </cell>
          <cell r="R960" t="str">
            <v>QUEENS PARK</v>
          </cell>
          <cell r="S960" t="str">
            <v>6107</v>
          </cell>
        </row>
        <row r="961">
          <cell r="D961" t="str">
            <v>A- actual</v>
          </cell>
          <cell r="E961" t="str">
            <v>PS- pump station</v>
          </cell>
          <cell r="F961" t="str">
            <v>LOT 136 GUTHRIE ST</v>
          </cell>
          <cell r="H961" t="str">
            <v>P- private</v>
          </cell>
          <cell r="J961" t="str">
            <v>19980824</v>
          </cell>
          <cell r="K961" t="str">
            <v>115.814376312</v>
          </cell>
          <cell r="L961" t="str">
            <v>-31.905515236</v>
          </cell>
          <cell r="M961" t="str">
            <v>H</v>
          </cell>
          <cell r="N961" t="str">
            <v>68</v>
          </cell>
          <cell r="O961" t="str">
            <v>GUTHRIE</v>
          </cell>
          <cell r="P961" t="str">
            <v>ST</v>
          </cell>
          <cell r="R961" t="str">
            <v>OSBORNE PARK</v>
          </cell>
          <cell r="S961" t="str">
            <v>6017</v>
          </cell>
        </row>
        <row r="962">
          <cell r="B962" t="str">
            <v>S0030200</v>
          </cell>
          <cell r="C962" t="str">
            <v>#SPS ORCHID AV BEECHBORO</v>
          </cell>
          <cell r="D962" t="str">
            <v>D- dead</v>
          </cell>
          <cell r="E962" t="str">
            <v>PS- pump station</v>
          </cell>
          <cell r="F962" t="str">
            <v>ORCHID AV TEMPORARY</v>
          </cell>
          <cell r="H962" t="str">
            <v>W- water corporation</v>
          </cell>
          <cell r="J962" t="str">
            <v>19970115</v>
          </cell>
          <cell r="K962" t="str">
            <v>115.924329949</v>
          </cell>
          <cell r="L962" t="str">
            <v>-31.859009459</v>
          </cell>
          <cell r="M962" t="str">
            <v>H</v>
          </cell>
          <cell r="N962" t="str">
            <v>3</v>
          </cell>
          <cell r="O962" t="str">
            <v>ORCHID</v>
          </cell>
          <cell r="P962" t="str">
            <v>AV</v>
          </cell>
          <cell r="R962" t="str">
            <v>BENNETT SPRINGS</v>
          </cell>
          <cell r="S962" t="str">
            <v>6063</v>
          </cell>
        </row>
        <row r="963">
          <cell r="B963" t="str">
            <v>S0044720</v>
          </cell>
          <cell r="C963" t="str">
            <v>SPS LAKES RD GREENFIELDS</v>
          </cell>
          <cell r="D963" t="str">
            <v>A- actual</v>
          </cell>
          <cell r="E963" t="str">
            <v>PS- pump station</v>
          </cell>
          <cell r="F963" t="str">
            <v>LAKES RD</v>
          </cell>
          <cell r="G963" t="str">
            <v>56</v>
          </cell>
          <cell r="H963" t="str">
            <v>W- water corporation</v>
          </cell>
          <cell r="J963" t="str">
            <v>19961030</v>
          </cell>
          <cell r="K963" t="str">
            <v>115.769974194</v>
          </cell>
          <cell r="L963" t="str">
            <v>-32.5139123095</v>
          </cell>
          <cell r="M963" t="str">
            <v>H</v>
          </cell>
          <cell r="N963" t="str">
            <v>272</v>
          </cell>
          <cell r="O963" t="str">
            <v>LAKES</v>
          </cell>
          <cell r="P963" t="str">
            <v>RD</v>
          </cell>
          <cell r="R963" t="str">
            <v>GREENFIELDS</v>
          </cell>
          <cell r="S963" t="str">
            <v>6210</v>
          </cell>
        </row>
        <row r="964">
          <cell r="D964" t="str">
            <v>A- actual</v>
          </cell>
          <cell r="E964" t="str">
            <v>PS- pump station</v>
          </cell>
          <cell r="F964" t="str">
            <v>LOT P178 WEST COAST HWY</v>
          </cell>
          <cell r="H964" t="str">
            <v>P- private</v>
          </cell>
          <cell r="J964" t="str">
            <v>19980918</v>
          </cell>
          <cell r="K964" t="str">
            <v>115.758643055</v>
          </cell>
          <cell r="L964" t="str">
            <v>-31.8990648639</v>
          </cell>
          <cell r="M964" t="str">
            <v>H</v>
          </cell>
          <cell r="N964" t="str">
            <v>268</v>
          </cell>
          <cell r="O964" t="str">
            <v>WEST COAST</v>
          </cell>
          <cell r="P964" t="str">
            <v>HWY</v>
          </cell>
          <cell r="R964" t="str">
            <v>SCARBOROUGH</v>
          </cell>
          <cell r="S964" t="str">
            <v>6019</v>
          </cell>
        </row>
        <row r="965">
          <cell r="B965" t="str">
            <v>S8000002</v>
          </cell>
          <cell r="C965" t="str">
            <v>SPS STONE ST QUINDALUP</v>
          </cell>
          <cell r="D965" t="str">
            <v>A- actual</v>
          </cell>
          <cell r="E965" t="str">
            <v>PS- pump station</v>
          </cell>
          <cell r="F965" t="str">
            <v>STONE ST</v>
          </cell>
          <cell r="H965" t="str">
            <v>W- water corporation</v>
          </cell>
          <cell r="J965" t="str">
            <v>19980101</v>
          </cell>
          <cell r="K965" t="str">
            <v>115.141006173</v>
          </cell>
          <cell r="L965" t="str">
            <v>-33.6319700091</v>
          </cell>
          <cell r="M965" t="str">
            <v>H</v>
          </cell>
          <cell r="N965" t="str">
            <v>15</v>
          </cell>
          <cell r="O965" t="str">
            <v>STONE</v>
          </cell>
          <cell r="P965" t="str">
            <v>ST</v>
          </cell>
          <cell r="R965" t="str">
            <v>QUINDALUP</v>
          </cell>
          <cell r="S965" t="str">
            <v>6281</v>
          </cell>
        </row>
        <row r="966">
          <cell r="D966" t="str">
            <v>A- actual</v>
          </cell>
          <cell r="E966" t="str">
            <v>PS- pump station</v>
          </cell>
          <cell r="F966" t="str">
            <v>LOT 5 STONE ST</v>
          </cell>
          <cell r="H966" t="str">
            <v>P- private</v>
          </cell>
          <cell r="J966" t="str">
            <v>19700101</v>
          </cell>
          <cell r="K966" t="str">
            <v>115.139416302</v>
          </cell>
          <cell r="L966" t="str">
            <v>-33.6308760631</v>
          </cell>
          <cell r="M966" t="str">
            <v>H</v>
          </cell>
          <cell r="N966" t="str">
            <v>316</v>
          </cell>
          <cell r="O966" t="str">
            <v>GEOGRAPHE BAY</v>
          </cell>
          <cell r="P966" t="str">
            <v>RD</v>
          </cell>
          <cell r="R966" t="str">
            <v>QUINDALUP</v>
          </cell>
          <cell r="S966" t="str">
            <v>6281</v>
          </cell>
        </row>
        <row r="967">
          <cell r="B967" t="str">
            <v>S021-002-002</v>
          </cell>
          <cell r="C967" t="str">
            <v>SPS ESPLANADE BREMER BAY</v>
          </cell>
          <cell r="D967" t="str">
            <v>A- actual</v>
          </cell>
          <cell r="E967" t="str">
            <v>PS- pump station</v>
          </cell>
          <cell r="F967" t="str">
            <v>ESPLANADE</v>
          </cell>
          <cell r="G967" t="str">
            <v>2</v>
          </cell>
          <cell r="H967" t="str">
            <v>W- water corporation</v>
          </cell>
          <cell r="J967" t="str">
            <v>19950101</v>
          </cell>
          <cell r="K967" t="str">
            <v>119.382143452</v>
          </cell>
          <cell r="L967" t="str">
            <v>-34.392921483</v>
          </cell>
          <cell r="M967" t="str">
            <v>H</v>
          </cell>
          <cell r="N967" t="str">
            <v>11</v>
          </cell>
          <cell r="O967" t="str">
            <v>ESPLANADE</v>
          </cell>
          <cell r="R967" t="str">
            <v>BREMER BAY</v>
          </cell>
          <cell r="S967" t="str">
            <v>6338</v>
          </cell>
        </row>
        <row r="968">
          <cell r="B968" t="str">
            <v>S021-002-003</v>
          </cell>
          <cell r="C968" t="str">
            <v>SPS YATE PLACE BREMER BAY</v>
          </cell>
          <cell r="D968" t="str">
            <v>A- actual</v>
          </cell>
          <cell r="E968" t="str">
            <v>PS- pump station</v>
          </cell>
          <cell r="F968" t="str">
            <v>YATE PLACE</v>
          </cell>
          <cell r="G968" t="str">
            <v>3</v>
          </cell>
          <cell r="H968" t="str">
            <v>W- water corporation</v>
          </cell>
          <cell r="J968" t="str">
            <v>19960101</v>
          </cell>
          <cell r="K968" t="str">
            <v>119.377640454</v>
          </cell>
          <cell r="L968" t="str">
            <v>-34.3999854603</v>
          </cell>
          <cell r="M968" t="str">
            <v>H</v>
          </cell>
          <cell r="N968" t="str">
            <v>4</v>
          </cell>
          <cell r="O968" t="str">
            <v>YATE</v>
          </cell>
          <cell r="P968" t="str">
            <v>PL</v>
          </cell>
          <cell r="R968" t="str">
            <v>BREMER BAY</v>
          </cell>
          <cell r="S968" t="str">
            <v>6338</v>
          </cell>
        </row>
        <row r="969">
          <cell r="B969" t="str">
            <v>S0033506</v>
          </cell>
          <cell r="C969" t="str">
            <v>SPS WANAPING RD KENWICK</v>
          </cell>
          <cell r="D969" t="str">
            <v>A- actual</v>
          </cell>
          <cell r="E969" t="str">
            <v>PS- pump station</v>
          </cell>
          <cell r="F969" t="str">
            <v>WANAPING RD</v>
          </cell>
          <cell r="G969" t="str">
            <v>7</v>
          </cell>
          <cell r="H969" t="str">
            <v>W- water corporation</v>
          </cell>
          <cell r="J969" t="str">
            <v>19980909</v>
          </cell>
          <cell r="K969" t="str">
            <v>115.975462205</v>
          </cell>
          <cell r="L969" t="str">
            <v>-32.030927293</v>
          </cell>
          <cell r="M969" t="str">
            <v>H</v>
          </cell>
          <cell r="N969" t="str">
            <v>205</v>
          </cell>
          <cell r="O969" t="str">
            <v>BRIXTON</v>
          </cell>
          <cell r="P969" t="str">
            <v>ST</v>
          </cell>
          <cell r="R969" t="str">
            <v>KENWICK</v>
          </cell>
          <cell r="S969" t="str">
            <v>6107</v>
          </cell>
        </row>
        <row r="970">
          <cell r="B970" t="str">
            <v>S0043909</v>
          </cell>
          <cell r="C970" t="str">
            <v>SPS VICTORIA PDE AUGUSTA</v>
          </cell>
          <cell r="D970" t="str">
            <v>A- actual</v>
          </cell>
          <cell r="E970" t="str">
            <v>PS- pump station</v>
          </cell>
          <cell r="F970" t="str">
            <v>VICTORIA PDE</v>
          </cell>
          <cell r="G970" t="str">
            <v>2</v>
          </cell>
          <cell r="H970" t="str">
            <v>W- water corporation</v>
          </cell>
          <cell r="J970" t="str">
            <v>19980702</v>
          </cell>
          <cell r="K970" t="str">
            <v>115.160946443</v>
          </cell>
          <cell r="L970" t="str">
            <v>-34.304067401</v>
          </cell>
          <cell r="M970" t="str">
            <v>H</v>
          </cell>
          <cell r="N970" t="str">
            <v>1</v>
          </cell>
          <cell r="O970" t="str">
            <v>TEMPERLEY</v>
          </cell>
          <cell r="P970" t="str">
            <v>PL</v>
          </cell>
          <cell r="R970" t="str">
            <v>AUGUSTA</v>
          </cell>
          <cell r="S970" t="str">
            <v>6290</v>
          </cell>
        </row>
        <row r="971">
          <cell r="D971" t="str">
            <v>N- not in use</v>
          </cell>
          <cell r="E971" t="str">
            <v>PS- pump station</v>
          </cell>
          <cell r="F971" t="str">
            <v>EMERGENCY</v>
          </cell>
          <cell r="H971" t="str">
            <v>W- water corporation</v>
          </cell>
          <cell r="J971" t="str">
            <v>19980908</v>
          </cell>
          <cell r="K971" t="str">
            <v>115.952201239</v>
          </cell>
          <cell r="L971" t="str">
            <v>-31.875975711</v>
          </cell>
          <cell r="M971" t="str">
            <v>H</v>
          </cell>
          <cell r="N971" t="str">
            <v>209</v>
          </cell>
          <cell r="O971" t="str">
            <v>BENARA</v>
          </cell>
          <cell r="P971" t="str">
            <v>RD</v>
          </cell>
          <cell r="R971" t="str">
            <v>BEECHBORO</v>
          </cell>
          <cell r="S971" t="str">
            <v>6063</v>
          </cell>
        </row>
        <row r="972">
          <cell r="D972" t="str">
            <v>N- not in use</v>
          </cell>
          <cell r="E972" t="str">
            <v>TPS- temporary pump station</v>
          </cell>
          <cell r="F972" t="str">
            <v>MORLEY DR EAST</v>
          </cell>
          <cell r="H972" t="str">
            <v>W- water corporation</v>
          </cell>
          <cell r="J972" t="str">
            <v>19780926</v>
          </cell>
          <cell r="K972" t="str">
            <v>115.932759036</v>
          </cell>
          <cell r="L972" t="str">
            <v>-31.889328999</v>
          </cell>
          <cell r="M972" t="str">
            <v>H</v>
          </cell>
          <cell r="N972" t="str">
            <v>104</v>
          </cell>
          <cell r="O972" t="str">
            <v>MORLEY</v>
          </cell>
          <cell r="P972" t="str">
            <v>DR</v>
          </cell>
          <cell r="Q972" t="str">
            <v>E</v>
          </cell>
          <cell r="R972" t="str">
            <v>EDEN HILL</v>
          </cell>
          <cell r="S972" t="str">
            <v>6054</v>
          </cell>
        </row>
        <row r="973">
          <cell r="B973" t="str">
            <v>S0030196</v>
          </cell>
          <cell r="C973" t="str">
            <v>SPS NOLAN PL BAYSWATER</v>
          </cell>
          <cell r="D973" t="str">
            <v>A- actual</v>
          </cell>
          <cell r="E973" t="str">
            <v>PS- pump station</v>
          </cell>
          <cell r="F973" t="str">
            <v>NOLAN PL</v>
          </cell>
          <cell r="G973" t="str">
            <v>3</v>
          </cell>
          <cell r="H973" t="str">
            <v>W- water corporation</v>
          </cell>
          <cell r="J973" t="str">
            <v>19900324</v>
          </cell>
          <cell r="K973" t="str">
            <v>115.906087351</v>
          </cell>
          <cell r="L973" t="str">
            <v>-31.923960669</v>
          </cell>
          <cell r="M973" t="str">
            <v>L</v>
          </cell>
          <cell r="N973" t="str">
            <v>121</v>
          </cell>
          <cell r="O973" t="str">
            <v>NOLAN</v>
          </cell>
          <cell r="P973" t="str">
            <v>PL</v>
          </cell>
          <cell r="R973" t="str">
            <v>BAYSWATER</v>
          </cell>
          <cell r="S973" t="str">
            <v>6053</v>
          </cell>
        </row>
        <row r="974">
          <cell r="B974" t="str">
            <v>S0028636</v>
          </cell>
          <cell r="C974" t="str">
            <v>SPS SNOWDONIA CT BALLAJURA</v>
          </cell>
          <cell r="D974" t="str">
            <v>A- actual</v>
          </cell>
          <cell r="E974" t="str">
            <v>PS- pump station</v>
          </cell>
          <cell r="F974" t="str">
            <v>SNOWDONIA CT</v>
          </cell>
          <cell r="G974" t="str">
            <v>3</v>
          </cell>
          <cell r="H974" t="str">
            <v>W- water corporation</v>
          </cell>
          <cell r="J974" t="str">
            <v>19930101</v>
          </cell>
          <cell r="K974" t="str">
            <v>115.909317689</v>
          </cell>
          <cell r="L974" t="str">
            <v>-31.850737525</v>
          </cell>
          <cell r="M974" t="str">
            <v>H</v>
          </cell>
          <cell r="N974" t="str">
            <v>31</v>
          </cell>
          <cell r="O974" t="str">
            <v>SNOWDONIA</v>
          </cell>
          <cell r="P974" t="str">
            <v>CT</v>
          </cell>
          <cell r="R974" t="str">
            <v>BALLAJURA</v>
          </cell>
          <cell r="S974" t="str">
            <v>6066</v>
          </cell>
        </row>
        <row r="975">
          <cell r="D975" t="str">
            <v>A- actual</v>
          </cell>
          <cell r="E975" t="str">
            <v>PS- pump station</v>
          </cell>
          <cell r="F975" t="str">
            <v>BELMONT POLICE STN</v>
          </cell>
          <cell r="H975" t="str">
            <v>P- private</v>
          </cell>
          <cell r="J975" t="str">
            <v>19970708</v>
          </cell>
          <cell r="K975" t="str">
            <v>115.934345765</v>
          </cell>
          <cell r="L975" t="str">
            <v>-31.960339504</v>
          </cell>
          <cell r="M975" t="str">
            <v>H</v>
          </cell>
          <cell r="N975" t="str">
            <v>273</v>
          </cell>
          <cell r="O975" t="str">
            <v>ABERNETHY</v>
          </cell>
          <cell r="P975" t="str">
            <v>RD</v>
          </cell>
          <cell r="R975" t="str">
            <v>CLOVERDALE</v>
          </cell>
          <cell r="S975" t="str">
            <v>6105</v>
          </cell>
        </row>
        <row r="976">
          <cell r="D976" t="str">
            <v>A- actual</v>
          </cell>
          <cell r="E976" t="str">
            <v>EPS- effluent re-use pump station</v>
          </cell>
          <cell r="F976" t="str">
            <v>SOUTH HEDLAND SHIRE</v>
          </cell>
          <cell r="H976" t="str">
            <v>P- private</v>
          </cell>
          <cell r="J976" t="str">
            <v>19740801</v>
          </cell>
          <cell r="K976" t="str">
            <v>118.568675433</v>
          </cell>
          <cell r="L976" t="str">
            <v>-20.410033757</v>
          </cell>
          <cell r="M976" t="str">
            <v>L</v>
          </cell>
          <cell r="N976" t="str">
            <v>254</v>
          </cell>
          <cell r="O976" t="str">
            <v>SHOATA</v>
          </cell>
          <cell r="P976" t="str">
            <v>RD</v>
          </cell>
          <cell r="R976" t="str">
            <v>BOODARIE</v>
          </cell>
          <cell r="S976" t="str">
            <v>6722</v>
          </cell>
        </row>
        <row r="977">
          <cell r="D977" t="str">
            <v>A- actual</v>
          </cell>
          <cell r="E977" t="str">
            <v>EPS- effluent re-use pump station</v>
          </cell>
          <cell r="F977" t="str">
            <v>SOUTH HEDLAND OVAL</v>
          </cell>
          <cell r="H977" t="str">
            <v>P- private</v>
          </cell>
          <cell r="J977" t="str">
            <v>19740801</v>
          </cell>
          <cell r="K977" t="str">
            <v>118.594328853</v>
          </cell>
          <cell r="L977" t="str">
            <v>-20.401174578</v>
          </cell>
          <cell r="M977" t="str">
            <v>H</v>
          </cell>
          <cell r="N977" t="str">
            <v>73</v>
          </cell>
          <cell r="O977" t="str">
            <v>HAMILTON</v>
          </cell>
          <cell r="P977" t="str">
            <v>RD</v>
          </cell>
          <cell r="R977" t="str">
            <v>SOUTH HEDLAND</v>
          </cell>
          <cell r="S977" t="str">
            <v>6722</v>
          </cell>
        </row>
        <row r="978">
          <cell r="B978" t="str">
            <v>S0033222</v>
          </cell>
          <cell r="C978" t="str">
            <v>SPS HALSTEAD ST HAMILTON HILL</v>
          </cell>
          <cell r="D978" t="str">
            <v>A- actual</v>
          </cell>
          <cell r="E978" t="str">
            <v>PS- pump station</v>
          </cell>
          <cell r="F978" t="str">
            <v>HALSTEAD ST</v>
          </cell>
          <cell r="G978" t="str">
            <v>17</v>
          </cell>
          <cell r="H978" t="str">
            <v>W- water corporation</v>
          </cell>
          <cell r="J978" t="str">
            <v>19960916</v>
          </cell>
          <cell r="K978" t="str">
            <v>115.792704625</v>
          </cell>
          <cell r="L978" t="str">
            <v>-32.081742043</v>
          </cell>
          <cell r="M978" t="str">
            <v>L</v>
          </cell>
          <cell r="N978" t="str">
            <v>2652</v>
          </cell>
          <cell r="O978" t="str">
            <v>HALSTEAD</v>
          </cell>
          <cell r="P978" t="str">
            <v>ST</v>
          </cell>
          <cell r="R978" t="str">
            <v>HAMILTON HILL</v>
          </cell>
          <cell r="S978" t="str">
            <v>6163</v>
          </cell>
        </row>
        <row r="979">
          <cell r="B979" t="str">
            <v>S0037382</v>
          </cell>
          <cell r="C979" t="str">
            <v>SPS 1 KNIGHT TCE DENHAM</v>
          </cell>
          <cell r="D979" t="str">
            <v>A- actual</v>
          </cell>
          <cell r="E979" t="str">
            <v>PS- pump station</v>
          </cell>
          <cell r="F979" t="str">
            <v>KNIGHT TCE</v>
          </cell>
          <cell r="G979" t="str">
            <v>1</v>
          </cell>
          <cell r="H979" t="str">
            <v>W- water corporation</v>
          </cell>
          <cell r="J979" t="str">
            <v>19981026</v>
          </cell>
          <cell r="K979" t="str">
            <v>113.543660879</v>
          </cell>
          <cell r="L979" t="str">
            <v>-25.9321404493</v>
          </cell>
          <cell r="M979" t="str">
            <v>H</v>
          </cell>
          <cell r="N979" t="str">
            <v>157</v>
          </cell>
          <cell r="O979" t="str">
            <v>KNIGHT</v>
          </cell>
          <cell r="P979" t="str">
            <v>TCE</v>
          </cell>
          <cell r="R979" t="str">
            <v>DENHAM</v>
          </cell>
          <cell r="S979" t="str">
            <v>6537</v>
          </cell>
        </row>
        <row r="980">
          <cell r="B980" t="str">
            <v>S0044325</v>
          </cell>
          <cell r="C980" t="str">
            <v>SPS HOLGATE RD BROADWATER</v>
          </cell>
          <cell r="D980" t="str">
            <v>A- actual</v>
          </cell>
          <cell r="E980" t="str">
            <v>PS- pump station</v>
          </cell>
          <cell r="F980" t="str">
            <v>HOLGATE RD</v>
          </cell>
          <cell r="G980" t="str">
            <v>9</v>
          </cell>
          <cell r="H980" t="str">
            <v>W- water corporation</v>
          </cell>
          <cell r="J980" t="str">
            <v>19900101</v>
          </cell>
          <cell r="K980" t="str">
            <v>115.279282613</v>
          </cell>
          <cell r="L980" t="str">
            <v>-33.6596271569</v>
          </cell>
          <cell r="M980" t="str">
            <v>H</v>
          </cell>
          <cell r="N980" t="str">
            <v>545</v>
          </cell>
          <cell r="O980" t="str">
            <v>BUSSELL</v>
          </cell>
          <cell r="P980" t="str">
            <v>HWY</v>
          </cell>
          <cell r="R980" t="str">
            <v>BROADWATER</v>
          </cell>
          <cell r="S980" t="str">
            <v>6280</v>
          </cell>
        </row>
        <row r="981">
          <cell r="B981" t="str">
            <v>S0057020</v>
          </cell>
          <cell r="C981" t="str">
            <v>SPS 6 GUBINGE RD BROOME</v>
          </cell>
          <cell r="D981" t="str">
            <v>A- actual</v>
          </cell>
          <cell r="E981" t="str">
            <v>PS- pump station</v>
          </cell>
          <cell r="F981" t="str">
            <v>GUBINGE RD</v>
          </cell>
          <cell r="G981" t="str">
            <v>6</v>
          </cell>
          <cell r="H981" t="str">
            <v>W- water corporation</v>
          </cell>
          <cell r="J981" t="str">
            <v>19981105</v>
          </cell>
          <cell r="K981" t="str">
            <v>122.237780455</v>
          </cell>
          <cell r="L981" t="str">
            <v>-17.931273328</v>
          </cell>
          <cell r="M981" t="str">
            <v>H</v>
          </cell>
          <cell r="N981" t="str">
            <v>13</v>
          </cell>
          <cell r="O981" t="str">
            <v>GODWIT</v>
          </cell>
          <cell r="P981" t="str">
            <v>CR</v>
          </cell>
          <cell r="R981" t="str">
            <v>DJUGUN</v>
          </cell>
          <cell r="S981" t="str">
            <v>6725</v>
          </cell>
        </row>
        <row r="982">
          <cell r="B982" t="str">
            <v>S0038055</v>
          </cell>
          <cell r="C982" t="str">
            <v>SPS WORDSWORTH AV YOKINE</v>
          </cell>
          <cell r="D982" t="str">
            <v>A- actual</v>
          </cell>
          <cell r="E982" t="str">
            <v>PS- pump station</v>
          </cell>
          <cell r="F982" t="str">
            <v>WORDSWORTH AVE</v>
          </cell>
          <cell r="G982" t="str">
            <v>5</v>
          </cell>
          <cell r="H982" t="str">
            <v>W- water corporation</v>
          </cell>
          <cell r="J982" t="str">
            <v>19980827</v>
          </cell>
          <cell r="K982" t="str">
            <v>115.862333311</v>
          </cell>
          <cell r="L982" t="str">
            <v>-31.907315904</v>
          </cell>
          <cell r="M982" t="str">
            <v>H</v>
          </cell>
          <cell r="N982" t="str">
            <v>83</v>
          </cell>
          <cell r="O982" t="str">
            <v>WORDSWORTH</v>
          </cell>
          <cell r="P982" t="str">
            <v>AV</v>
          </cell>
          <cell r="R982" t="str">
            <v>YOKINE</v>
          </cell>
          <cell r="S982" t="str">
            <v>6060</v>
          </cell>
        </row>
        <row r="983">
          <cell r="D983" t="str">
            <v>A- actual</v>
          </cell>
          <cell r="E983" t="str">
            <v>PS- pump station</v>
          </cell>
          <cell r="F983" t="str">
            <v>KIMBERLEY CARAVAN PARK</v>
          </cell>
          <cell r="H983" t="str">
            <v>P- private</v>
          </cell>
          <cell r="J983" t="str">
            <v>19700101</v>
          </cell>
          <cell r="K983" t="str">
            <v>128.733248113</v>
          </cell>
          <cell r="L983" t="str">
            <v>-15.78444436</v>
          </cell>
          <cell r="M983" t="str">
            <v>H</v>
          </cell>
          <cell r="N983" t="str">
            <v>4</v>
          </cell>
          <cell r="O983" t="str">
            <v>BANDICOOT</v>
          </cell>
          <cell r="P983" t="str">
            <v>DR</v>
          </cell>
          <cell r="R983" t="str">
            <v>KUNUNURRA</v>
          </cell>
          <cell r="S983" t="str">
            <v>6743</v>
          </cell>
        </row>
        <row r="984">
          <cell r="D984" t="str">
            <v>A- actual</v>
          </cell>
          <cell r="E984" t="str">
            <v>PS- pump station</v>
          </cell>
          <cell r="F984" t="str">
            <v>LOT 2 MOORE AVE</v>
          </cell>
          <cell r="H984" t="str">
            <v>P- private</v>
          </cell>
          <cell r="J984" t="str">
            <v>19980310</v>
          </cell>
          <cell r="K984" t="str">
            <v>116.020958174</v>
          </cell>
          <cell r="L984" t="str">
            <v>-31.893517942</v>
          </cell>
          <cell r="M984" t="str">
            <v>H</v>
          </cell>
          <cell r="N984" t="str">
            <v>163</v>
          </cell>
          <cell r="O984" t="str">
            <v>GREAT EASTERN</v>
          </cell>
          <cell r="P984" t="str">
            <v>HWY</v>
          </cell>
          <cell r="R984" t="str">
            <v>BELLEVUE</v>
          </cell>
          <cell r="S984" t="str">
            <v>6056</v>
          </cell>
        </row>
        <row r="985">
          <cell r="D985" t="str">
            <v>N- not in use</v>
          </cell>
          <cell r="E985" t="str">
            <v>TPS- temporary pump station</v>
          </cell>
          <cell r="F985" t="str">
            <v>BALCATTA</v>
          </cell>
          <cell r="H985" t="str">
            <v>W- water corporation</v>
          </cell>
          <cell r="J985" t="str">
            <v>19970325</v>
          </cell>
          <cell r="K985" t="str">
            <v>115.796984331</v>
          </cell>
          <cell r="L985" t="str">
            <v>-31.869729891</v>
          </cell>
          <cell r="M985" t="str">
            <v>H</v>
          </cell>
          <cell r="N985" t="str">
            <v>50</v>
          </cell>
          <cell r="O985" t="str">
            <v>PORTER</v>
          </cell>
          <cell r="P985" t="str">
            <v>ST</v>
          </cell>
          <cell r="R985" t="str">
            <v>GWELUP</v>
          </cell>
          <cell r="S985" t="str">
            <v>6018</v>
          </cell>
        </row>
        <row r="986">
          <cell r="B986" t="str">
            <v>S0044465</v>
          </cell>
          <cell r="C986" t="str">
            <v>SPS CLUBHOUSE DR DUNSBOROUGH</v>
          </cell>
          <cell r="D986" t="str">
            <v>A- actual</v>
          </cell>
          <cell r="E986" t="str">
            <v>PS- pump station</v>
          </cell>
          <cell r="F986" t="str">
            <v>CLUBHOUSE DR</v>
          </cell>
          <cell r="G986" t="str">
            <v>11</v>
          </cell>
          <cell r="H986" t="str">
            <v>W- water corporation</v>
          </cell>
          <cell r="J986" t="str">
            <v>19980608</v>
          </cell>
          <cell r="K986" t="str">
            <v>115.112762355</v>
          </cell>
          <cell r="L986" t="str">
            <v>-33.62425516</v>
          </cell>
          <cell r="M986" t="str">
            <v>L</v>
          </cell>
          <cell r="N986" t="str">
            <v>702</v>
          </cell>
          <cell r="O986" t="str">
            <v>CLUBHOUSE</v>
          </cell>
          <cell r="P986" t="str">
            <v>DR</v>
          </cell>
          <cell r="R986" t="str">
            <v>DUNSBOROUGH</v>
          </cell>
          <cell r="S986" t="str">
            <v>6281</v>
          </cell>
        </row>
        <row r="987">
          <cell r="D987" t="str">
            <v>A- actual</v>
          </cell>
          <cell r="E987" t="str">
            <v>PS- pump station</v>
          </cell>
          <cell r="H987" t="str">
            <v>P- private</v>
          </cell>
          <cell r="J987" t="str">
            <v>19990217</v>
          </cell>
          <cell r="K987" t="str">
            <v>116.677276534</v>
          </cell>
          <cell r="L987" t="str">
            <v>-31.6423280782</v>
          </cell>
          <cell r="M987" t="str">
            <v>H</v>
          </cell>
          <cell r="N987" t="str">
            <v>4</v>
          </cell>
          <cell r="O987" t="str">
            <v>QUELQUELLING</v>
          </cell>
          <cell r="P987" t="str">
            <v>RD</v>
          </cell>
          <cell r="R987" t="str">
            <v>NORTHAM</v>
          </cell>
          <cell r="S987" t="str">
            <v>6401</v>
          </cell>
        </row>
        <row r="988">
          <cell r="D988" t="str">
            <v>A- actual</v>
          </cell>
          <cell r="E988" t="str">
            <v>PS- pump station</v>
          </cell>
          <cell r="H988" t="str">
            <v>P- private</v>
          </cell>
          <cell r="J988" t="str">
            <v>19990217</v>
          </cell>
          <cell r="K988" t="str">
            <v>116.677276534</v>
          </cell>
          <cell r="L988" t="str">
            <v>-31.6423280782</v>
          </cell>
          <cell r="M988" t="str">
            <v>H</v>
          </cell>
          <cell r="N988" t="str">
            <v>4</v>
          </cell>
          <cell r="O988" t="str">
            <v>QUELQUELLING</v>
          </cell>
          <cell r="P988" t="str">
            <v>RD</v>
          </cell>
          <cell r="R988" t="str">
            <v>NORTHAM</v>
          </cell>
          <cell r="S988" t="str">
            <v>6401</v>
          </cell>
        </row>
        <row r="989">
          <cell r="B989" t="str">
            <v>S0038060</v>
          </cell>
          <cell r="C989" t="str">
            <v>SPS BORONIA ST INNALOO</v>
          </cell>
          <cell r="D989" t="str">
            <v>A- actual</v>
          </cell>
          <cell r="E989" t="str">
            <v>PS- pump station</v>
          </cell>
          <cell r="F989" t="str">
            <v>BORONIA ST</v>
          </cell>
          <cell r="G989" t="str">
            <v>12</v>
          </cell>
          <cell r="H989" t="str">
            <v>W- water corporation</v>
          </cell>
          <cell r="J989" t="str">
            <v>19980916</v>
          </cell>
          <cell r="K989" t="str">
            <v>115.787568357</v>
          </cell>
          <cell r="L989" t="str">
            <v>-31.896006077</v>
          </cell>
          <cell r="M989" t="str">
            <v>H</v>
          </cell>
          <cell r="N989" t="str">
            <v>4</v>
          </cell>
          <cell r="O989" t="str">
            <v>BORONIA</v>
          </cell>
          <cell r="P989" t="str">
            <v>ST</v>
          </cell>
          <cell r="R989" t="str">
            <v>INNALOO</v>
          </cell>
          <cell r="S989" t="str">
            <v>6018</v>
          </cell>
        </row>
        <row r="990">
          <cell r="B990" t="str">
            <v>S0037830</v>
          </cell>
          <cell r="C990" t="str">
            <v>SPS LESTER AVE GERALDTON</v>
          </cell>
          <cell r="D990" t="str">
            <v>A- actual</v>
          </cell>
          <cell r="E990" t="str">
            <v>PS- pump station</v>
          </cell>
          <cell r="F990" t="str">
            <v>LESTER AVE</v>
          </cell>
          <cell r="G990" t="str">
            <v>2</v>
          </cell>
          <cell r="H990" t="str">
            <v>W- water corporation</v>
          </cell>
          <cell r="J990" t="str">
            <v>19850101</v>
          </cell>
          <cell r="K990" t="str">
            <v>114.608333912</v>
          </cell>
          <cell r="L990" t="str">
            <v>-28.7756190184</v>
          </cell>
          <cell r="M990" t="str">
            <v>L</v>
          </cell>
          <cell r="N990" t="str">
            <v>1782</v>
          </cell>
          <cell r="O990" t="str">
            <v>LESTER</v>
          </cell>
          <cell r="P990" t="str">
            <v>AV</v>
          </cell>
          <cell r="R990" t="str">
            <v>GERALDTON</v>
          </cell>
          <cell r="S990" t="str">
            <v>6530</v>
          </cell>
        </row>
        <row r="991">
          <cell r="B991" t="str">
            <v>S2000268</v>
          </cell>
          <cell r="C991" t="str">
            <v>SPS COHN ST KEWDALE</v>
          </cell>
          <cell r="D991" t="str">
            <v>A- actual</v>
          </cell>
          <cell r="E991" t="str">
            <v>PS- pump station</v>
          </cell>
          <cell r="F991" t="str">
            <v>COHN ST</v>
          </cell>
          <cell r="G991" t="str">
            <v>6</v>
          </cell>
          <cell r="H991" t="str">
            <v>W- water corporation</v>
          </cell>
          <cell r="J991" t="str">
            <v>19990520</v>
          </cell>
          <cell r="K991" t="str">
            <v>115.93151646</v>
          </cell>
          <cell r="L991" t="str">
            <v>-31.9773283932</v>
          </cell>
          <cell r="M991" t="str">
            <v>H</v>
          </cell>
          <cell r="N991" t="str">
            <v>104</v>
          </cell>
          <cell r="O991" t="str">
            <v>COHN</v>
          </cell>
          <cell r="P991" t="str">
            <v>ST</v>
          </cell>
          <cell r="R991" t="str">
            <v>KEWDALE</v>
          </cell>
          <cell r="S991" t="str">
            <v>6105</v>
          </cell>
        </row>
        <row r="992">
          <cell r="B992" t="str">
            <v>S2000030</v>
          </cell>
          <cell r="C992" t="str">
            <v>SPS TUCKER ST MEDINA</v>
          </cell>
          <cell r="D992" t="str">
            <v>A- actual</v>
          </cell>
          <cell r="E992" t="str">
            <v>PS- pump station</v>
          </cell>
          <cell r="F992" t="str">
            <v>TUCKER ST</v>
          </cell>
          <cell r="G992" t="str">
            <v>9</v>
          </cell>
          <cell r="H992" t="str">
            <v>W- water corporation</v>
          </cell>
          <cell r="J992" t="str">
            <v>19980724</v>
          </cell>
          <cell r="K992" t="str">
            <v>115.79967757</v>
          </cell>
          <cell r="L992" t="str">
            <v>-32.232061684</v>
          </cell>
          <cell r="M992" t="str">
            <v>H</v>
          </cell>
          <cell r="N992" t="str">
            <v>1</v>
          </cell>
          <cell r="O992" t="str">
            <v>COWCHER</v>
          </cell>
          <cell r="P992" t="str">
            <v>WAY</v>
          </cell>
          <cell r="Q992" t="str">
            <v>W</v>
          </cell>
          <cell r="R992" t="str">
            <v>MEDINA</v>
          </cell>
          <cell r="S992" t="str">
            <v>6167</v>
          </cell>
        </row>
        <row r="993">
          <cell r="B993" t="str">
            <v>S0038070</v>
          </cell>
          <cell r="C993" t="str">
            <v>SPS GENTLE RD CALISTA</v>
          </cell>
          <cell r="D993" t="str">
            <v>A- actual</v>
          </cell>
          <cell r="E993" t="str">
            <v>PS- pump station</v>
          </cell>
          <cell r="F993" t="str">
            <v>GENTLE RD</v>
          </cell>
          <cell r="G993" t="str">
            <v>8</v>
          </cell>
          <cell r="H993" t="str">
            <v>W- water corporation</v>
          </cell>
          <cell r="J993" t="str">
            <v>19980216</v>
          </cell>
          <cell r="K993" t="str">
            <v>115.797855244</v>
          </cell>
          <cell r="L993" t="str">
            <v>-32.240537379</v>
          </cell>
          <cell r="M993" t="str">
            <v>H</v>
          </cell>
          <cell r="N993" t="str">
            <v>5</v>
          </cell>
          <cell r="O993" t="str">
            <v>GENTLE</v>
          </cell>
          <cell r="P993" t="str">
            <v>RD</v>
          </cell>
          <cell r="R993" t="str">
            <v>MEDINA</v>
          </cell>
          <cell r="S993" t="str">
            <v>6167</v>
          </cell>
        </row>
        <row r="994">
          <cell r="D994" t="str">
            <v>A- actual</v>
          </cell>
          <cell r="E994" t="str">
            <v>PS- pump station</v>
          </cell>
          <cell r="F994" t="str">
            <v>STEGGLES</v>
          </cell>
          <cell r="H994" t="str">
            <v>P- private</v>
          </cell>
          <cell r="J994" t="str">
            <v>19981220</v>
          </cell>
          <cell r="K994" t="str">
            <v>115.81831824</v>
          </cell>
          <cell r="L994" t="str">
            <v>-31.908965505</v>
          </cell>
          <cell r="M994" t="str">
            <v>H</v>
          </cell>
          <cell r="N994" t="str">
            <v>24</v>
          </cell>
          <cell r="O994" t="str">
            <v>COLRAY</v>
          </cell>
          <cell r="P994" t="str">
            <v>AV</v>
          </cell>
          <cell r="R994" t="str">
            <v>OSBORNE PARK</v>
          </cell>
          <cell r="S994" t="str">
            <v>6017</v>
          </cell>
        </row>
        <row r="995">
          <cell r="B995" t="str">
            <v>S8000274</v>
          </cell>
          <cell r="C995" t="str">
            <v>SPS ABROLHOS QYS WANNANUP</v>
          </cell>
          <cell r="D995" t="str">
            <v>A- actual</v>
          </cell>
          <cell r="E995" t="str">
            <v>PS- pump station</v>
          </cell>
          <cell r="F995" t="str">
            <v>ABROLHOS QYS</v>
          </cell>
          <cell r="G995" t="str">
            <v>6</v>
          </cell>
          <cell r="H995" t="str">
            <v>W- water corporation</v>
          </cell>
          <cell r="J995" t="str">
            <v>19991004</v>
          </cell>
          <cell r="K995" t="str">
            <v>115.634854668</v>
          </cell>
          <cell r="L995" t="str">
            <v>-32.598723393</v>
          </cell>
          <cell r="M995" t="str">
            <v>H</v>
          </cell>
          <cell r="N995" t="str">
            <v>23</v>
          </cell>
          <cell r="O995" t="str">
            <v>ABROLHOS</v>
          </cell>
          <cell r="P995" t="str">
            <v>QYS</v>
          </cell>
          <cell r="R995" t="str">
            <v>WANNANUP</v>
          </cell>
          <cell r="S995" t="str">
            <v>6210</v>
          </cell>
        </row>
        <row r="996">
          <cell r="D996" t="str">
            <v>A- actual</v>
          </cell>
          <cell r="E996" t="str">
            <v>PS- pump station</v>
          </cell>
          <cell r="F996" t="str">
            <v>SERPENTINE RD</v>
          </cell>
          <cell r="H996" t="str">
            <v>P- private</v>
          </cell>
          <cell r="J996" t="str">
            <v>19990503</v>
          </cell>
          <cell r="K996" t="str">
            <v>117.888306865</v>
          </cell>
          <cell r="L996" t="str">
            <v>-35.0216212065</v>
          </cell>
          <cell r="M996" t="str">
            <v>H</v>
          </cell>
          <cell r="N996" t="str">
            <v>20</v>
          </cell>
          <cell r="O996" t="str">
            <v>SERPENTINE EAST</v>
          </cell>
          <cell r="P996" t="str">
            <v>RD</v>
          </cell>
          <cell r="R996" t="str">
            <v>MOUNT CLARENCE</v>
          </cell>
          <cell r="S996" t="str">
            <v>6330</v>
          </cell>
        </row>
        <row r="997">
          <cell r="B997" t="str">
            <v>S0030443</v>
          </cell>
          <cell r="C997" t="str">
            <v>SPS LEEDER ST SAFETY BAY</v>
          </cell>
          <cell r="D997" t="str">
            <v>A- actual</v>
          </cell>
          <cell r="E997" t="str">
            <v>PS- pump station</v>
          </cell>
          <cell r="F997" t="str">
            <v>LEEDER ST.</v>
          </cell>
          <cell r="G997" t="str">
            <v>15</v>
          </cell>
          <cell r="H997" t="str">
            <v>W- water corporation</v>
          </cell>
          <cell r="J997" t="str">
            <v>19970326</v>
          </cell>
          <cell r="K997" t="str">
            <v>115.716832195</v>
          </cell>
          <cell r="L997" t="str">
            <v>-32.300627739</v>
          </cell>
          <cell r="M997" t="str">
            <v>L</v>
          </cell>
          <cell r="N997" t="str">
            <v>518</v>
          </cell>
          <cell r="O997" t="str">
            <v>LEEDER</v>
          </cell>
          <cell r="P997" t="str">
            <v>ST</v>
          </cell>
          <cell r="R997" t="str">
            <v>SAFETY BAY</v>
          </cell>
          <cell r="S997" t="str">
            <v>6169</v>
          </cell>
        </row>
        <row r="998">
          <cell r="D998" t="str">
            <v>A- actual</v>
          </cell>
          <cell r="E998" t="str">
            <v>PS- pump station</v>
          </cell>
          <cell r="F998" t="str">
            <v>SAFE HOUSE</v>
          </cell>
          <cell r="H998" t="str">
            <v>P- private</v>
          </cell>
          <cell r="J998" t="str">
            <v>19990409</v>
          </cell>
          <cell r="K998" t="str">
            <v>117.145464667</v>
          </cell>
          <cell r="L998" t="str">
            <v>-20.777012305</v>
          </cell>
          <cell r="M998" t="str">
            <v>H</v>
          </cell>
          <cell r="N998" t="str">
            <v>73</v>
          </cell>
          <cell r="O998" t="str">
            <v>SHOLL</v>
          </cell>
          <cell r="P998" t="str">
            <v>ST</v>
          </cell>
          <cell r="R998" t="str">
            <v>ROEBOURNE</v>
          </cell>
          <cell r="S998" t="str">
            <v>6718</v>
          </cell>
        </row>
        <row r="999">
          <cell r="B999" t="str">
            <v>S0015156</v>
          </cell>
          <cell r="C999" t="str">
            <v>SPS MH1A THE ESPLANADE ESPERANCE</v>
          </cell>
          <cell r="D999" t="str">
            <v>A- actual</v>
          </cell>
          <cell r="E999" t="str">
            <v>PS- pump station</v>
          </cell>
          <cell r="F999" t="str">
            <v>THE ESPLANADE</v>
          </cell>
          <cell r="G999" t="str">
            <v>1A</v>
          </cell>
          <cell r="H999" t="str">
            <v>W- water corporation</v>
          </cell>
          <cell r="J999" t="str">
            <v>19990101</v>
          </cell>
          <cell r="K999" t="str">
            <v>121.891868487</v>
          </cell>
          <cell r="L999" t="str">
            <v>-33.86635798</v>
          </cell>
          <cell r="M999" t="str">
            <v>H</v>
          </cell>
          <cell r="N999" t="str">
            <v>74</v>
          </cell>
          <cell r="O999" t="str">
            <v>THE ESPLANADE</v>
          </cell>
          <cell r="R999" t="str">
            <v>ESPERANCE</v>
          </cell>
          <cell r="S999" t="str">
            <v>6450</v>
          </cell>
        </row>
        <row r="1000">
          <cell r="D1000" t="str">
            <v>A- actual</v>
          </cell>
          <cell r="E1000" t="str">
            <v>PS- pump station</v>
          </cell>
          <cell r="H1000" t="str">
            <v>P- private</v>
          </cell>
          <cell r="J1000" t="str">
            <v>19800501</v>
          </cell>
          <cell r="K1000" t="str">
            <v>117.14062144</v>
          </cell>
          <cell r="L1000" t="str">
            <v>-20.677834603</v>
          </cell>
          <cell r="M1000" t="str">
            <v>L</v>
          </cell>
          <cell r="N1000" t="str">
            <v>780</v>
          </cell>
          <cell r="O1000" t="str">
            <v>CARSE</v>
          </cell>
          <cell r="P1000" t="str">
            <v>ST</v>
          </cell>
          <cell r="R1000" t="str">
            <v>WICKHAM</v>
          </cell>
          <cell r="S1000" t="str">
            <v>6720</v>
          </cell>
        </row>
        <row r="1001">
          <cell r="B1001" t="str">
            <v>S0015158</v>
          </cell>
          <cell r="C1001" t="str">
            <v>SPS MH0140 PHILLIPS ST ESPERANCE</v>
          </cell>
          <cell r="D1001" t="str">
            <v>A- actual</v>
          </cell>
          <cell r="E1001" t="str">
            <v>TPS- temporary pump station</v>
          </cell>
          <cell r="F1001" t="str">
            <v>PHILIPS ST</v>
          </cell>
          <cell r="H1001" t="str">
            <v>W- water corporation</v>
          </cell>
          <cell r="J1001" t="str">
            <v>19830101</v>
          </cell>
          <cell r="K1001" t="str">
            <v>121.882935734</v>
          </cell>
          <cell r="L1001" t="str">
            <v>-33.873195504</v>
          </cell>
          <cell r="M1001" t="str">
            <v>H</v>
          </cell>
          <cell r="N1001" t="str">
            <v>58</v>
          </cell>
          <cell r="O1001" t="str">
            <v>PHILLIPS</v>
          </cell>
          <cell r="P1001" t="str">
            <v>ST</v>
          </cell>
          <cell r="R1001" t="str">
            <v>WEST BEACH</v>
          </cell>
          <cell r="S1001" t="str">
            <v>6450</v>
          </cell>
        </row>
        <row r="1002">
          <cell r="B1002" t="str">
            <v>S0015659</v>
          </cell>
          <cell r="C1002" t="str">
            <v>SPS 1 FORREST ST LEONORA</v>
          </cell>
          <cell r="D1002" t="str">
            <v>A- actual</v>
          </cell>
          <cell r="E1002" t="str">
            <v>PS- pump station</v>
          </cell>
          <cell r="F1002" t="str">
            <v>FORREST ST</v>
          </cell>
          <cell r="G1002" t="str">
            <v>1</v>
          </cell>
          <cell r="H1002" t="str">
            <v>W- water corporation</v>
          </cell>
          <cell r="J1002" t="str">
            <v>19910726</v>
          </cell>
          <cell r="K1002" t="str">
            <v>121.326385936</v>
          </cell>
          <cell r="L1002" t="str">
            <v>-28.879846455</v>
          </cell>
          <cell r="M1002" t="str">
            <v>H</v>
          </cell>
          <cell r="N1002" t="str">
            <v>2</v>
          </cell>
          <cell r="O1002" t="str">
            <v>KURRAJONG</v>
          </cell>
          <cell r="P1002" t="str">
            <v>ST</v>
          </cell>
          <cell r="R1002" t="str">
            <v>LEONORA</v>
          </cell>
          <cell r="S1002" t="str">
            <v>6438</v>
          </cell>
        </row>
        <row r="1003">
          <cell r="D1003" t="str">
            <v>A- actual</v>
          </cell>
          <cell r="E1003" t="str">
            <v>PS- pump station</v>
          </cell>
          <cell r="F1003" t="str">
            <v>RIVERBANK</v>
          </cell>
          <cell r="H1003" t="str">
            <v>P- private</v>
          </cell>
          <cell r="J1003" t="str">
            <v>19910101</v>
          </cell>
          <cell r="K1003" t="str">
            <v>115.987077908</v>
          </cell>
          <cell r="L1003" t="str">
            <v>-31.882449098</v>
          </cell>
          <cell r="M1003" t="str">
            <v>H</v>
          </cell>
          <cell r="N1003" t="str">
            <v>127</v>
          </cell>
          <cell r="O1003" t="str">
            <v>HAMERSLEY</v>
          </cell>
          <cell r="P1003" t="str">
            <v>RD</v>
          </cell>
          <cell r="R1003" t="str">
            <v>CAVERSHAM</v>
          </cell>
          <cell r="S1003" t="str">
            <v>6055</v>
          </cell>
        </row>
        <row r="1004">
          <cell r="B1004" t="str">
            <v>S3000005</v>
          </cell>
          <cell r="C1004" t="str">
            <v>VPS 7 ACTON ST PT HEDLAND</v>
          </cell>
          <cell r="D1004" t="str">
            <v>A- actual</v>
          </cell>
          <cell r="E1004" t="str">
            <v>VPS- vacuum pump station</v>
          </cell>
          <cell r="F1004" t="str">
            <v>ACTON ST</v>
          </cell>
          <cell r="G1004" t="str">
            <v>7</v>
          </cell>
          <cell r="H1004" t="str">
            <v>W- water corporation</v>
          </cell>
          <cell r="J1004" t="str">
            <v>19990319</v>
          </cell>
          <cell r="K1004" t="str">
            <v>118.592987575</v>
          </cell>
          <cell r="L1004" t="str">
            <v>-20.3112483757</v>
          </cell>
          <cell r="M1004" t="str">
            <v>H</v>
          </cell>
          <cell r="N1004" t="str">
            <v>4</v>
          </cell>
          <cell r="O1004" t="str">
            <v>BEART</v>
          </cell>
          <cell r="P1004" t="str">
            <v>ST</v>
          </cell>
          <cell r="R1004" t="str">
            <v>PORT HEDLAND</v>
          </cell>
          <cell r="S1004" t="str">
            <v>6721</v>
          </cell>
        </row>
        <row r="1005">
          <cell r="D1005" t="str">
            <v>A- actual</v>
          </cell>
          <cell r="E1005" t="str">
            <v>PS- pump station</v>
          </cell>
          <cell r="F1005" t="str">
            <v>MOBIL 24HR</v>
          </cell>
          <cell r="H1005" t="str">
            <v>P- private</v>
          </cell>
          <cell r="J1005" t="str">
            <v>19990310</v>
          </cell>
          <cell r="K1005" t="str">
            <v>128.739850108</v>
          </cell>
          <cell r="L1005" t="str">
            <v>-15.7784918138</v>
          </cell>
          <cell r="M1005" t="str">
            <v>H</v>
          </cell>
          <cell r="N1005" t="str">
            <v>44</v>
          </cell>
          <cell r="O1005" t="str">
            <v>BANDICOOT</v>
          </cell>
          <cell r="P1005" t="str">
            <v>DR</v>
          </cell>
          <cell r="R1005" t="str">
            <v>KUNUNURRA</v>
          </cell>
          <cell r="S1005" t="str">
            <v>6743</v>
          </cell>
        </row>
        <row r="1006">
          <cell r="B1006" t="str">
            <v>S8000288</v>
          </cell>
          <cell r="C1006" t="str">
            <v>SPS MONASH BVD EATON</v>
          </cell>
          <cell r="D1006" t="str">
            <v>A- actual</v>
          </cell>
          <cell r="E1006" t="str">
            <v>PS- pump station</v>
          </cell>
          <cell r="F1006" t="str">
            <v>MONASH BVD</v>
          </cell>
          <cell r="G1006" t="str">
            <v>4</v>
          </cell>
          <cell r="H1006" t="str">
            <v>W- water corporation</v>
          </cell>
          <cell r="J1006" t="str">
            <v>19990323</v>
          </cell>
          <cell r="K1006" t="str">
            <v>115.726587578</v>
          </cell>
          <cell r="L1006" t="str">
            <v>-33.31421087</v>
          </cell>
          <cell r="M1006" t="str">
            <v>H</v>
          </cell>
          <cell r="N1006" t="str">
            <v>171</v>
          </cell>
          <cell r="O1006" t="str">
            <v>EATON</v>
          </cell>
          <cell r="P1006" t="str">
            <v>DR</v>
          </cell>
          <cell r="R1006" t="str">
            <v>EATON</v>
          </cell>
          <cell r="S1006" t="str">
            <v>6232</v>
          </cell>
        </row>
        <row r="1007">
          <cell r="B1007" t="str">
            <v>S0033443</v>
          </cell>
          <cell r="C1007" t="str">
            <v>SPS JAMES ST GOSNELLS</v>
          </cell>
          <cell r="D1007" t="str">
            <v>A- actual</v>
          </cell>
          <cell r="E1007" t="str">
            <v>PS- pump station</v>
          </cell>
          <cell r="F1007" t="str">
            <v>JAMES ST</v>
          </cell>
          <cell r="G1007" t="str">
            <v>02-05</v>
          </cell>
          <cell r="H1007" t="str">
            <v>W- water corporation</v>
          </cell>
          <cell r="J1007" t="str">
            <v>19970131</v>
          </cell>
          <cell r="K1007" t="str">
            <v>115.998548161</v>
          </cell>
          <cell r="L1007" t="str">
            <v>-32.084666466</v>
          </cell>
          <cell r="M1007" t="str">
            <v>H</v>
          </cell>
          <cell r="N1007" t="str">
            <v>40</v>
          </cell>
          <cell r="O1007" t="str">
            <v>JAMES</v>
          </cell>
          <cell r="P1007" t="str">
            <v>ST</v>
          </cell>
          <cell r="R1007" t="str">
            <v>GOSNELLS</v>
          </cell>
          <cell r="S1007" t="str">
            <v>6110</v>
          </cell>
        </row>
        <row r="1008">
          <cell r="B1008" t="str">
            <v>S0037768</v>
          </cell>
          <cell r="C1008" t="str">
            <v>SPS FRASER ST BEACHLANDS</v>
          </cell>
          <cell r="D1008" t="str">
            <v>A- actual</v>
          </cell>
          <cell r="E1008" t="str">
            <v>PS- pump station</v>
          </cell>
          <cell r="F1008" t="str">
            <v>FRASER ST</v>
          </cell>
          <cell r="H1008" t="str">
            <v>W- water corporation</v>
          </cell>
          <cell r="J1008" t="str">
            <v>19970101</v>
          </cell>
          <cell r="K1008" t="str">
            <v>114.598443285</v>
          </cell>
          <cell r="L1008" t="str">
            <v>-28.786327789</v>
          </cell>
          <cell r="M1008" t="str">
            <v>L</v>
          </cell>
          <cell r="N1008" t="str">
            <v>3043</v>
          </cell>
          <cell r="O1008" t="str">
            <v>FRASER</v>
          </cell>
          <cell r="P1008" t="str">
            <v>ST</v>
          </cell>
          <cell r="R1008" t="str">
            <v>BEACHLANDS</v>
          </cell>
          <cell r="S1008" t="str">
            <v>6530</v>
          </cell>
        </row>
        <row r="1009">
          <cell r="D1009" t="str">
            <v>N- not in use</v>
          </cell>
          <cell r="E1009" t="str">
            <v>PS- pump station</v>
          </cell>
          <cell r="F1009" t="str">
            <v>CASTLE ST TEMPORARY</v>
          </cell>
          <cell r="H1009" t="str">
            <v>W- water corporation</v>
          </cell>
          <cell r="J1009" t="str">
            <v>19990527</v>
          </cell>
          <cell r="K1009" t="str">
            <v>115.753855744</v>
          </cell>
          <cell r="L1009" t="str">
            <v>-31.855615269</v>
          </cell>
          <cell r="M1009" t="str">
            <v>H</v>
          </cell>
          <cell r="N1009" t="str">
            <v>2</v>
          </cell>
          <cell r="O1009" t="str">
            <v>LAGUNA</v>
          </cell>
          <cell r="P1009" t="str">
            <v>WAY</v>
          </cell>
          <cell r="R1009" t="str">
            <v>NORTH BEACH</v>
          </cell>
          <cell r="S1009" t="str">
            <v>6020</v>
          </cell>
        </row>
        <row r="1010">
          <cell r="B1010" t="str">
            <v>S0034034</v>
          </cell>
          <cell r="C1010" t="str">
            <v>SPS EPSOM AV CLOVERDALE</v>
          </cell>
          <cell r="D1010" t="str">
            <v>A- actual</v>
          </cell>
          <cell r="E1010" t="str">
            <v>PS- pump station</v>
          </cell>
          <cell r="F1010" t="str">
            <v>EPSOM AVE</v>
          </cell>
          <cell r="G1010" t="str">
            <v>6</v>
          </cell>
          <cell r="H1010" t="str">
            <v>W- water corporation</v>
          </cell>
          <cell r="J1010" t="str">
            <v>19990521</v>
          </cell>
          <cell r="K1010" t="str">
            <v>115.953767892</v>
          </cell>
          <cell r="L1010" t="str">
            <v>-31.954981465</v>
          </cell>
          <cell r="M1010" t="str">
            <v>H</v>
          </cell>
          <cell r="N1010" t="str">
            <v>344</v>
          </cell>
          <cell r="O1010" t="str">
            <v>EPSOM</v>
          </cell>
          <cell r="P1010" t="str">
            <v>AV</v>
          </cell>
          <cell r="R1010" t="str">
            <v>CLOVERDALE</v>
          </cell>
          <cell r="S1010" t="str">
            <v>6105</v>
          </cell>
        </row>
        <row r="1011">
          <cell r="B1011" t="str">
            <v>S8000280</v>
          </cell>
          <cell r="C1011" t="str">
            <v>VPS OLIVE RD FALCON</v>
          </cell>
          <cell r="D1011" t="str">
            <v>A- actual</v>
          </cell>
          <cell r="E1011" t="str">
            <v>VPS- vacuum pump station</v>
          </cell>
          <cell r="F1011" t="str">
            <v>OLIVE RD</v>
          </cell>
          <cell r="G1011" t="str">
            <v>1</v>
          </cell>
          <cell r="H1011" t="str">
            <v>W- water corporation</v>
          </cell>
          <cell r="J1011" t="str">
            <v>19990601</v>
          </cell>
          <cell r="K1011" t="str">
            <v>115.6666481</v>
          </cell>
          <cell r="L1011" t="str">
            <v>-32.5820941347</v>
          </cell>
          <cell r="M1011" t="str">
            <v>H</v>
          </cell>
          <cell r="N1011" t="str">
            <v>48</v>
          </cell>
          <cell r="O1011" t="str">
            <v>OLIVE</v>
          </cell>
          <cell r="P1011" t="str">
            <v>RD</v>
          </cell>
          <cell r="R1011" t="str">
            <v>FALCON</v>
          </cell>
          <cell r="S1011" t="str">
            <v>6210</v>
          </cell>
        </row>
        <row r="1012">
          <cell r="B1012" t="str">
            <v>S2000012</v>
          </cell>
          <cell r="C1012" t="str">
            <v>SPS LEEUWIN HMAS PRIVATE EAST FREMANTLE</v>
          </cell>
          <cell r="D1012" t="str">
            <v>A- actual</v>
          </cell>
          <cell r="E1012" t="str">
            <v>PS- pump station</v>
          </cell>
          <cell r="F1012" t="str">
            <v>LEEUWIN HMAS</v>
          </cell>
          <cell r="H1012" t="str">
            <v>P- private</v>
          </cell>
          <cell r="J1012" t="str">
            <v>19700101</v>
          </cell>
          <cell r="K1012" t="str">
            <v>115.764809293</v>
          </cell>
          <cell r="L1012" t="str">
            <v>-32.028885355</v>
          </cell>
          <cell r="M1012" t="str">
            <v>L</v>
          </cell>
          <cell r="N1012" t="str">
            <v>4785</v>
          </cell>
          <cell r="O1012" t="str">
            <v>RIVERSIDE</v>
          </cell>
          <cell r="P1012" t="str">
            <v>RD</v>
          </cell>
          <cell r="R1012" t="str">
            <v>EAST FREMANTLE</v>
          </cell>
          <cell r="S1012" t="str">
            <v>6158</v>
          </cell>
        </row>
        <row r="1013">
          <cell r="B1013" t="str">
            <v>S2003258</v>
          </cell>
          <cell r="C1013" t="str">
            <v>SPS THE LANE CHURCHLANDS</v>
          </cell>
          <cell r="D1013" t="str">
            <v>A- actual</v>
          </cell>
          <cell r="E1013" t="str">
            <v>PS- pump station</v>
          </cell>
          <cell r="F1013" t="str">
            <v>THE LANE</v>
          </cell>
          <cell r="H1013" t="str">
            <v>W- water corporation</v>
          </cell>
          <cell r="J1013" t="str">
            <v>19990630</v>
          </cell>
          <cell r="K1013" t="str">
            <v>115.795284063</v>
          </cell>
          <cell r="L1013" t="str">
            <v>-31.9195902843</v>
          </cell>
          <cell r="M1013" t="str">
            <v>H</v>
          </cell>
          <cell r="N1013" t="str">
            <v>11</v>
          </cell>
          <cell r="O1013" t="str">
            <v>THE LANE</v>
          </cell>
          <cell r="R1013" t="str">
            <v>CHURCHLANDS</v>
          </cell>
          <cell r="S1013" t="str">
            <v>6018</v>
          </cell>
        </row>
        <row r="1014">
          <cell r="B1014" t="str">
            <v>S0043968</v>
          </cell>
          <cell r="C1014" t="str">
            <v>SPS ALLAN RD BINNINGUP</v>
          </cell>
          <cell r="D1014" t="str">
            <v>A- actual</v>
          </cell>
          <cell r="E1014" t="str">
            <v>PS- pump station</v>
          </cell>
          <cell r="F1014" t="str">
            <v>ALLAN RD</v>
          </cell>
          <cell r="G1014" t="str">
            <v>2</v>
          </cell>
          <cell r="H1014" t="str">
            <v>W- water corporation</v>
          </cell>
          <cell r="J1014" t="str">
            <v>19970101</v>
          </cell>
          <cell r="K1014" t="str">
            <v>115.689460556</v>
          </cell>
          <cell r="L1014" t="str">
            <v>-33.140832514</v>
          </cell>
          <cell r="M1014" t="str">
            <v>H</v>
          </cell>
          <cell r="N1014" t="str">
            <v>71</v>
          </cell>
          <cell r="O1014" t="str">
            <v>ALLAN</v>
          </cell>
          <cell r="P1014" t="str">
            <v>RD</v>
          </cell>
          <cell r="R1014" t="str">
            <v>BINNINGUP</v>
          </cell>
          <cell r="S1014" t="str">
            <v>6233</v>
          </cell>
        </row>
        <row r="1015">
          <cell r="B1015" t="str">
            <v>S0044032</v>
          </cell>
          <cell r="C1015" t="str">
            <v>SPS BUNBURY DEPOT DAVENPORT</v>
          </cell>
          <cell r="D1015" t="str">
            <v>A- actual</v>
          </cell>
          <cell r="E1015" t="str">
            <v>PS- pump station</v>
          </cell>
          <cell r="F1015" t="str">
            <v>BUNBURY DEPOT</v>
          </cell>
          <cell r="H1015" t="str">
            <v>P- private</v>
          </cell>
          <cell r="J1015" t="str">
            <v>19870101</v>
          </cell>
          <cell r="K1015" t="str">
            <v>115.665734216</v>
          </cell>
          <cell r="L1015" t="str">
            <v>-33.353029473</v>
          </cell>
          <cell r="M1015" t="str">
            <v>L</v>
          </cell>
          <cell r="N1015" t="str">
            <v>506</v>
          </cell>
          <cell r="O1015" t="str">
            <v>RICHTER</v>
          </cell>
          <cell r="P1015" t="str">
            <v>RD</v>
          </cell>
          <cell r="R1015" t="str">
            <v>DAVENPORT</v>
          </cell>
          <cell r="S1015" t="str">
            <v>6230</v>
          </cell>
        </row>
        <row r="1016">
          <cell r="B1016" t="str">
            <v>S0044254</v>
          </cell>
          <cell r="C1016" t="str">
            <v>SPS CASTIEAU ST BUREKUP</v>
          </cell>
          <cell r="D1016" t="str">
            <v>A- actual</v>
          </cell>
          <cell r="E1016" t="str">
            <v>PS- pump station</v>
          </cell>
          <cell r="F1016" t="str">
            <v>CASTIEAU ST</v>
          </cell>
          <cell r="H1016" t="str">
            <v>W- water corporation</v>
          </cell>
          <cell r="J1016" t="str">
            <v>19900101</v>
          </cell>
          <cell r="K1016" t="str">
            <v>115.81178598</v>
          </cell>
          <cell r="L1016" t="str">
            <v>-33.310944769</v>
          </cell>
          <cell r="M1016" t="str">
            <v>H</v>
          </cell>
          <cell r="N1016" t="str">
            <v>22</v>
          </cell>
          <cell r="O1016" t="str">
            <v>CASTIEAU</v>
          </cell>
          <cell r="P1016" t="str">
            <v>ST</v>
          </cell>
          <cell r="R1016" t="str">
            <v>BUREKUP</v>
          </cell>
          <cell r="S1016" t="str">
            <v>6227</v>
          </cell>
        </row>
        <row r="1017">
          <cell r="B1017" t="str">
            <v>S0044367</v>
          </cell>
          <cell r="C1017" t="str">
            <v>SPS CAPEL DR CAPEL</v>
          </cell>
          <cell r="D1017" t="str">
            <v>A- actual</v>
          </cell>
          <cell r="E1017" t="str">
            <v>PS- pump station</v>
          </cell>
          <cell r="F1017" t="str">
            <v>CAPEL DR</v>
          </cell>
          <cell r="H1017" t="str">
            <v>W- water corporation</v>
          </cell>
          <cell r="J1017" t="str">
            <v>19990903</v>
          </cell>
          <cell r="K1017" t="str">
            <v>115.562863728</v>
          </cell>
          <cell r="L1017" t="str">
            <v>-33.551084242</v>
          </cell>
          <cell r="M1017" t="str">
            <v>H</v>
          </cell>
          <cell r="N1017" t="str">
            <v>89</v>
          </cell>
          <cell r="O1017" t="str">
            <v>CAPEL</v>
          </cell>
          <cell r="P1017" t="str">
            <v>DR</v>
          </cell>
          <cell r="R1017" t="str">
            <v>CAPEL</v>
          </cell>
          <cell r="S1017" t="str">
            <v>6271</v>
          </cell>
        </row>
        <row r="1018">
          <cell r="B1018" t="str">
            <v>S0044437</v>
          </cell>
          <cell r="C1018" t="str">
            <v>SPS DISPOSAL MUNGALUP RD WWTP COLLIE</v>
          </cell>
          <cell r="D1018" t="str">
            <v>A- actual</v>
          </cell>
          <cell r="E1018" t="str">
            <v>PS- pump station</v>
          </cell>
          <cell r="F1018" t="str">
            <v>COLLIE EFFLUENT</v>
          </cell>
          <cell r="H1018" t="str">
            <v>W- water corporation</v>
          </cell>
          <cell r="J1018" t="str">
            <v>20010101</v>
          </cell>
          <cell r="K1018" t="str">
            <v>116.116934503</v>
          </cell>
          <cell r="L1018" t="str">
            <v>-33.3939382337</v>
          </cell>
          <cell r="M1018" t="str">
            <v>L</v>
          </cell>
          <cell r="N1018" t="str">
            <v>22</v>
          </cell>
          <cell r="O1018" t="str">
            <v>CONCESSION</v>
          </cell>
          <cell r="P1018" t="str">
            <v>ST</v>
          </cell>
          <cell r="R1018" t="str">
            <v>MUNGALUP</v>
          </cell>
          <cell r="S1018" t="str">
            <v>6225</v>
          </cell>
        </row>
        <row r="1019">
          <cell r="B1019" t="str">
            <v>S0044443</v>
          </cell>
          <cell r="C1019" t="str">
            <v>VPS CLEARYS RD DARDANUP</v>
          </cell>
          <cell r="D1019" t="str">
            <v>A- actual</v>
          </cell>
          <cell r="E1019" t="str">
            <v>VPS- vacuum pump station</v>
          </cell>
          <cell r="F1019" t="str">
            <v>CLEARYS RD</v>
          </cell>
          <cell r="H1019" t="str">
            <v>W- water corporation</v>
          </cell>
          <cell r="J1019" t="str">
            <v>19950612</v>
          </cell>
          <cell r="K1019" t="str">
            <v>115.758867318</v>
          </cell>
          <cell r="L1019" t="str">
            <v>-33.4016333258</v>
          </cell>
          <cell r="M1019" t="str">
            <v>H</v>
          </cell>
          <cell r="N1019" t="str">
            <v>12</v>
          </cell>
          <cell r="O1019" t="str">
            <v>ROSEVALE</v>
          </cell>
          <cell r="P1019" t="str">
            <v>CL</v>
          </cell>
          <cell r="R1019" t="str">
            <v>DARDANUP</v>
          </cell>
          <cell r="S1019" t="str">
            <v>6236</v>
          </cell>
        </row>
        <row r="1020">
          <cell r="B1020" t="str">
            <v>S0044594</v>
          </cell>
          <cell r="C1020" t="str">
            <v>SPS OLD COAST RD HALLS HEAD</v>
          </cell>
          <cell r="D1020" t="str">
            <v>A- actual</v>
          </cell>
          <cell r="E1020" t="str">
            <v>TPS- temporary pump station</v>
          </cell>
          <cell r="F1020" t="str">
            <v>OLD COAST RD</v>
          </cell>
          <cell r="H1020" t="str">
            <v>W- water corporation</v>
          </cell>
          <cell r="J1020" t="str">
            <v>19850821</v>
          </cell>
          <cell r="K1020" t="str">
            <v>115.709626329</v>
          </cell>
          <cell r="L1020" t="str">
            <v>-32.544404467</v>
          </cell>
          <cell r="M1020" t="str">
            <v>L</v>
          </cell>
          <cell r="N1020" t="str">
            <v>2009</v>
          </cell>
          <cell r="O1020" t="str">
            <v>BRINDABELLA</v>
          </cell>
          <cell r="P1020" t="str">
            <v>CR</v>
          </cell>
          <cell r="R1020" t="str">
            <v>HALLS HEAD</v>
          </cell>
          <cell r="S1020" t="str">
            <v>6210</v>
          </cell>
        </row>
        <row r="1021">
          <cell r="B1021" t="str">
            <v>S0044874</v>
          </cell>
          <cell r="C1021" t="str">
            <v>SPS BOOTH RD MANJIMUP</v>
          </cell>
          <cell r="D1021" t="str">
            <v>A- actual</v>
          </cell>
          <cell r="E1021" t="str">
            <v>PS- pump station</v>
          </cell>
          <cell r="F1021" t="str">
            <v>MANJIMUP EFFLUENT</v>
          </cell>
          <cell r="H1021" t="str">
            <v>W- water corporation</v>
          </cell>
          <cell r="J1021" t="str">
            <v>19790711</v>
          </cell>
          <cell r="K1021" t="str">
            <v>116.17627584</v>
          </cell>
          <cell r="L1021" t="str">
            <v>-34.233995701</v>
          </cell>
          <cell r="M1021" t="str">
            <v>H</v>
          </cell>
          <cell r="N1021" t="str">
            <v>194</v>
          </cell>
          <cell r="O1021" t="str">
            <v>PERUP</v>
          </cell>
          <cell r="P1021" t="str">
            <v>RD</v>
          </cell>
          <cell r="R1021" t="str">
            <v>DINGUP</v>
          </cell>
          <cell r="S1021" t="str">
            <v>6258</v>
          </cell>
        </row>
        <row r="1022">
          <cell r="B1022" t="str">
            <v>S0044893</v>
          </cell>
          <cell r="C1022" t="str">
            <v>SPS WARD ST MANJIMUP</v>
          </cell>
          <cell r="D1022" t="str">
            <v>A- actual</v>
          </cell>
          <cell r="E1022" t="str">
            <v>PS- pump station</v>
          </cell>
          <cell r="F1022" t="str">
            <v>WARD ST</v>
          </cell>
          <cell r="G1022" t="str">
            <v>4</v>
          </cell>
          <cell r="H1022" t="str">
            <v>W- water corporation</v>
          </cell>
          <cell r="J1022" t="str">
            <v>19880101</v>
          </cell>
          <cell r="K1022" t="str">
            <v>116.144639012</v>
          </cell>
          <cell r="L1022" t="str">
            <v>-34.2335300474</v>
          </cell>
          <cell r="M1022" t="str">
            <v>H</v>
          </cell>
          <cell r="N1022" t="str">
            <v>30</v>
          </cell>
          <cell r="O1022" t="str">
            <v>WARD</v>
          </cell>
          <cell r="P1022" t="str">
            <v>ST</v>
          </cell>
          <cell r="R1022" t="str">
            <v>MANJIMUP</v>
          </cell>
          <cell r="S1022" t="str">
            <v>6258</v>
          </cell>
        </row>
        <row r="1023">
          <cell r="B1023" t="str">
            <v>S0044953</v>
          </cell>
          <cell r="C1023" t="str">
            <v>SPS COUNTRY RD PINJARRA</v>
          </cell>
          <cell r="D1023" t="str">
            <v>A- actual</v>
          </cell>
          <cell r="E1023" t="str">
            <v>PS- pump station</v>
          </cell>
          <cell r="F1023" t="str">
            <v>COUNTRY RD</v>
          </cell>
          <cell r="H1023" t="str">
            <v>W- water corporation</v>
          </cell>
          <cell r="J1023" t="str">
            <v>19980710</v>
          </cell>
          <cell r="K1023" t="str">
            <v>115.857404956</v>
          </cell>
          <cell r="L1023" t="str">
            <v>-32.6037943596</v>
          </cell>
          <cell r="M1023" t="str">
            <v>H</v>
          </cell>
          <cell r="N1023" t="str">
            <v>91</v>
          </cell>
          <cell r="O1023" t="str">
            <v>COUNTRY</v>
          </cell>
          <cell r="P1023" t="str">
            <v>RD</v>
          </cell>
          <cell r="R1023" t="str">
            <v>PINJARRA</v>
          </cell>
          <cell r="S1023" t="str">
            <v>6208</v>
          </cell>
        </row>
        <row r="1024">
          <cell r="B1024" t="str">
            <v>S0044988</v>
          </cell>
          <cell r="C1024" t="str">
            <v>EFFLUENT PUMP STATION PINJARRA WWTP</v>
          </cell>
          <cell r="D1024" t="str">
            <v>A- actual</v>
          </cell>
          <cell r="E1024" t="str">
            <v>EPS- effluent re-use pump station</v>
          </cell>
          <cell r="F1024" t="str">
            <v>PINJARRA EFFLUENT</v>
          </cell>
          <cell r="H1024" t="str">
            <v>W- water corporation</v>
          </cell>
          <cell r="J1024" t="str">
            <v>19920902</v>
          </cell>
          <cell r="K1024" t="str">
            <v>115.88699909</v>
          </cell>
          <cell r="L1024" t="str">
            <v>-32.632770274</v>
          </cell>
          <cell r="M1024" t="str">
            <v>L</v>
          </cell>
          <cell r="N1024" t="str">
            <v>210</v>
          </cell>
          <cell r="O1024" t="str">
            <v>RACECOURSE</v>
          </cell>
          <cell r="P1024" t="str">
            <v>RD</v>
          </cell>
          <cell r="R1024" t="str">
            <v>PINJARRA</v>
          </cell>
          <cell r="S1024" t="str">
            <v>6208</v>
          </cell>
        </row>
        <row r="1025">
          <cell r="B1025" t="str">
            <v>S0044431</v>
          </cell>
          <cell r="C1025" t="str">
            <v>SPS RILEY ST COLLIE</v>
          </cell>
          <cell r="D1025" t="str">
            <v>A- actual</v>
          </cell>
          <cell r="E1025" t="str">
            <v>PS- pump station</v>
          </cell>
          <cell r="F1025" t="str">
            <v>RILEY ST</v>
          </cell>
          <cell r="H1025" t="str">
            <v>W- water corporation</v>
          </cell>
          <cell r="J1025" t="str">
            <v>19700101</v>
          </cell>
          <cell r="K1025" t="str">
            <v>116.137243793</v>
          </cell>
          <cell r="L1025" t="str">
            <v>-33.369543027</v>
          </cell>
          <cell r="M1025" t="str">
            <v>H</v>
          </cell>
          <cell r="N1025" t="str">
            <v>79</v>
          </cell>
          <cell r="O1025" t="str">
            <v>RILEY</v>
          </cell>
          <cell r="P1025" t="str">
            <v>ST</v>
          </cell>
          <cell r="R1025" t="str">
            <v>COLLIE</v>
          </cell>
          <cell r="S1025" t="str">
            <v>6225</v>
          </cell>
        </row>
        <row r="1026">
          <cell r="B1026" t="str">
            <v>S0044456</v>
          </cell>
          <cell r="C1026" t="str">
            <v>SPS CAVES RD MARYBROOK</v>
          </cell>
          <cell r="D1026" t="str">
            <v>A- actual</v>
          </cell>
          <cell r="E1026" t="str">
            <v>PS- pump station</v>
          </cell>
          <cell r="F1026" t="str">
            <v>CAVES RD</v>
          </cell>
          <cell r="H1026" t="str">
            <v>W- water corporation</v>
          </cell>
          <cell r="J1026" t="str">
            <v>19980716</v>
          </cell>
          <cell r="K1026" t="str">
            <v>115.185902868</v>
          </cell>
          <cell r="L1026" t="str">
            <v>-33.6453218469</v>
          </cell>
          <cell r="M1026" t="str">
            <v>L</v>
          </cell>
          <cell r="N1026" t="str">
            <v>2</v>
          </cell>
          <cell r="O1026" t="str">
            <v>VERNON</v>
          </cell>
          <cell r="P1026" t="str">
            <v>TRK</v>
          </cell>
          <cell r="R1026" t="str">
            <v>MARYBROOK</v>
          </cell>
          <cell r="S1026" t="str">
            <v>6280</v>
          </cell>
        </row>
        <row r="1027">
          <cell r="B1027" t="str">
            <v>S4000010</v>
          </cell>
          <cell r="C1027" t="str">
            <v>SPS BAKER ST GERALDTON</v>
          </cell>
          <cell r="D1027" t="str">
            <v>A- actual</v>
          </cell>
          <cell r="E1027" t="str">
            <v>PS- pump station</v>
          </cell>
          <cell r="F1027" t="str">
            <v>BAKER ST</v>
          </cell>
          <cell r="H1027" t="str">
            <v>W- water corporation</v>
          </cell>
          <cell r="J1027" t="str">
            <v>19980609</v>
          </cell>
          <cell r="K1027" t="str">
            <v>114.624272056</v>
          </cell>
          <cell r="L1027" t="str">
            <v>-28.775872334</v>
          </cell>
          <cell r="M1027" t="str">
            <v>H</v>
          </cell>
          <cell r="N1027" t="str">
            <v>2</v>
          </cell>
          <cell r="O1027" t="str">
            <v>BAKER</v>
          </cell>
          <cell r="P1027" t="str">
            <v>ST</v>
          </cell>
          <cell r="R1027" t="str">
            <v>GERALDTON</v>
          </cell>
          <cell r="S1027" t="str">
            <v>6530</v>
          </cell>
        </row>
        <row r="1028">
          <cell r="B1028" t="str">
            <v>S5000005</v>
          </cell>
          <cell r="C1028" t="str">
            <v>SPS 1 STIRLING TERRACE TOODYAY</v>
          </cell>
          <cell r="D1028" t="str">
            <v>A- actual</v>
          </cell>
          <cell r="E1028" t="str">
            <v>PS- pump station</v>
          </cell>
          <cell r="F1028" t="str">
            <v>STIRLING TCE</v>
          </cell>
          <cell r="G1028" t="str">
            <v>1</v>
          </cell>
          <cell r="H1028" t="str">
            <v>W- water corporation</v>
          </cell>
          <cell r="J1028" t="str">
            <v>20000523</v>
          </cell>
          <cell r="K1028" t="str">
            <v>116.470597716</v>
          </cell>
          <cell r="L1028" t="str">
            <v>-31.5501421363</v>
          </cell>
          <cell r="M1028" t="str">
            <v>L</v>
          </cell>
          <cell r="N1028" t="str">
            <v>288</v>
          </cell>
          <cell r="O1028" t="str">
            <v>STIRLING</v>
          </cell>
          <cell r="P1028" t="str">
            <v>TCE</v>
          </cell>
          <cell r="R1028" t="str">
            <v>TOODYAY</v>
          </cell>
          <cell r="S1028" t="str">
            <v>6566</v>
          </cell>
        </row>
        <row r="1029">
          <cell r="B1029" t="str">
            <v>S0037393</v>
          </cell>
          <cell r="C1029" t="str">
            <v>SPS 6 CLARKSON ST DONGARA</v>
          </cell>
          <cell r="D1029" t="str">
            <v>A- actual</v>
          </cell>
          <cell r="E1029" t="str">
            <v>PS- pump station</v>
          </cell>
          <cell r="F1029" t="str">
            <v>CLARKSON ST</v>
          </cell>
          <cell r="G1029" t="str">
            <v>6</v>
          </cell>
          <cell r="H1029" t="str">
            <v>W- water corporation</v>
          </cell>
          <cell r="J1029" t="str">
            <v>19990330</v>
          </cell>
          <cell r="K1029" t="str">
            <v>114.933652644</v>
          </cell>
          <cell r="L1029" t="str">
            <v>-29.255299139</v>
          </cell>
          <cell r="M1029" t="str">
            <v>H</v>
          </cell>
          <cell r="N1029" t="str">
            <v>3</v>
          </cell>
          <cell r="O1029" t="str">
            <v>CLARKSON</v>
          </cell>
          <cell r="P1029" t="str">
            <v>ST</v>
          </cell>
          <cell r="R1029" t="str">
            <v>PORT DENISON</v>
          </cell>
          <cell r="S1029" t="str">
            <v>6525</v>
          </cell>
        </row>
        <row r="1030">
          <cell r="B1030" t="str">
            <v>S2002894</v>
          </cell>
          <cell r="C1030" t="str">
            <v>SPS BALLANTYNE RD KEWDALE</v>
          </cell>
          <cell r="D1030" t="str">
            <v>A- actual</v>
          </cell>
          <cell r="E1030" t="str">
            <v>PS- pump station</v>
          </cell>
          <cell r="F1030" t="str">
            <v>BALLANTYNE RD</v>
          </cell>
          <cell r="G1030" t="str">
            <v>3</v>
          </cell>
          <cell r="H1030" t="str">
            <v>W- water corporation</v>
          </cell>
          <cell r="J1030" t="str">
            <v>19980817</v>
          </cell>
          <cell r="K1030" t="str">
            <v>115.94005322</v>
          </cell>
          <cell r="L1030" t="str">
            <v>-31.9835342</v>
          </cell>
          <cell r="M1030" t="str">
            <v>H</v>
          </cell>
          <cell r="N1030" t="str">
            <v>18</v>
          </cell>
          <cell r="O1030" t="str">
            <v>BALLANTYNE</v>
          </cell>
          <cell r="P1030" t="str">
            <v>RD</v>
          </cell>
          <cell r="R1030" t="str">
            <v>KEWDALE</v>
          </cell>
          <cell r="S1030" t="str">
            <v>6105</v>
          </cell>
        </row>
        <row r="1031">
          <cell r="D1031" t="str">
            <v>A- actual</v>
          </cell>
          <cell r="E1031" t="str">
            <v>PS- pump station</v>
          </cell>
          <cell r="F1031" t="str">
            <v>WICKHAM H/SCHOOL</v>
          </cell>
          <cell r="H1031" t="str">
            <v>P- private</v>
          </cell>
          <cell r="J1031" t="str">
            <v>19990824</v>
          </cell>
          <cell r="K1031" t="str">
            <v>117.144097266</v>
          </cell>
          <cell r="L1031" t="str">
            <v>-20.6809230404</v>
          </cell>
          <cell r="M1031" t="str">
            <v>H</v>
          </cell>
          <cell r="N1031" t="str">
            <v>289</v>
          </cell>
          <cell r="O1031" t="str">
            <v>TAMARIND</v>
          </cell>
          <cell r="P1031" t="str">
            <v>PL</v>
          </cell>
          <cell r="R1031" t="str">
            <v>WICKHAM</v>
          </cell>
          <cell r="S1031" t="str">
            <v>6720</v>
          </cell>
        </row>
        <row r="1032">
          <cell r="D1032" t="str">
            <v>A- actual</v>
          </cell>
          <cell r="E1032" t="str">
            <v>PS- pump station</v>
          </cell>
          <cell r="F1032" t="str">
            <v>LOT 149 WEST COAST HIGHWAY</v>
          </cell>
          <cell r="H1032" t="str">
            <v>P- private</v>
          </cell>
          <cell r="J1032" t="str">
            <v>19961101</v>
          </cell>
          <cell r="K1032" t="str">
            <v>115.757670094</v>
          </cell>
          <cell r="L1032" t="str">
            <v>-31.8986523987</v>
          </cell>
          <cell r="M1032" t="str">
            <v>H</v>
          </cell>
          <cell r="N1032" t="str">
            <v>198</v>
          </cell>
          <cell r="O1032" t="str">
            <v>THE ESPLANADE</v>
          </cell>
          <cell r="R1032" t="str">
            <v>SCARBOROUGH</v>
          </cell>
          <cell r="S1032" t="str">
            <v>6019</v>
          </cell>
        </row>
        <row r="1033">
          <cell r="D1033" t="str">
            <v>A- actual</v>
          </cell>
          <cell r="E1033" t="str">
            <v>PS- pump station</v>
          </cell>
          <cell r="F1033" t="str">
            <v>BROOME TAFE</v>
          </cell>
          <cell r="H1033" t="str">
            <v>P- private</v>
          </cell>
          <cell r="J1033" t="str">
            <v>19990716</v>
          </cell>
          <cell r="K1033" t="str">
            <v>122.21847253</v>
          </cell>
          <cell r="L1033" t="str">
            <v>-17.952500029</v>
          </cell>
          <cell r="M1033" t="str">
            <v>H</v>
          </cell>
          <cell r="N1033" t="str">
            <v>1</v>
          </cell>
          <cell r="O1033" t="str">
            <v>GLENISTER</v>
          </cell>
          <cell r="P1033" t="str">
            <v>LOOP</v>
          </cell>
          <cell r="R1033" t="str">
            <v>CABLE BEACH</v>
          </cell>
          <cell r="S1033" t="str">
            <v>6726</v>
          </cell>
        </row>
        <row r="1034">
          <cell r="B1034" t="str">
            <v>S027-002-001</v>
          </cell>
          <cell r="C1034" t="str">
            <v>SPS HASSELL ST MT BARKER</v>
          </cell>
          <cell r="D1034" t="str">
            <v>N- not in use</v>
          </cell>
          <cell r="E1034" t="str">
            <v>PS- pump station</v>
          </cell>
          <cell r="F1034" t="str">
            <v>HASSELL STREET</v>
          </cell>
          <cell r="G1034" t="str">
            <v>1</v>
          </cell>
          <cell r="H1034" t="str">
            <v>W- water corporation</v>
          </cell>
          <cell r="J1034" t="str">
            <v>19700101</v>
          </cell>
          <cell r="K1034" t="str">
            <v>117.669554491</v>
          </cell>
          <cell r="L1034" t="str">
            <v>-34.6372354255</v>
          </cell>
          <cell r="M1034" t="str">
            <v>H</v>
          </cell>
          <cell r="N1034" t="str">
            <v>145</v>
          </cell>
          <cell r="O1034" t="str">
            <v>HASSELL</v>
          </cell>
          <cell r="P1034" t="str">
            <v>ST</v>
          </cell>
          <cell r="R1034" t="str">
            <v>MOUNT BARKER</v>
          </cell>
          <cell r="S1034" t="str">
            <v>6324</v>
          </cell>
        </row>
        <row r="1035">
          <cell r="B1035" t="str">
            <v>S027-002-002</v>
          </cell>
          <cell r="C1035" t="str">
            <v>SPS MITCHELL ST MT BARKER</v>
          </cell>
          <cell r="D1035" t="str">
            <v>A- actual</v>
          </cell>
          <cell r="E1035" t="str">
            <v>PS- pump station</v>
          </cell>
          <cell r="F1035" t="str">
            <v>MITCHELL STREET</v>
          </cell>
          <cell r="G1035" t="str">
            <v>2</v>
          </cell>
          <cell r="H1035" t="str">
            <v>W- water corporation</v>
          </cell>
          <cell r="J1035" t="str">
            <v>19970501</v>
          </cell>
          <cell r="K1035" t="str">
            <v>117.66631754</v>
          </cell>
          <cell r="L1035" t="str">
            <v>-34.637781365</v>
          </cell>
          <cell r="M1035" t="str">
            <v>H</v>
          </cell>
          <cell r="N1035" t="str">
            <v>88</v>
          </cell>
          <cell r="O1035" t="str">
            <v>MITCHELL</v>
          </cell>
          <cell r="P1035" t="str">
            <v>ST</v>
          </cell>
          <cell r="R1035" t="str">
            <v>MOUNT BARKER</v>
          </cell>
          <cell r="S1035" t="str">
            <v>6324</v>
          </cell>
        </row>
        <row r="1036">
          <cell r="B1036" t="str">
            <v>S028-002-002</v>
          </cell>
          <cell r="C1036" t="str">
            <v>SPS MAY ST NARROGIN</v>
          </cell>
          <cell r="D1036" t="str">
            <v>A- actual</v>
          </cell>
          <cell r="E1036" t="str">
            <v>TPS- temporary pump station</v>
          </cell>
          <cell r="F1036" t="str">
            <v>MAY STREET</v>
          </cell>
          <cell r="G1036" t="str">
            <v>2</v>
          </cell>
          <cell r="H1036" t="str">
            <v>W- water corporation</v>
          </cell>
          <cell r="J1036" t="str">
            <v>19820101</v>
          </cell>
          <cell r="K1036" t="str">
            <v>117.169182438</v>
          </cell>
          <cell r="L1036" t="str">
            <v>-32.928155531</v>
          </cell>
          <cell r="M1036" t="str">
            <v>H</v>
          </cell>
          <cell r="N1036" t="str">
            <v>25</v>
          </cell>
          <cell r="O1036" t="str">
            <v>MAY</v>
          </cell>
          <cell r="P1036" t="str">
            <v>ST</v>
          </cell>
          <cell r="R1036" t="str">
            <v>NARROGIN</v>
          </cell>
          <cell r="S1036" t="str">
            <v>6312</v>
          </cell>
        </row>
        <row r="1037">
          <cell r="B1037" t="str">
            <v>S8000460</v>
          </cell>
          <cell r="C1037" t="str">
            <v>SPS WILDERNESS DR STH DAWESVILLE</v>
          </cell>
          <cell r="D1037" t="str">
            <v>A- actual</v>
          </cell>
          <cell r="E1037" t="str">
            <v>PS- pump station</v>
          </cell>
          <cell r="F1037" t="str">
            <v>WILDERNESS DR SOUTH</v>
          </cell>
          <cell r="G1037" t="str">
            <v>2</v>
          </cell>
          <cell r="H1037" t="str">
            <v>W- water corporation</v>
          </cell>
          <cell r="I1037" t="str">
            <v>18505</v>
          </cell>
          <cell r="J1037" t="str">
            <v>19990305</v>
          </cell>
          <cell r="K1037" t="str">
            <v>115.641968996</v>
          </cell>
          <cell r="L1037" t="str">
            <v>-32.646575809</v>
          </cell>
          <cell r="M1037" t="str">
            <v>H</v>
          </cell>
          <cell r="N1037" t="str">
            <v>14</v>
          </cell>
          <cell r="O1037" t="str">
            <v>WILDERNESS</v>
          </cell>
          <cell r="P1037" t="str">
            <v>DR</v>
          </cell>
          <cell r="R1037" t="str">
            <v>DAWESVILLE</v>
          </cell>
          <cell r="S1037" t="str">
            <v>6211</v>
          </cell>
        </row>
        <row r="1038">
          <cell r="B1038" t="str">
            <v>S2000016</v>
          </cell>
          <cell r="C1038" t="str">
            <v>SPS BENNETT AV HAMILTON HILL</v>
          </cell>
          <cell r="D1038" t="str">
            <v>A- actual</v>
          </cell>
          <cell r="E1038" t="str">
            <v>PS- pump station</v>
          </cell>
          <cell r="F1038" t="str">
            <v>BENNETT AVE</v>
          </cell>
          <cell r="G1038" t="str">
            <v>2</v>
          </cell>
          <cell r="H1038" t="str">
            <v>W- water corporation</v>
          </cell>
          <cell r="J1038" t="str">
            <v>19970924</v>
          </cell>
          <cell r="K1038" t="str">
            <v>115.756639898</v>
          </cell>
          <cell r="L1038" t="str">
            <v>-32.082674545</v>
          </cell>
          <cell r="M1038" t="str">
            <v>L</v>
          </cell>
          <cell r="N1038" t="str">
            <v>1946</v>
          </cell>
          <cell r="O1038" t="str">
            <v>ROLLINSON</v>
          </cell>
          <cell r="P1038" t="str">
            <v>RD</v>
          </cell>
          <cell r="R1038" t="str">
            <v>NORTH COOGEE</v>
          </cell>
          <cell r="S1038" t="str">
            <v>6163</v>
          </cell>
        </row>
        <row r="1039">
          <cell r="D1039" t="str">
            <v>N- not in use</v>
          </cell>
          <cell r="E1039" t="str">
            <v>PS- pump station</v>
          </cell>
          <cell r="H1039" t="str">
            <v>P- private</v>
          </cell>
          <cell r="J1039" t="str">
            <v>20000721</v>
          </cell>
          <cell r="K1039" t="str">
            <v>116.014646973</v>
          </cell>
          <cell r="L1039" t="str">
            <v>-31.892757944</v>
          </cell>
          <cell r="M1039" t="str">
            <v>H</v>
          </cell>
          <cell r="N1039" t="str">
            <v>21</v>
          </cell>
          <cell r="O1039" t="str">
            <v>LOTON</v>
          </cell>
          <cell r="P1039" t="str">
            <v>AV</v>
          </cell>
          <cell r="R1039" t="str">
            <v>MIDLAND</v>
          </cell>
          <cell r="S1039" t="str">
            <v>6056</v>
          </cell>
        </row>
        <row r="1040">
          <cell r="B1040" t="str">
            <v>S8000434</v>
          </cell>
          <cell r="C1040" t="str">
            <v>SPS LESCHENAULT PDE AUSTRALIND</v>
          </cell>
          <cell r="D1040" t="str">
            <v>A- actual</v>
          </cell>
          <cell r="E1040" t="str">
            <v>PS- pump station</v>
          </cell>
          <cell r="F1040" t="str">
            <v>LESCHENAULT PDE</v>
          </cell>
          <cell r="H1040" t="str">
            <v>W- water corporation</v>
          </cell>
          <cell r="J1040" t="str">
            <v>19990701</v>
          </cell>
          <cell r="K1040" t="str">
            <v>115.729558609</v>
          </cell>
          <cell r="L1040" t="str">
            <v>-33.261095601</v>
          </cell>
          <cell r="M1040" t="str">
            <v>H</v>
          </cell>
          <cell r="N1040" t="str">
            <v>79</v>
          </cell>
          <cell r="O1040" t="str">
            <v>LESCHENAULT</v>
          </cell>
          <cell r="P1040" t="str">
            <v>PDE</v>
          </cell>
          <cell r="R1040" t="str">
            <v>AUSTRALIND</v>
          </cell>
          <cell r="S1040" t="str">
            <v>6233</v>
          </cell>
        </row>
        <row r="1041">
          <cell r="B1041" t="str">
            <v>S2000136</v>
          </cell>
          <cell r="C1041" t="str">
            <v>SPS STIRLING CR HAZELMERE</v>
          </cell>
          <cell r="D1041" t="str">
            <v>A- actual</v>
          </cell>
          <cell r="E1041" t="str">
            <v>PS- pump station</v>
          </cell>
          <cell r="F1041" t="str">
            <v>STIRLING CRES INTERIM</v>
          </cell>
          <cell r="H1041" t="str">
            <v>W- water corporation</v>
          </cell>
          <cell r="J1041" t="str">
            <v>19981127</v>
          </cell>
          <cell r="K1041" t="str">
            <v>115.99714928</v>
          </cell>
          <cell r="L1041" t="str">
            <v>-31.89661954</v>
          </cell>
          <cell r="M1041" t="str">
            <v>L</v>
          </cell>
          <cell r="N1041" t="str">
            <v>816</v>
          </cell>
          <cell r="O1041" t="str">
            <v>STIRLING</v>
          </cell>
          <cell r="P1041" t="str">
            <v>CR</v>
          </cell>
          <cell r="R1041" t="str">
            <v>HAZELMERE</v>
          </cell>
          <cell r="S1041" t="str">
            <v>6055</v>
          </cell>
        </row>
        <row r="1042">
          <cell r="D1042" t="str">
            <v>N- not in use</v>
          </cell>
          <cell r="E1042" t="str">
            <v>PS- pump station</v>
          </cell>
          <cell r="F1042" t="str">
            <v>LOT 188 HAMILTON RD</v>
          </cell>
          <cell r="H1042" t="str">
            <v>P- private</v>
          </cell>
          <cell r="J1042" t="str">
            <v>19991001</v>
          </cell>
          <cell r="K1042" t="str">
            <v>115.70249483</v>
          </cell>
          <cell r="L1042" t="str">
            <v>-33.31509942</v>
          </cell>
          <cell r="M1042" t="str">
            <v>H</v>
          </cell>
          <cell r="N1042" t="str">
            <v>34</v>
          </cell>
          <cell r="O1042" t="str">
            <v>HAMILTON</v>
          </cell>
          <cell r="P1042" t="str">
            <v>RD</v>
          </cell>
          <cell r="R1042" t="str">
            <v>EATON</v>
          </cell>
          <cell r="S1042" t="str">
            <v>6232</v>
          </cell>
        </row>
        <row r="1043">
          <cell r="B1043" t="str">
            <v>S2000317</v>
          </cell>
          <cell r="C1043" t="str">
            <v>VPS STONE ST BAYSWATER</v>
          </cell>
          <cell r="D1043" t="str">
            <v>A- actual</v>
          </cell>
          <cell r="E1043" t="str">
            <v>VPS- vacuum pump station</v>
          </cell>
          <cell r="F1043" t="str">
            <v>STONE ST</v>
          </cell>
          <cell r="G1043" t="str">
            <v>5</v>
          </cell>
          <cell r="H1043" t="str">
            <v>W- water corporation</v>
          </cell>
          <cell r="J1043" t="str">
            <v>19990531</v>
          </cell>
          <cell r="K1043" t="str">
            <v>115.911577179</v>
          </cell>
          <cell r="L1043" t="str">
            <v>-31.930429246</v>
          </cell>
          <cell r="M1043" t="str">
            <v>H</v>
          </cell>
          <cell r="N1043" t="str">
            <v>85</v>
          </cell>
          <cell r="O1043" t="str">
            <v>STONE</v>
          </cell>
          <cell r="P1043" t="str">
            <v>ST</v>
          </cell>
          <cell r="R1043" t="str">
            <v>BAYSWATER</v>
          </cell>
          <cell r="S1043" t="str">
            <v>6053</v>
          </cell>
        </row>
        <row r="1044">
          <cell r="D1044" t="str">
            <v>N- not in use</v>
          </cell>
          <cell r="E1044" t="str">
            <v>PS- pump station</v>
          </cell>
          <cell r="F1044" t="str">
            <v>GERALDTON NURSING HOME</v>
          </cell>
          <cell r="H1044" t="str">
            <v>P- private</v>
          </cell>
          <cell r="J1044" t="str">
            <v>19990812</v>
          </cell>
          <cell r="K1044" t="str">
            <v>114.608024668</v>
          </cell>
          <cell r="L1044" t="str">
            <v>-28.784488317</v>
          </cell>
          <cell r="M1044" t="str">
            <v>H</v>
          </cell>
          <cell r="N1044" t="str">
            <v>161</v>
          </cell>
          <cell r="O1044" t="str">
            <v>FITZGERALD</v>
          </cell>
          <cell r="P1044" t="str">
            <v>ST</v>
          </cell>
          <cell r="R1044" t="str">
            <v>GERALDTON</v>
          </cell>
          <cell r="S1044" t="str">
            <v>6530</v>
          </cell>
        </row>
        <row r="1045">
          <cell r="B1045" t="str">
            <v>S8000449</v>
          </cell>
          <cell r="C1045" t="str">
            <v>SPS MANGLES ST SOUTH BUNBURY</v>
          </cell>
          <cell r="D1045" t="str">
            <v>A- actual</v>
          </cell>
          <cell r="E1045" t="str">
            <v>PS- pump station</v>
          </cell>
          <cell r="F1045" t="str">
            <v>MANGLES ST</v>
          </cell>
          <cell r="H1045" t="str">
            <v>W- water corporation</v>
          </cell>
          <cell r="J1045" t="str">
            <v>19990101</v>
          </cell>
          <cell r="K1045" t="str">
            <v>115.628154365</v>
          </cell>
          <cell r="L1045" t="str">
            <v>-33.349820355</v>
          </cell>
          <cell r="M1045" t="str">
            <v>H</v>
          </cell>
          <cell r="N1045" t="str">
            <v>3</v>
          </cell>
          <cell r="O1045" t="str">
            <v>ASHBANK</v>
          </cell>
          <cell r="P1045" t="str">
            <v>GRN</v>
          </cell>
          <cell r="R1045" t="str">
            <v>SOUTH BUNBURY</v>
          </cell>
          <cell r="S1045" t="str">
            <v>6230</v>
          </cell>
        </row>
        <row r="1046">
          <cell r="D1046" t="str">
            <v>A- actual</v>
          </cell>
          <cell r="E1046" t="str">
            <v>PS- pump station</v>
          </cell>
          <cell r="F1046" t="str">
            <v>WATSONIA FOODS</v>
          </cell>
          <cell r="H1046" t="str">
            <v>P- private</v>
          </cell>
          <cell r="J1046" t="str">
            <v>19990101</v>
          </cell>
          <cell r="K1046" t="str">
            <v>115.760958115</v>
          </cell>
          <cell r="L1046" t="str">
            <v>-32.0908074721</v>
          </cell>
          <cell r="M1046" t="str">
            <v>L</v>
          </cell>
          <cell r="N1046" t="str">
            <v>2018</v>
          </cell>
          <cell r="O1046" t="str">
            <v>COCKBURN</v>
          </cell>
          <cell r="P1046" t="str">
            <v>RD</v>
          </cell>
          <cell r="R1046" t="str">
            <v>HAMILTON HILL</v>
          </cell>
          <cell r="S1046" t="str">
            <v>6163</v>
          </cell>
        </row>
        <row r="1047">
          <cell r="B1047" t="str">
            <v>S2000293</v>
          </cell>
          <cell r="C1047" t="str">
            <v>SPS BRIGHTON RD SCARBOROUGH</v>
          </cell>
          <cell r="D1047" t="str">
            <v>A- actual</v>
          </cell>
          <cell r="E1047" t="str">
            <v>PS- pump station</v>
          </cell>
          <cell r="F1047" t="str">
            <v>BRIGHTON RD</v>
          </cell>
          <cell r="G1047" t="str">
            <v>4</v>
          </cell>
          <cell r="H1047" t="str">
            <v>W- water corporation</v>
          </cell>
          <cell r="J1047" t="str">
            <v>19991120</v>
          </cell>
          <cell r="K1047" t="str">
            <v>115.768295267</v>
          </cell>
          <cell r="L1047" t="str">
            <v>-31.8977857384</v>
          </cell>
          <cell r="M1047" t="str">
            <v>H</v>
          </cell>
          <cell r="N1047" t="str">
            <v>112</v>
          </cell>
          <cell r="O1047" t="str">
            <v>BRIGHTON</v>
          </cell>
          <cell r="P1047" t="str">
            <v>RD</v>
          </cell>
          <cell r="R1047" t="str">
            <v>SCARBOROUGH</v>
          </cell>
          <cell r="S1047" t="str">
            <v>6019</v>
          </cell>
        </row>
        <row r="1048">
          <cell r="B1048" t="str">
            <v>S2002874</v>
          </cell>
          <cell r="C1048" t="str">
            <v>SPS SHAFTESBURY AVE BEDFORD</v>
          </cell>
          <cell r="D1048" t="str">
            <v>A- actual</v>
          </cell>
          <cell r="E1048" t="str">
            <v>PS- pump station</v>
          </cell>
          <cell r="F1048" t="str">
            <v>SHAFTESBURY AVE</v>
          </cell>
          <cell r="G1048" t="str">
            <v>11</v>
          </cell>
          <cell r="H1048" t="str">
            <v>W- water corporation</v>
          </cell>
          <cell r="J1048" t="str">
            <v>19990629</v>
          </cell>
          <cell r="K1048" t="str">
            <v>115.894850388</v>
          </cell>
          <cell r="L1048" t="str">
            <v>-31.912179821</v>
          </cell>
          <cell r="M1048" t="str">
            <v>H</v>
          </cell>
          <cell r="N1048" t="str">
            <v>107</v>
          </cell>
          <cell r="O1048" t="str">
            <v>SHAFTESBURY</v>
          </cell>
          <cell r="P1048" t="str">
            <v>AV</v>
          </cell>
          <cell r="R1048" t="str">
            <v>BEDFORD</v>
          </cell>
          <cell r="S1048" t="str">
            <v>6052</v>
          </cell>
        </row>
        <row r="1049">
          <cell r="D1049" t="str">
            <v>A- actual</v>
          </cell>
          <cell r="E1049" t="str">
            <v>PS- pump station</v>
          </cell>
          <cell r="F1049" t="str">
            <v>LILAC HILL ESTATE WINES</v>
          </cell>
          <cell r="H1049" t="str">
            <v>P- private</v>
          </cell>
          <cell r="J1049" t="str">
            <v>19991221</v>
          </cell>
          <cell r="K1049" t="str">
            <v>115.968926453</v>
          </cell>
          <cell r="L1049" t="str">
            <v>-31.8780924264</v>
          </cell>
          <cell r="M1049" t="str">
            <v>H</v>
          </cell>
          <cell r="N1049" t="str">
            <v>55</v>
          </cell>
          <cell r="O1049" t="str">
            <v>BENARA</v>
          </cell>
          <cell r="P1049" t="str">
            <v>RD</v>
          </cell>
          <cell r="R1049" t="str">
            <v>CAVERSHAM</v>
          </cell>
          <cell r="S1049" t="str">
            <v>6055</v>
          </cell>
        </row>
        <row r="1050">
          <cell r="B1050" t="str">
            <v>S8000443</v>
          </cell>
          <cell r="C1050" t="str">
            <v>SPS DALYELLUP BVD DALYELLUP</v>
          </cell>
          <cell r="D1050" t="str">
            <v>A- actual</v>
          </cell>
          <cell r="E1050" t="str">
            <v>PS- pump station</v>
          </cell>
          <cell r="F1050" t="str">
            <v>DALYELLUP BVD</v>
          </cell>
          <cell r="G1050" t="str">
            <v>1</v>
          </cell>
          <cell r="H1050" t="str">
            <v>W- water corporation</v>
          </cell>
          <cell r="J1050" t="str">
            <v>19991209</v>
          </cell>
          <cell r="K1050" t="str">
            <v>115.625324281</v>
          </cell>
          <cell r="L1050" t="str">
            <v>-33.3994454261</v>
          </cell>
          <cell r="M1050" t="str">
            <v>H</v>
          </cell>
          <cell r="N1050" t="str">
            <v>148</v>
          </cell>
          <cell r="O1050" t="str">
            <v>DALYELLUP</v>
          </cell>
          <cell r="P1050" t="str">
            <v>BVD</v>
          </cell>
          <cell r="R1050" t="str">
            <v>DALYELLUP</v>
          </cell>
          <cell r="S1050" t="str">
            <v>6230</v>
          </cell>
        </row>
        <row r="1051">
          <cell r="B1051" t="str">
            <v>S2002879</v>
          </cell>
          <cell r="C1051" t="str">
            <v>SPS BLACKWOOD AV HAMILTON HILL</v>
          </cell>
          <cell r="D1051" t="str">
            <v>A- actual</v>
          </cell>
          <cell r="E1051" t="str">
            <v>PS- pump station</v>
          </cell>
          <cell r="F1051" t="str">
            <v>BLACKWOOD AVE</v>
          </cell>
          <cell r="G1051" t="str">
            <v>4</v>
          </cell>
          <cell r="H1051" t="str">
            <v>W- water corporation</v>
          </cell>
          <cell r="J1051" t="str">
            <v>20000601</v>
          </cell>
          <cell r="K1051" t="str">
            <v>115.781909043</v>
          </cell>
          <cell r="L1051" t="str">
            <v>-32.085316578</v>
          </cell>
          <cell r="M1051" t="str">
            <v>H</v>
          </cell>
          <cell r="N1051" t="str">
            <v>48</v>
          </cell>
          <cell r="O1051" t="str">
            <v>BLACKWOOD</v>
          </cell>
          <cell r="P1051" t="str">
            <v>AV</v>
          </cell>
          <cell r="R1051" t="str">
            <v>HAMILTON HILL</v>
          </cell>
          <cell r="S1051" t="str">
            <v>6163</v>
          </cell>
        </row>
        <row r="1052">
          <cell r="B1052" t="str">
            <v>S2000029</v>
          </cell>
          <cell r="C1052" t="str">
            <v>SPS ELSTEAD WY MORLEY</v>
          </cell>
          <cell r="D1052" t="str">
            <v>A- actual</v>
          </cell>
          <cell r="E1052" t="str">
            <v>PS- pump station</v>
          </cell>
          <cell r="F1052" t="str">
            <v>ELSTEAD WY</v>
          </cell>
          <cell r="H1052" t="str">
            <v>W- water corporation</v>
          </cell>
          <cell r="J1052" t="str">
            <v>19991217</v>
          </cell>
          <cell r="K1052" t="str">
            <v>115.91550764</v>
          </cell>
          <cell r="L1052" t="str">
            <v>-31.89433892</v>
          </cell>
          <cell r="M1052" t="str">
            <v>H</v>
          </cell>
          <cell r="N1052" t="str">
            <v>20</v>
          </cell>
          <cell r="O1052" t="str">
            <v>ELSTEAD</v>
          </cell>
          <cell r="P1052" t="str">
            <v>WAY</v>
          </cell>
          <cell r="R1052" t="str">
            <v>MORLEY</v>
          </cell>
          <cell r="S1052" t="str">
            <v>6062</v>
          </cell>
        </row>
        <row r="1053">
          <cell r="D1053" t="str">
            <v>A- actual</v>
          </cell>
          <cell r="E1053" t="str">
            <v>PS- pump station</v>
          </cell>
          <cell r="F1053" t="str">
            <v>MUNDARING PRIMARY SCHOOL</v>
          </cell>
          <cell r="H1053" t="str">
            <v>P- private</v>
          </cell>
          <cell r="J1053" t="str">
            <v>19980722</v>
          </cell>
          <cell r="K1053" t="str">
            <v>116.172968856</v>
          </cell>
          <cell r="L1053" t="str">
            <v>-31.894939602</v>
          </cell>
          <cell r="M1053" t="str">
            <v>H</v>
          </cell>
          <cell r="N1053" t="str">
            <v>855</v>
          </cell>
          <cell r="O1053" t="str">
            <v>STEVENS</v>
          </cell>
          <cell r="P1053" t="str">
            <v>ST</v>
          </cell>
          <cell r="R1053" t="str">
            <v>MUNDARING</v>
          </cell>
          <cell r="S1053" t="str">
            <v>6073</v>
          </cell>
        </row>
        <row r="1054">
          <cell r="D1054" t="str">
            <v>A- actual</v>
          </cell>
          <cell r="E1054" t="str">
            <v>PS- pump station</v>
          </cell>
          <cell r="F1054" t="str">
            <v>(BUNBURY FOODS PTY. LTD.)</v>
          </cell>
          <cell r="H1054" t="str">
            <v>P- private</v>
          </cell>
          <cell r="J1054" t="str">
            <v>19790412</v>
          </cell>
          <cell r="K1054" t="str">
            <v>115.674417264</v>
          </cell>
          <cell r="L1054" t="str">
            <v>-33.326206072</v>
          </cell>
          <cell r="M1054" t="str">
            <v>L</v>
          </cell>
          <cell r="N1054" t="str">
            <v>10</v>
          </cell>
          <cell r="O1054" t="str">
            <v>ESTUARY</v>
          </cell>
          <cell r="P1054" t="str">
            <v>DR</v>
          </cell>
          <cell r="R1054" t="str">
            <v>VITTORIA</v>
          </cell>
          <cell r="S1054" t="str">
            <v>6230</v>
          </cell>
        </row>
        <row r="1055">
          <cell r="B1055" t="str">
            <v>S2002461</v>
          </cell>
          <cell r="C1055" t="str">
            <v>SPS WYATT RD BAYSWATER</v>
          </cell>
          <cell r="D1055" t="str">
            <v>A- actual</v>
          </cell>
          <cell r="E1055" t="str">
            <v>PS- pump station</v>
          </cell>
          <cell r="F1055" t="str">
            <v>WYATT RD</v>
          </cell>
          <cell r="G1055" t="str">
            <v>7</v>
          </cell>
          <cell r="H1055" t="str">
            <v>W- water corporation</v>
          </cell>
          <cell r="J1055" t="str">
            <v>20000324</v>
          </cell>
          <cell r="K1055" t="str">
            <v>115.932652918</v>
          </cell>
          <cell r="L1055" t="str">
            <v>-31.928348077</v>
          </cell>
          <cell r="M1055" t="str">
            <v>H</v>
          </cell>
          <cell r="N1055" t="str">
            <v>92</v>
          </cell>
          <cell r="O1055" t="str">
            <v>WYATT</v>
          </cell>
          <cell r="P1055" t="str">
            <v>RD</v>
          </cell>
          <cell r="R1055" t="str">
            <v>BAYSWATER</v>
          </cell>
          <cell r="S1055" t="str">
            <v>6053</v>
          </cell>
        </row>
        <row r="1056">
          <cell r="D1056" t="str">
            <v>A- actual</v>
          </cell>
          <cell r="E1056" t="str">
            <v>PS- pump station</v>
          </cell>
          <cell r="F1056" t="str">
            <v>SOUTH PERTH CHURCH OF CHRIST</v>
          </cell>
          <cell r="H1056" t="str">
            <v>P- private</v>
          </cell>
          <cell r="J1056" t="str">
            <v>20000120</v>
          </cell>
          <cell r="K1056" t="str">
            <v>115.87325961</v>
          </cell>
          <cell r="L1056" t="str">
            <v>-32.001144677</v>
          </cell>
          <cell r="M1056" t="str">
            <v>H</v>
          </cell>
          <cell r="N1056" t="str">
            <v>1</v>
          </cell>
          <cell r="O1056" t="str">
            <v>MCNABB</v>
          </cell>
          <cell r="P1056" t="str">
            <v>LOOP</v>
          </cell>
          <cell r="R1056" t="str">
            <v>COMO</v>
          </cell>
          <cell r="S1056" t="str">
            <v>6152</v>
          </cell>
        </row>
        <row r="1057">
          <cell r="B1057" t="str">
            <v>S0022578</v>
          </cell>
          <cell r="C1057" t="str">
            <v>SPS REUSE WWTP MT BARKER</v>
          </cell>
          <cell r="D1057" t="str">
            <v>A- actual</v>
          </cell>
          <cell r="E1057" t="str">
            <v>PS- pump station</v>
          </cell>
          <cell r="F1057" t="str">
            <v>OMRAH WINERY</v>
          </cell>
          <cell r="H1057" t="str">
            <v>P- private</v>
          </cell>
          <cell r="J1057" t="str">
            <v>19970101</v>
          </cell>
          <cell r="K1057" t="str">
            <v>117.672174375</v>
          </cell>
          <cell r="L1057" t="str">
            <v>-34.6194352213</v>
          </cell>
          <cell r="M1057" t="str">
            <v>H</v>
          </cell>
          <cell r="N1057" t="str">
            <v>26</v>
          </cell>
          <cell r="O1057" t="str">
            <v>BUNKER</v>
          </cell>
          <cell r="P1057" t="str">
            <v>ST</v>
          </cell>
          <cell r="R1057" t="str">
            <v>MOUNT BARKER</v>
          </cell>
          <cell r="S1057" t="str">
            <v>6324</v>
          </cell>
        </row>
        <row r="1058">
          <cell r="D1058" t="str">
            <v>A- actual</v>
          </cell>
          <cell r="E1058" t="str">
            <v>PS- pump station</v>
          </cell>
          <cell r="H1058" t="str">
            <v>P- private</v>
          </cell>
          <cell r="J1058" t="str">
            <v>20000120</v>
          </cell>
          <cell r="K1058" t="str">
            <v>115.751242697</v>
          </cell>
          <cell r="L1058" t="str">
            <v>-32.278070651</v>
          </cell>
          <cell r="M1058" t="str">
            <v>L</v>
          </cell>
          <cell r="N1058" t="str">
            <v>1604</v>
          </cell>
          <cell r="O1058" t="str">
            <v>DIXON</v>
          </cell>
          <cell r="P1058" t="str">
            <v>RD</v>
          </cell>
          <cell r="R1058" t="str">
            <v>ROCKINGHAM</v>
          </cell>
          <cell r="S1058" t="str">
            <v>6168</v>
          </cell>
        </row>
        <row r="1059">
          <cell r="D1059" t="str">
            <v>A- actual</v>
          </cell>
          <cell r="E1059" t="str">
            <v>PS- pump station</v>
          </cell>
          <cell r="F1059" t="str">
            <v>MUNDARING CHRISTIAN SCHOOL</v>
          </cell>
          <cell r="H1059" t="str">
            <v>P- private</v>
          </cell>
          <cell r="J1059" t="str">
            <v>19981214</v>
          </cell>
          <cell r="K1059" t="str">
            <v>116.180269331</v>
          </cell>
          <cell r="L1059" t="str">
            <v>-31.89869433</v>
          </cell>
          <cell r="M1059" t="str">
            <v>H</v>
          </cell>
          <cell r="N1059" t="str">
            <v>1605</v>
          </cell>
          <cell r="O1059" t="str">
            <v>WALKER</v>
          </cell>
          <cell r="P1059" t="str">
            <v>ST</v>
          </cell>
          <cell r="R1059" t="str">
            <v>MUNDARING</v>
          </cell>
          <cell r="S1059" t="str">
            <v>6073</v>
          </cell>
        </row>
        <row r="1060">
          <cell r="D1060" t="str">
            <v>A- actual</v>
          </cell>
          <cell r="E1060" t="str">
            <v>PS- pump station</v>
          </cell>
          <cell r="F1060" t="str">
            <v>GULL SERVICE STATION</v>
          </cell>
          <cell r="H1060" t="str">
            <v>P- private</v>
          </cell>
          <cell r="J1060" t="str">
            <v>19981230</v>
          </cell>
          <cell r="K1060" t="str">
            <v>116.053039317</v>
          </cell>
          <cell r="L1060" t="str">
            <v>-31.9680297402</v>
          </cell>
          <cell r="M1060" t="str">
            <v>H</v>
          </cell>
          <cell r="N1060" t="str">
            <v>26</v>
          </cell>
          <cell r="O1060" t="str">
            <v>KALAMUNDA</v>
          </cell>
          <cell r="P1060" t="str">
            <v>RD</v>
          </cell>
          <cell r="R1060" t="str">
            <v>KALAMUNDA</v>
          </cell>
          <cell r="S1060" t="str">
            <v>6076</v>
          </cell>
        </row>
        <row r="1061">
          <cell r="B1061" t="str">
            <v>S2000279</v>
          </cell>
          <cell r="C1061" t="str">
            <v>SPS WATERVIEW DR WOODVALE</v>
          </cell>
          <cell r="D1061" t="str">
            <v>A- actual</v>
          </cell>
          <cell r="E1061" t="str">
            <v>PS- pump station</v>
          </cell>
          <cell r="F1061" t="str">
            <v>WATERVIEW DR</v>
          </cell>
          <cell r="G1061" t="str">
            <v>4</v>
          </cell>
          <cell r="H1061" t="str">
            <v>W- water corporation</v>
          </cell>
          <cell r="J1061" t="str">
            <v>19990519</v>
          </cell>
          <cell r="K1061" t="str">
            <v>115.803873096</v>
          </cell>
          <cell r="L1061" t="str">
            <v>-31.790705119</v>
          </cell>
          <cell r="M1061" t="str">
            <v>H</v>
          </cell>
          <cell r="N1061" t="str">
            <v>40</v>
          </cell>
          <cell r="O1061" t="str">
            <v>WATERVIEW</v>
          </cell>
          <cell r="P1061" t="str">
            <v>DR</v>
          </cell>
          <cell r="R1061" t="str">
            <v>WOODVALE</v>
          </cell>
          <cell r="S1061" t="str">
            <v>6026</v>
          </cell>
        </row>
        <row r="1062">
          <cell r="B1062" t="str">
            <v>S2002889</v>
          </cell>
          <cell r="C1062" t="str">
            <v>SPS RUMMER WY BATEMAN</v>
          </cell>
          <cell r="D1062" t="str">
            <v>A- actual</v>
          </cell>
          <cell r="E1062" t="str">
            <v>PS- pump station</v>
          </cell>
          <cell r="F1062" t="str">
            <v>RUMMER WY</v>
          </cell>
          <cell r="G1062" t="str">
            <v>8</v>
          </cell>
          <cell r="H1062" t="str">
            <v>W- water corporation</v>
          </cell>
          <cell r="J1062" t="str">
            <v>19990822</v>
          </cell>
          <cell r="K1062" t="str">
            <v>115.847773042</v>
          </cell>
          <cell r="L1062" t="str">
            <v>-32.049975103</v>
          </cell>
          <cell r="M1062" t="str">
            <v>H</v>
          </cell>
          <cell r="N1062" t="str">
            <v>16</v>
          </cell>
          <cell r="O1062" t="str">
            <v>RUMMER</v>
          </cell>
          <cell r="P1062" t="str">
            <v>WAY</v>
          </cell>
          <cell r="R1062" t="str">
            <v>BATEMAN</v>
          </cell>
          <cell r="S1062" t="str">
            <v>6150</v>
          </cell>
        </row>
        <row r="1063">
          <cell r="B1063" t="str">
            <v>S2002884</v>
          </cell>
          <cell r="C1063" t="str">
            <v>SPS MCGILVRAY AV STH MORLEY</v>
          </cell>
          <cell r="D1063" t="str">
            <v>A- actual</v>
          </cell>
          <cell r="E1063" t="str">
            <v>PS- pump station</v>
          </cell>
          <cell r="F1063" t="str">
            <v>MCGILVRAY AVE</v>
          </cell>
          <cell r="G1063" t="str">
            <v>10</v>
          </cell>
          <cell r="H1063" t="str">
            <v>W- water corporation</v>
          </cell>
          <cell r="J1063" t="str">
            <v>20000301</v>
          </cell>
          <cell r="K1063" t="str">
            <v>115.896938534</v>
          </cell>
          <cell r="L1063" t="str">
            <v>-31.886098173</v>
          </cell>
          <cell r="M1063" t="str">
            <v>H</v>
          </cell>
          <cell r="N1063" t="str">
            <v>6</v>
          </cell>
          <cell r="O1063" t="str">
            <v>MCGILVRAY</v>
          </cell>
          <cell r="P1063" t="str">
            <v>AV</v>
          </cell>
          <cell r="R1063" t="str">
            <v>MORLEY</v>
          </cell>
          <cell r="S1063" t="str">
            <v>6062</v>
          </cell>
        </row>
        <row r="1064">
          <cell r="B1064" t="str">
            <v>S8000471</v>
          </cell>
          <cell r="C1064" t="str">
            <v>SPS BORONIA AVE WALPOLE</v>
          </cell>
          <cell r="D1064" t="str">
            <v>A- actual</v>
          </cell>
          <cell r="E1064" t="str">
            <v>PS- pump station</v>
          </cell>
          <cell r="F1064" t="str">
            <v>BORONIA AVE</v>
          </cell>
          <cell r="G1064" t="str">
            <v>2</v>
          </cell>
          <cell r="H1064" t="str">
            <v>W- water corporation</v>
          </cell>
          <cell r="J1064" t="str">
            <v>19990930</v>
          </cell>
          <cell r="K1064" t="str">
            <v>116.727713497</v>
          </cell>
          <cell r="L1064" t="str">
            <v>-34.9775645087</v>
          </cell>
          <cell r="M1064" t="str">
            <v>H</v>
          </cell>
          <cell r="N1064" t="str">
            <v>19</v>
          </cell>
          <cell r="O1064" t="str">
            <v>BORONIA</v>
          </cell>
          <cell r="P1064" t="str">
            <v>ST</v>
          </cell>
          <cell r="R1064" t="str">
            <v>WALPOLE</v>
          </cell>
          <cell r="S1064" t="str">
            <v>6398</v>
          </cell>
        </row>
        <row r="1065">
          <cell r="B1065" t="str">
            <v>S7000137</v>
          </cell>
          <cell r="C1065" t="str">
            <v>SPS PRINCESS ROYAL DR ALBANY</v>
          </cell>
          <cell r="D1065" t="str">
            <v>A- actual</v>
          </cell>
          <cell r="E1065" t="str">
            <v>PS- pump station</v>
          </cell>
          <cell r="F1065" t="str">
            <v>PRINCESS ROYAL DR</v>
          </cell>
          <cell r="G1065" t="str">
            <v>5</v>
          </cell>
          <cell r="H1065" t="str">
            <v>W- water corporation</v>
          </cell>
          <cell r="J1065" t="str">
            <v>20000101</v>
          </cell>
          <cell r="K1065" t="str">
            <v>117.903637094</v>
          </cell>
          <cell r="L1065" t="str">
            <v>-35.0365950875</v>
          </cell>
          <cell r="M1065" t="str">
            <v>L</v>
          </cell>
          <cell r="N1065" t="str">
            <v>1578</v>
          </cell>
          <cell r="O1065" t="str">
            <v>PRINCESS ROYAL</v>
          </cell>
          <cell r="P1065" t="str">
            <v>DR</v>
          </cell>
          <cell r="R1065" t="str">
            <v>PORT ALBANY</v>
          </cell>
          <cell r="S1065" t="str">
            <v>6330</v>
          </cell>
        </row>
        <row r="1066">
          <cell r="D1066" t="str">
            <v>A- actual</v>
          </cell>
          <cell r="E1066" t="str">
            <v>PS- pump station</v>
          </cell>
          <cell r="F1066" t="str">
            <v>BUNBURY ROWING CLUB</v>
          </cell>
          <cell r="H1066" t="str">
            <v>P- private</v>
          </cell>
          <cell r="J1066" t="str">
            <v>19991019</v>
          </cell>
          <cell r="K1066" t="str">
            <v>115.641570676</v>
          </cell>
          <cell r="L1066" t="str">
            <v>-33.324974077</v>
          </cell>
          <cell r="M1066" t="str">
            <v>L</v>
          </cell>
          <cell r="N1066" t="str">
            <v>759</v>
          </cell>
          <cell r="O1066" t="str">
            <v>COBBLESTONE</v>
          </cell>
          <cell r="P1066" t="str">
            <v>ST</v>
          </cell>
          <cell r="R1066" t="str">
            <v>BUNBURY</v>
          </cell>
          <cell r="S1066" t="str">
            <v>6230</v>
          </cell>
        </row>
        <row r="1067">
          <cell r="D1067" t="str">
            <v>A- actual</v>
          </cell>
          <cell r="E1067" t="str">
            <v>PS- pump station</v>
          </cell>
          <cell r="F1067" t="str">
            <v>COLLINGWOOD BUSINESS CENTRE</v>
          </cell>
          <cell r="H1067" t="str">
            <v>P- private</v>
          </cell>
          <cell r="J1067" t="str">
            <v>19991021</v>
          </cell>
          <cell r="K1067" t="str">
            <v>115.814196627</v>
          </cell>
          <cell r="L1067" t="str">
            <v>-31.901043039</v>
          </cell>
          <cell r="M1067" t="str">
            <v>H</v>
          </cell>
          <cell r="N1067" t="str">
            <v>21</v>
          </cell>
          <cell r="O1067" t="str">
            <v>COLLINGWOOD</v>
          </cell>
          <cell r="P1067" t="str">
            <v>ST</v>
          </cell>
          <cell r="R1067" t="str">
            <v>OSBORNE PARK</v>
          </cell>
          <cell r="S1067" t="str">
            <v>6017</v>
          </cell>
        </row>
        <row r="1068">
          <cell r="D1068" t="str">
            <v>A- actual</v>
          </cell>
          <cell r="E1068" t="str">
            <v>PS- pump station</v>
          </cell>
          <cell r="F1068" t="str">
            <v>COLLINGWOOD BUSINESS CENTRE</v>
          </cell>
          <cell r="H1068" t="str">
            <v>P- private</v>
          </cell>
          <cell r="J1068" t="str">
            <v>19700101</v>
          </cell>
          <cell r="K1068" t="str">
            <v>115.813353166</v>
          </cell>
          <cell r="L1068" t="str">
            <v>-31.9006913358</v>
          </cell>
          <cell r="M1068" t="str">
            <v>H</v>
          </cell>
          <cell r="N1068" t="str">
            <v>54</v>
          </cell>
          <cell r="O1068" t="str">
            <v>O'MALLEY</v>
          </cell>
          <cell r="P1068" t="str">
            <v>ST</v>
          </cell>
          <cell r="R1068" t="str">
            <v>OSBORNE PARK</v>
          </cell>
          <cell r="S1068" t="str">
            <v>6017</v>
          </cell>
        </row>
        <row r="1069">
          <cell r="B1069" t="str">
            <v>S8000697</v>
          </cell>
          <cell r="C1069" t="str">
            <v>SPS BLUM BLVD YALYALUP</v>
          </cell>
          <cell r="D1069" t="str">
            <v>A- actual</v>
          </cell>
          <cell r="E1069" t="str">
            <v>PS- pump station</v>
          </cell>
          <cell r="F1069" t="str">
            <v>BLUM BLVD</v>
          </cell>
          <cell r="G1069" t="str">
            <v>18</v>
          </cell>
          <cell r="H1069" t="str">
            <v>W- water corporation</v>
          </cell>
          <cell r="J1069" t="str">
            <v>20000308</v>
          </cell>
          <cell r="K1069" t="str">
            <v>115.379932987</v>
          </cell>
          <cell r="L1069" t="str">
            <v>-33.6633333058</v>
          </cell>
          <cell r="M1069" t="str">
            <v>H</v>
          </cell>
          <cell r="N1069" t="str">
            <v>48</v>
          </cell>
          <cell r="O1069" t="str">
            <v>BLUM</v>
          </cell>
          <cell r="P1069" t="str">
            <v>BVD</v>
          </cell>
          <cell r="R1069" t="str">
            <v>YALYALUP</v>
          </cell>
          <cell r="S1069" t="str">
            <v>6280</v>
          </cell>
        </row>
        <row r="1070">
          <cell r="B1070" t="str">
            <v>S2000009</v>
          </cell>
          <cell r="C1070" t="str">
            <v>SPS ARCADIA DR SHOALWATER</v>
          </cell>
          <cell r="D1070" t="str">
            <v>A- actual</v>
          </cell>
          <cell r="E1070" t="str">
            <v>PS- pump station</v>
          </cell>
          <cell r="F1070" t="str">
            <v>ARCADIA RD</v>
          </cell>
          <cell r="G1070" t="str">
            <v>17</v>
          </cell>
          <cell r="H1070" t="str">
            <v>W- water corporation</v>
          </cell>
          <cell r="J1070" t="str">
            <v>19981217</v>
          </cell>
          <cell r="K1070" t="str">
            <v>115.703923004</v>
          </cell>
          <cell r="L1070" t="str">
            <v>-32.294606257</v>
          </cell>
          <cell r="M1070" t="str">
            <v>H</v>
          </cell>
          <cell r="N1070" t="str">
            <v>66</v>
          </cell>
          <cell r="O1070" t="str">
            <v>ARCADIA</v>
          </cell>
          <cell r="P1070" t="str">
            <v>DR</v>
          </cell>
          <cell r="R1070" t="str">
            <v>SHOALWATER</v>
          </cell>
          <cell r="S1070" t="str">
            <v>6169</v>
          </cell>
        </row>
        <row r="1071">
          <cell r="B1071" t="str">
            <v>S2000010</v>
          </cell>
          <cell r="C1071" t="str">
            <v>SPS BOUNDARY RD PERON</v>
          </cell>
          <cell r="D1071" t="str">
            <v>A- actual</v>
          </cell>
          <cell r="E1071" t="str">
            <v>PS- pump station</v>
          </cell>
          <cell r="F1071" t="str">
            <v>BOUNDARY RD</v>
          </cell>
          <cell r="G1071" t="str">
            <v>18</v>
          </cell>
          <cell r="H1071" t="str">
            <v>W- water corporation</v>
          </cell>
          <cell r="J1071" t="str">
            <v>19981217</v>
          </cell>
          <cell r="K1071" t="str">
            <v>115.709448624</v>
          </cell>
          <cell r="L1071" t="str">
            <v>-32.286519315</v>
          </cell>
          <cell r="M1071" t="str">
            <v>H</v>
          </cell>
          <cell r="N1071" t="str">
            <v>23</v>
          </cell>
          <cell r="O1071" t="str">
            <v>BOUNDARY</v>
          </cell>
          <cell r="P1071" t="str">
            <v>RD</v>
          </cell>
          <cell r="R1071" t="str">
            <v>SHOALWATER</v>
          </cell>
          <cell r="S1071" t="str">
            <v>6169</v>
          </cell>
        </row>
        <row r="1072">
          <cell r="B1072" t="str">
            <v>S0030467</v>
          </cell>
          <cell r="C1072" t="str">
            <v>VPS SAFETY BAY RD NTH PERON</v>
          </cell>
          <cell r="D1072" t="str">
            <v>A- actual</v>
          </cell>
          <cell r="E1072" t="str">
            <v>VPS- vacuum pump station</v>
          </cell>
          <cell r="F1072" t="str">
            <v>SAFETY BAY RD</v>
          </cell>
          <cell r="G1072" t="str">
            <v>11</v>
          </cell>
          <cell r="H1072" t="str">
            <v>W- water corporation</v>
          </cell>
          <cell r="J1072" t="str">
            <v>19970124</v>
          </cell>
          <cell r="K1072" t="str">
            <v>115.711324554</v>
          </cell>
          <cell r="L1072" t="str">
            <v>-32.279146248</v>
          </cell>
          <cell r="M1072" t="str">
            <v>H</v>
          </cell>
          <cell r="N1072" t="str">
            <v>8</v>
          </cell>
          <cell r="O1072" t="str">
            <v>SAFETY BAY</v>
          </cell>
          <cell r="P1072" t="str">
            <v>RD</v>
          </cell>
          <cell r="R1072" t="str">
            <v>ROCKINGHAM</v>
          </cell>
          <cell r="S1072" t="str">
            <v>6168</v>
          </cell>
        </row>
        <row r="1073">
          <cell r="D1073" t="str">
            <v>N- not in use</v>
          </cell>
          <cell r="E1073" t="str">
            <v>PS- pump station</v>
          </cell>
          <cell r="F1073" t="str">
            <v>JONES ST TEMPORARY</v>
          </cell>
          <cell r="H1073" t="str">
            <v>W- water corporation</v>
          </cell>
          <cell r="J1073" t="str">
            <v>19990305</v>
          </cell>
          <cell r="K1073" t="str">
            <v>115.787574089</v>
          </cell>
          <cell r="L1073" t="str">
            <v>-32.0598249628</v>
          </cell>
          <cell r="M1073" t="str">
            <v>L</v>
          </cell>
          <cell r="N1073" t="str">
            <v>800</v>
          </cell>
          <cell r="O1073" t="str">
            <v>MILSON</v>
          </cell>
          <cell r="P1073" t="str">
            <v>PL</v>
          </cell>
          <cell r="R1073" t="str">
            <v>O'CONNOR</v>
          </cell>
          <cell r="S1073" t="str">
            <v>6163</v>
          </cell>
        </row>
        <row r="1074">
          <cell r="B1074" t="str">
            <v>S2003193</v>
          </cell>
          <cell r="C1074" t="str">
            <v>SPS RADNOR WY COOLBELLUP</v>
          </cell>
          <cell r="D1074" t="str">
            <v>A- actual</v>
          </cell>
          <cell r="E1074" t="str">
            <v>PS- pump station</v>
          </cell>
          <cell r="F1074" t="str">
            <v>RADNOR WY</v>
          </cell>
          <cell r="G1074" t="str">
            <v>3</v>
          </cell>
          <cell r="H1074" t="str">
            <v>W- water corporation</v>
          </cell>
          <cell r="J1074" t="str">
            <v>19991018</v>
          </cell>
          <cell r="K1074" t="str">
            <v>115.816030813</v>
          </cell>
          <cell r="L1074" t="str">
            <v>-32.0773092425</v>
          </cell>
          <cell r="M1074" t="str">
            <v>H</v>
          </cell>
          <cell r="N1074" t="str">
            <v>7</v>
          </cell>
          <cell r="O1074" t="str">
            <v>RADNOR</v>
          </cell>
          <cell r="P1074" t="str">
            <v>WAY</v>
          </cell>
          <cell r="R1074" t="str">
            <v>COOLBELLUP</v>
          </cell>
          <cell r="S1074" t="str">
            <v>6163</v>
          </cell>
        </row>
        <row r="1075">
          <cell r="B1075" t="str">
            <v>S2003188</v>
          </cell>
          <cell r="C1075" t="str">
            <v>SPS BORDEAUX LANE THE VINES</v>
          </cell>
          <cell r="D1075" t="str">
            <v>A- actual</v>
          </cell>
          <cell r="E1075" t="str">
            <v>PS- pump station</v>
          </cell>
          <cell r="F1075" t="str">
            <v>BORDEAUX LANE</v>
          </cell>
          <cell r="H1075" t="str">
            <v>W- water corporation</v>
          </cell>
          <cell r="J1075" t="str">
            <v>20000222</v>
          </cell>
          <cell r="K1075" t="str">
            <v>115.992875413</v>
          </cell>
          <cell r="L1075" t="str">
            <v>-31.7637872262</v>
          </cell>
          <cell r="M1075" t="str">
            <v>L</v>
          </cell>
          <cell r="N1075" t="str">
            <v>932</v>
          </cell>
          <cell r="O1075" t="str">
            <v>BORDEAUX</v>
          </cell>
          <cell r="P1075" t="str">
            <v>LANE</v>
          </cell>
          <cell r="R1075" t="str">
            <v>THE VINES</v>
          </cell>
          <cell r="S1075" t="str">
            <v>6069</v>
          </cell>
        </row>
        <row r="1076">
          <cell r="B1076" t="str">
            <v>S7000172</v>
          </cell>
          <cell r="C1076" t="str">
            <v>SPS MASON ST CRANBROOK</v>
          </cell>
          <cell r="D1076" t="str">
            <v>A- actual</v>
          </cell>
          <cell r="E1076" t="str">
            <v>PS- pump station</v>
          </cell>
          <cell r="F1076" t="str">
            <v>MASON ST</v>
          </cell>
          <cell r="G1076" t="str">
            <v>2</v>
          </cell>
          <cell r="H1076" t="str">
            <v>W- water corporation</v>
          </cell>
          <cell r="J1076" t="str">
            <v>19990621</v>
          </cell>
          <cell r="K1076" t="str">
            <v>117.545321986</v>
          </cell>
          <cell r="L1076" t="str">
            <v>-34.2950652741</v>
          </cell>
          <cell r="M1076" t="str">
            <v>H</v>
          </cell>
          <cell r="N1076" t="str">
            <v>8</v>
          </cell>
          <cell r="O1076" t="str">
            <v>GRANTHAM</v>
          </cell>
          <cell r="P1076" t="str">
            <v>ST</v>
          </cell>
          <cell r="R1076" t="str">
            <v>CRANBROOK</v>
          </cell>
          <cell r="S1076" t="str">
            <v>6321</v>
          </cell>
        </row>
        <row r="1077">
          <cell r="B1077" t="str">
            <v>S0029167</v>
          </cell>
          <cell r="C1077" t="str">
            <v>SPS KYEEMA WY ELLENBROOK</v>
          </cell>
          <cell r="D1077" t="str">
            <v>A- actual</v>
          </cell>
          <cell r="E1077" t="str">
            <v>TPS- temporary pump station</v>
          </cell>
          <cell r="F1077" t="str">
            <v>KYEEMA WY</v>
          </cell>
          <cell r="H1077" t="str">
            <v>W- water corporation</v>
          </cell>
          <cell r="J1077" t="str">
            <v>19980315</v>
          </cell>
          <cell r="K1077" t="str">
            <v>115.96432977</v>
          </cell>
          <cell r="L1077" t="str">
            <v>-31.795187497</v>
          </cell>
          <cell r="M1077" t="str">
            <v>H</v>
          </cell>
          <cell r="N1077" t="str">
            <v>5</v>
          </cell>
          <cell r="O1077" t="str">
            <v>KYEEMA</v>
          </cell>
          <cell r="P1077" t="str">
            <v>WAY</v>
          </cell>
          <cell r="R1077" t="str">
            <v>ELLENBROOK</v>
          </cell>
          <cell r="S1077" t="str">
            <v>6069</v>
          </cell>
        </row>
        <row r="1078">
          <cell r="B1078" t="str">
            <v>S0034249</v>
          </cell>
          <cell r="C1078" t="str">
            <v>SPS CANNING VALE DEPOT CANNING VALE</v>
          </cell>
          <cell r="D1078" t="str">
            <v>A- actual</v>
          </cell>
          <cell r="E1078" t="str">
            <v>PS- pump station</v>
          </cell>
          <cell r="F1078" t="str">
            <v>CANNING VALE DEPOT</v>
          </cell>
          <cell r="H1078" t="str">
            <v>P- private</v>
          </cell>
          <cell r="J1078" t="str">
            <v>19860901</v>
          </cell>
          <cell r="K1078" t="str">
            <v>115.89084025</v>
          </cell>
          <cell r="L1078" t="str">
            <v>-32.0716586624</v>
          </cell>
          <cell r="M1078" t="str">
            <v>H</v>
          </cell>
          <cell r="N1078" t="str">
            <v>265</v>
          </cell>
          <cell r="O1078" t="str">
            <v>BANNISTER</v>
          </cell>
          <cell r="P1078" t="str">
            <v>RD</v>
          </cell>
          <cell r="R1078" t="str">
            <v>CANNING VALE</v>
          </cell>
          <cell r="S1078" t="str">
            <v>6155</v>
          </cell>
        </row>
        <row r="1079">
          <cell r="B1079" t="str">
            <v>S0032795</v>
          </cell>
          <cell r="C1079" t="str">
            <v>SPS WATERWORKS RD HAYNES</v>
          </cell>
          <cell r="D1079" t="str">
            <v>A- actual</v>
          </cell>
          <cell r="E1079" t="str">
            <v>PS- pump station</v>
          </cell>
          <cell r="F1079" t="str">
            <v>WATERWORKS RD</v>
          </cell>
          <cell r="H1079" t="str">
            <v>W- water corporation</v>
          </cell>
          <cell r="J1079" t="str">
            <v>19810811</v>
          </cell>
          <cell r="K1079" t="str">
            <v>115.960717546</v>
          </cell>
          <cell r="L1079" t="str">
            <v>-32.150931818</v>
          </cell>
          <cell r="M1079" t="str">
            <v>H</v>
          </cell>
          <cell r="N1079" t="str">
            <v>66</v>
          </cell>
          <cell r="O1079" t="str">
            <v>WATERWORKS</v>
          </cell>
          <cell r="P1079" t="str">
            <v>RD</v>
          </cell>
          <cell r="R1079" t="str">
            <v>HAYNES</v>
          </cell>
          <cell r="S1079" t="str">
            <v>6112</v>
          </cell>
        </row>
        <row r="1080">
          <cell r="D1080" t="str">
            <v>A- actual</v>
          </cell>
          <cell r="E1080" t="str">
            <v>PS- pump station</v>
          </cell>
          <cell r="F1080" t="str">
            <v>ELLAM ST</v>
          </cell>
          <cell r="H1080" t="str">
            <v>P- private</v>
          </cell>
          <cell r="J1080" t="str">
            <v>19700101</v>
          </cell>
          <cell r="K1080" t="str">
            <v>115.879478842</v>
          </cell>
          <cell r="L1080" t="str">
            <v>-31.9713933726</v>
          </cell>
          <cell r="M1080" t="str">
            <v>H</v>
          </cell>
          <cell r="N1080" t="str">
            <v>5</v>
          </cell>
          <cell r="O1080" t="str">
            <v>ELLAM</v>
          </cell>
          <cell r="P1080" t="str">
            <v>ST</v>
          </cell>
          <cell r="R1080" t="str">
            <v>VICTORIA PARK</v>
          </cell>
          <cell r="S1080" t="str">
            <v>6100</v>
          </cell>
        </row>
        <row r="1081">
          <cell r="D1081" t="str">
            <v>A- actual</v>
          </cell>
          <cell r="E1081" t="str">
            <v>PS- pump station</v>
          </cell>
          <cell r="F1081" t="str">
            <v>LOT 224 EDGEHILL ST</v>
          </cell>
          <cell r="H1081" t="str">
            <v>P- private</v>
          </cell>
          <cell r="J1081" t="str">
            <v>20000626</v>
          </cell>
          <cell r="K1081" t="str">
            <v>115.760558511</v>
          </cell>
          <cell r="L1081" t="str">
            <v>-31.8904548331</v>
          </cell>
          <cell r="M1081" t="str">
            <v>H</v>
          </cell>
          <cell r="N1081" t="str">
            <v>6</v>
          </cell>
          <cell r="O1081" t="str">
            <v>EDGEHILL</v>
          </cell>
          <cell r="P1081" t="str">
            <v>ST</v>
          </cell>
          <cell r="R1081" t="str">
            <v>SCARBOROUGH</v>
          </cell>
          <cell r="S1081" t="str">
            <v>6019</v>
          </cell>
        </row>
        <row r="1082">
          <cell r="D1082" t="str">
            <v>A- actual</v>
          </cell>
          <cell r="E1082" t="str">
            <v>PS- pump station</v>
          </cell>
          <cell r="H1082" t="str">
            <v>P- private</v>
          </cell>
          <cell r="J1082" t="str">
            <v>20000509</v>
          </cell>
          <cell r="K1082" t="str">
            <v>114.606376962</v>
          </cell>
          <cell r="L1082" t="str">
            <v>-28.777596</v>
          </cell>
          <cell r="M1082" t="str">
            <v>H</v>
          </cell>
          <cell r="N1082" t="str">
            <v>54</v>
          </cell>
          <cell r="O1082" t="str">
            <v>FITZGERALD</v>
          </cell>
          <cell r="P1082" t="str">
            <v>ST</v>
          </cell>
          <cell r="R1082" t="str">
            <v>GERALDTON</v>
          </cell>
          <cell r="S1082" t="str">
            <v>6530</v>
          </cell>
        </row>
        <row r="1083">
          <cell r="D1083" t="str">
            <v>N- not in use</v>
          </cell>
          <cell r="E1083" t="str">
            <v>PS- pump station</v>
          </cell>
          <cell r="F1083" t="str">
            <v>STUART ST</v>
          </cell>
          <cell r="H1083" t="str">
            <v>P- private</v>
          </cell>
          <cell r="J1083" t="str">
            <v>19700101</v>
          </cell>
          <cell r="K1083" t="str">
            <v>115.856284402</v>
          </cell>
          <cell r="L1083" t="str">
            <v>-31.9426767977</v>
          </cell>
          <cell r="M1083" t="str">
            <v>H</v>
          </cell>
          <cell r="N1083" t="str">
            <v>20</v>
          </cell>
          <cell r="O1083" t="str">
            <v>PENDAL</v>
          </cell>
          <cell r="P1083" t="str">
            <v>LANE</v>
          </cell>
          <cell r="R1083" t="str">
            <v>PERTH</v>
          </cell>
          <cell r="S1083" t="str">
            <v>6000</v>
          </cell>
        </row>
        <row r="1084">
          <cell r="B1084" t="str">
            <v>S2001394</v>
          </cell>
          <cell r="C1084" t="str">
            <v>SPS BARRAMBIE WY WHITEMAN</v>
          </cell>
          <cell r="D1084" t="str">
            <v>A- actual</v>
          </cell>
          <cell r="E1084" t="str">
            <v>PS- pump station</v>
          </cell>
          <cell r="F1084" t="str">
            <v>BARRAMBIE WY</v>
          </cell>
          <cell r="H1084" t="str">
            <v>W- water corporation</v>
          </cell>
          <cell r="J1084" t="str">
            <v>19990922</v>
          </cell>
          <cell r="K1084" t="str">
            <v>115.959958752</v>
          </cell>
          <cell r="L1084" t="str">
            <v>-31.796460988</v>
          </cell>
          <cell r="M1084" t="str">
            <v>H</v>
          </cell>
          <cell r="N1084" t="str">
            <v>40</v>
          </cell>
          <cell r="O1084" t="str">
            <v>BARRAMBIE</v>
          </cell>
          <cell r="P1084" t="str">
            <v>WAY</v>
          </cell>
          <cell r="R1084" t="str">
            <v>WHITEMAN</v>
          </cell>
          <cell r="S1084" t="str">
            <v>6068</v>
          </cell>
        </row>
        <row r="1085">
          <cell r="B1085" t="str">
            <v>S8000387</v>
          </cell>
          <cell r="C1085" t="str">
            <v>VPS PICTON RD EAST BUNBURY</v>
          </cell>
          <cell r="D1085" t="str">
            <v>A- actual</v>
          </cell>
          <cell r="E1085" t="str">
            <v>VPS- vacuum pump station</v>
          </cell>
          <cell r="F1085" t="str">
            <v>PICTON RD</v>
          </cell>
          <cell r="G1085" t="str">
            <v>35</v>
          </cell>
          <cell r="H1085" t="str">
            <v>W- water corporation</v>
          </cell>
          <cell r="J1085" t="str">
            <v>19990701</v>
          </cell>
          <cell r="K1085" t="str">
            <v>115.655322303</v>
          </cell>
          <cell r="L1085" t="str">
            <v>-33.343030673</v>
          </cell>
          <cell r="M1085" t="str">
            <v>L</v>
          </cell>
          <cell r="N1085" t="str">
            <v>925</v>
          </cell>
          <cell r="O1085" t="str">
            <v>HAWKINS</v>
          </cell>
          <cell r="P1085" t="str">
            <v>ST</v>
          </cell>
          <cell r="R1085" t="str">
            <v>EAST BUNBURY</v>
          </cell>
          <cell r="S1085" t="str">
            <v>6230</v>
          </cell>
        </row>
        <row r="1086">
          <cell r="D1086" t="str">
            <v>N- not in use</v>
          </cell>
          <cell r="E1086" t="str">
            <v>PS- pump station</v>
          </cell>
          <cell r="F1086" t="str">
            <v>KJARINGAL GREEN EST TEMPORARY</v>
          </cell>
          <cell r="H1086" t="str">
            <v>W- water corporation</v>
          </cell>
          <cell r="J1086" t="str">
            <v>20000728</v>
          </cell>
          <cell r="K1086" t="str">
            <v>116.010632634</v>
          </cell>
          <cell r="L1086" t="str">
            <v>-31.934833863</v>
          </cell>
          <cell r="M1086" t="str">
            <v>H</v>
          </cell>
          <cell r="N1086" t="str">
            <v>39</v>
          </cell>
          <cell r="O1086" t="str">
            <v>LAMBERTIA</v>
          </cell>
          <cell r="P1086" t="str">
            <v>CR</v>
          </cell>
          <cell r="R1086" t="str">
            <v>HIGH WYCOMBE</v>
          </cell>
          <cell r="S1086" t="str">
            <v>6057</v>
          </cell>
        </row>
        <row r="1087">
          <cell r="D1087" t="str">
            <v>N- not in use</v>
          </cell>
          <cell r="E1087" t="str">
            <v>PS- pump station</v>
          </cell>
          <cell r="F1087" t="str">
            <v>VINES RESORT</v>
          </cell>
          <cell r="H1087" t="str">
            <v>W- water corporation</v>
          </cell>
          <cell r="J1087" t="str">
            <v>19700101</v>
          </cell>
          <cell r="K1087" t="str">
            <v>116.008521365</v>
          </cell>
          <cell r="L1087" t="str">
            <v>-31.755276607</v>
          </cell>
          <cell r="M1087" t="str">
            <v>H</v>
          </cell>
          <cell r="N1087" t="str">
            <v>220</v>
          </cell>
          <cell r="O1087" t="str">
            <v>HERMITAGE</v>
          </cell>
          <cell r="P1087" t="str">
            <v>DR</v>
          </cell>
          <cell r="R1087" t="str">
            <v>THE VINES</v>
          </cell>
          <cell r="S1087" t="str">
            <v>6069</v>
          </cell>
        </row>
        <row r="1088">
          <cell r="D1088" t="str">
            <v>A- actual</v>
          </cell>
          <cell r="E1088" t="str">
            <v>PS- pump station</v>
          </cell>
          <cell r="F1088" t="str">
            <v>CASUARINA BOAT HARBOUR</v>
          </cell>
          <cell r="H1088" t="str">
            <v>P- private</v>
          </cell>
          <cell r="J1088" t="str">
            <v>19970507</v>
          </cell>
          <cell r="K1088" t="str">
            <v>115.642877416</v>
          </cell>
          <cell r="L1088" t="str">
            <v>-33.3115326265</v>
          </cell>
          <cell r="M1088" t="str">
            <v>L</v>
          </cell>
          <cell r="N1088" t="str">
            <v>1036</v>
          </cell>
          <cell r="O1088" t="str">
            <v>JETTY</v>
          </cell>
          <cell r="P1088" t="str">
            <v>RD</v>
          </cell>
          <cell r="R1088" t="str">
            <v>BUNBURY</v>
          </cell>
          <cell r="S1088" t="str">
            <v>6230</v>
          </cell>
        </row>
        <row r="1089">
          <cell r="B1089" t="str">
            <v>S2001429</v>
          </cell>
          <cell r="C1089" t="str">
            <v>SPS TAITTINGER GR THE VINES</v>
          </cell>
          <cell r="D1089" t="str">
            <v>A- actual</v>
          </cell>
          <cell r="E1089" t="str">
            <v>TPS- temporary pump station</v>
          </cell>
          <cell r="F1089" t="str">
            <v>TAITTINGER GR</v>
          </cell>
          <cell r="H1089" t="str">
            <v>W- water corporation</v>
          </cell>
          <cell r="J1089" t="str">
            <v>19950109</v>
          </cell>
          <cell r="K1089" t="str">
            <v>115.993503472</v>
          </cell>
          <cell r="L1089" t="str">
            <v>-31.768820271</v>
          </cell>
          <cell r="M1089" t="str">
            <v>H</v>
          </cell>
          <cell r="N1089" t="str">
            <v>78</v>
          </cell>
          <cell r="O1089" t="str">
            <v>TAITTINGER</v>
          </cell>
          <cell r="P1089" t="str">
            <v>GR</v>
          </cell>
          <cell r="R1089" t="str">
            <v>THE VINES</v>
          </cell>
          <cell r="S1089" t="str">
            <v>6069</v>
          </cell>
        </row>
        <row r="1090">
          <cell r="D1090" t="str">
            <v>A- actual</v>
          </cell>
          <cell r="E1090" t="str">
            <v>PS- pump station</v>
          </cell>
          <cell r="F1090" t="str">
            <v>DUNSBOROUGH LAKES CARAVAN PK</v>
          </cell>
          <cell r="G1090" t="str">
            <v>2</v>
          </cell>
          <cell r="H1090" t="str">
            <v>P- private</v>
          </cell>
          <cell r="J1090" t="str">
            <v>19940128</v>
          </cell>
          <cell r="K1090" t="str">
            <v>115.12371287</v>
          </cell>
          <cell r="L1090" t="str">
            <v>-33.6320908274</v>
          </cell>
          <cell r="M1090" t="str">
            <v>H</v>
          </cell>
          <cell r="N1090" t="str">
            <v>29</v>
          </cell>
          <cell r="O1090" t="str">
            <v>COMMONAGE</v>
          </cell>
          <cell r="P1090" t="str">
            <v>RD</v>
          </cell>
          <cell r="R1090" t="str">
            <v>QUINDALUP</v>
          </cell>
          <cell r="S1090" t="str">
            <v>6281</v>
          </cell>
        </row>
        <row r="1091">
          <cell r="D1091" t="str">
            <v>A- actual</v>
          </cell>
          <cell r="E1091" t="str">
            <v>PS- pump station</v>
          </cell>
          <cell r="F1091" t="str">
            <v>DUNSBOROUGH LAKES CARAVAN PK</v>
          </cell>
          <cell r="G1091" t="str">
            <v>1</v>
          </cell>
          <cell r="H1091" t="str">
            <v>P- private</v>
          </cell>
          <cell r="J1091" t="str">
            <v>19940128</v>
          </cell>
          <cell r="K1091" t="str">
            <v>115.12371287</v>
          </cell>
          <cell r="L1091" t="str">
            <v>-33.6320908274</v>
          </cell>
          <cell r="M1091" t="str">
            <v>H</v>
          </cell>
          <cell r="N1091" t="str">
            <v>29</v>
          </cell>
          <cell r="O1091" t="str">
            <v>COMMONAGE</v>
          </cell>
          <cell r="P1091" t="str">
            <v>RD</v>
          </cell>
          <cell r="R1091" t="str">
            <v>QUINDALUP</v>
          </cell>
          <cell r="S1091" t="str">
            <v>6281</v>
          </cell>
        </row>
        <row r="1092">
          <cell r="D1092" t="str">
            <v>A- actual</v>
          </cell>
          <cell r="E1092" t="str">
            <v>PS- pump station</v>
          </cell>
          <cell r="H1092" t="str">
            <v>P- private</v>
          </cell>
          <cell r="J1092" t="str">
            <v>19980327</v>
          </cell>
          <cell r="K1092" t="str">
            <v>115.838673953</v>
          </cell>
          <cell r="L1092" t="str">
            <v>-32.5782444919</v>
          </cell>
          <cell r="M1092" t="str">
            <v>H</v>
          </cell>
          <cell r="N1092" t="str">
            <v>194</v>
          </cell>
          <cell r="O1092" t="str">
            <v>OLD MANDURAH</v>
          </cell>
          <cell r="P1092" t="str">
            <v>RD</v>
          </cell>
          <cell r="R1092" t="str">
            <v>RAVENSWOOD</v>
          </cell>
          <cell r="S1092" t="str">
            <v>6208</v>
          </cell>
        </row>
        <row r="1093">
          <cell r="B1093" t="str">
            <v>S4000797</v>
          </cell>
          <cell r="C1093" t="str">
            <v>SPS 4 SAMUEL ST DONGARA</v>
          </cell>
          <cell r="D1093" t="str">
            <v>A- actual</v>
          </cell>
          <cell r="E1093" t="str">
            <v>PS- pump station</v>
          </cell>
          <cell r="F1093" t="str">
            <v>SAMUEL ST</v>
          </cell>
          <cell r="G1093" t="str">
            <v>4</v>
          </cell>
          <cell r="H1093" t="str">
            <v>W- water corporation</v>
          </cell>
          <cell r="J1093" t="str">
            <v>20000828</v>
          </cell>
          <cell r="K1093" t="str">
            <v>114.91922893</v>
          </cell>
          <cell r="L1093" t="str">
            <v>-29.275708553</v>
          </cell>
          <cell r="M1093" t="str">
            <v>H</v>
          </cell>
          <cell r="N1093" t="str">
            <v>42</v>
          </cell>
          <cell r="O1093" t="str">
            <v>POINT LEANDER</v>
          </cell>
          <cell r="P1093" t="str">
            <v>DR</v>
          </cell>
          <cell r="R1093" t="str">
            <v>PORT DENISON</v>
          </cell>
          <cell r="S1093" t="str">
            <v>6525</v>
          </cell>
        </row>
        <row r="1094">
          <cell r="D1094" t="str">
            <v>A- actual</v>
          </cell>
          <cell r="E1094" t="str">
            <v>PS- pump station</v>
          </cell>
          <cell r="F1094" t="str">
            <v>RSPCA ANIMASL WELFARE CENTRE</v>
          </cell>
          <cell r="H1094" t="str">
            <v>P- private</v>
          </cell>
          <cell r="J1094" t="str">
            <v>20000512</v>
          </cell>
          <cell r="K1094" t="str">
            <v>115.89593498</v>
          </cell>
          <cell r="L1094" t="str">
            <v>-31.8644016047</v>
          </cell>
          <cell r="M1094" t="str">
            <v>H</v>
          </cell>
          <cell r="N1094" t="str">
            <v>4</v>
          </cell>
          <cell r="O1094" t="str">
            <v>MILLROSE</v>
          </cell>
          <cell r="P1094" t="str">
            <v>DR</v>
          </cell>
          <cell r="R1094" t="str">
            <v>MALAGA</v>
          </cell>
          <cell r="S1094" t="str">
            <v>6090</v>
          </cell>
        </row>
        <row r="1095">
          <cell r="D1095" t="str">
            <v>A- actual</v>
          </cell>
          <cell r="E1095" t="str">
            <v>PS- pump station</v>
          </cell>
          <cell r="F1095" t="str">
            <v>LOT 11 NAUTILUS CR</v>
          </cell>
          <cell r="H1095" t="str">
            <v>P- private</v>
          </cell>
          <cell r="J1095" t="str">
            <v>20000811</v>
          </cell>
          <cell r="K1095" t="str">
            <v>115.76127613</v>
          </cell>
          <cell r="L1095" t="str">
            <v>-31.8879128828</v>
          </cell>
          <cell r="M1095" t="str">
            <v>H</v>
          </cell>
          <cell r="N1095" t="str">
            <v>30</v>
          </cell>
          <cell r="O1095" t="str">
            <v>NAUTILUS</v>
          </cell>
          <cell r="P1095" t="str">
            <v>CR</v>
          </cell>
          <cell r="R1095" t="str">
            <v>SCARBOROUGH</v>
          </cell>
          <cell r="S1095" t="str">
            <v>6019</v>
          </cell>
        </row>
        <row r="1096">
          <cell r="B1096" t="str">
            <v>S0037826</v>
          </cell>
          <cell r="C1096" t="str">
            <v>SPS TARCOOLA VIEWS MT TARCOOLA</v>
          </cell>
          <cell r="D1096" t="str">
            <v>A- actual</v>
          </cell>
          <cell r="E1096" t="str">
            <v>PS- pump station</v>
          </cell>
          <cell r="F1096" t="str">
            <v>TARCOOLA VIEW TEMPORARY</v>
          </cell>
          <cell r="H1096" t="str">
            <v>W- water corporation</v>
          </cell>
          <cell r="J1096" t="str">
            <v>20000321</v>
          </cell>
          <cell r="K1096" t="str">
            <v>114.63365277</v>
          </cell>
          <cell r="L1096" t="str">
            <v>-28.80410884</v>
          </cell>
          <cell r="M1096" t="str">
            <v>H</v>
          </cell>
          <cell r="N1096" t="str">
            <v>5</v>
          </cell>
          <cell r="O1096" t="str">
            <v>HUMBLE</v>
          </cell>
          <cell r="P1096" t="str">
            <v>CL</v>
          </cell>
          <cell r="R1096" t="str">
            <v>MOUNT TARCOOLA</v>
          </cell>
          <cell r="S1096" t="str">
            <v>6530</v>
          </cell>
        </row>
        <row r="1097">
          <cell r="B1097" t="str">
            <v>S8000568</v>
          </cell>
          <cell r="C1097" t="str">
            <v>SPS LESCHENAULTIA AVE MARGARET RIVER</v>
          </cell>
          <cell r="D1097" t="str">
            <v>A- actual</v>
          </cell>
          <cell r="E1097" t="str">
            <v>PS- pump station</v>
          </cell>
          <cell r="F1097" t="str">
            <v>LESCHENAULTIA AVE</v>
          </cell>
          <cell r="H1097" t="str">
            <v>W- water corporation</v>
          </cell>
          <cell r="J1097" t="str">
            <v>20000627</v>
          </cell>
          <cell r="K1097" t="str">
            <v>115.086255447</v>
          </cell>
          <cell r="L1097" t="str">
            <v>-33.967767134</v>
          </cell>
          <cell r="M1097" t="str">
            <v>H</v>
          </cell>
          <cell r="N1097" t="str">
            <v>62</v>
          </cell>
          <cell r="O1097" t="str">
            <v>LESCHENAULTIA</v>
          </cell>
          <cell r="P1097" t="str">
            <v>AV</v>
          </cell>
          <cell r="R1097" t="str">
            <v>MARGARET RIVER</v>
          </cell>
          <cell r="S1097" t="str">
            <v>6285</v>
          </cell>
        </row>
        <row r="1098">
          <cell r="B1098" t="str">
            <v>S8000487</v>
          </cell>
          <cell r="C1098" t="str">
            <v>SPS RESERVE ST DONNYBROOK</v>
          </cell>
          <cell r="D1098" t="str">
            <v>A- actual</v>
          </cell>
          <cell r="E1098" t="str">
            <v>PS- pump station</v>
          </cell>
          <cell r="F1098" t="str">
            <v>RESERVE ST</v>
          </cell>
          <cell r="G1098" t="str">
            <v>01</v>
          </cell>
          <cell r="H1098" t="str">
            <v>W- water corporation</v>
          </cell>
          <cell r="J1098" t="str">
            <v>20000614</v>
          </cell>
          <cell r="K1098" t="str">
            <v>115.820080842</v>
          </cell>
          <cell r="L1098" t="str">
            <v>-33.5709354664</v>
          </cell>
          <cell r="M1098" t="str">
            <v>L</v>
          </cell>
          <cell r="N1098" t="str">
            <v>591</v>
          </cell>
          <cell r="O1098" t="str">
            <v>RESERVE</v>
          </cell>
          <cell r="P1098" t="str">
            <v>ST</v>
          </cell>
          <cell r="R1098" t="str">
            <v>DONNYBROOK</v>
          </cell>
          <cell r="S1098" t="str">
            <v>6239</v>
          </cell>
        </row>
        <row r="1099">
          <cell r="B1099" t="str">
            <v>S8000497</v>
          </cell>
          <cell r="C1099" t="str">
            <v>SPS INFLUENT ARGYLE</v>
          </cell>
          <cell r="D1099" t="str">
            <v>A- actual</v>
          </cell>
          <cell r="E1099" t="str">
            <v>PS- pump station</v>
          </cell>
          <cell r="F1099" t="str">
            <v>DONNYBROOK INFLUENT WWPS</v>
          </cell>
          <cell r="G1099" t="str">
            <v>3</v>
          </cell>
          <cell r="H1099" t="str">
            <v>W- water corporation</v>
          </cell>
          <cell r="J1099" t="str">
            <v>19990908</v>
          </cell>
          <cell r="K1099" t="str">
            <v>115.773086072</v>
          </cell>
          <cell r="L1099" t="str">
            <v>-33.5678484145</v>
          </cell>
          <cell r="M1099" t="str">
            <v>H</v>
          </cell>
          <cell r="N1099" t="str">
            <v>307</v>
          </cell>
          <cell r="O1099" t="str">
            <v>KNIGHTS</v>
          </cell>
          <cell r="P1099" t="str">
            <v>RD</v>
          </cell>
          <cell r="R1099" t="str">
            <v>ARGYLE</v>
          </cell>
          <cell r="S1099" t="str">
            <v>6239</v>
          </cell>
        </row>
        <row r="1100">
          <cell r="B1100" t="str">
            <v>S8000492</v>
          </cell>
          <cell r="C1100" t="str">
            <v>SPS STH WEST HWY DONNYBROOK</v>
          </cell>
          <cell r="D1100" t="str">
            <v>A- actual</v>
          </cell>
          <cell r="E1100" t="str">
            <v>PS- pump station</v>
          </cell>
          <cell r="F1100" t="str">
            <v>SOUTH WEST HWY DONNYBROOK</v>
          </cell>
          <cell r="G1100" t="str">
            <v>2</v>
          </cell>
          <cell r="H1100" t="str">
            <v>W- water corporation</v>
          </cell>
          <cell r="J1100" t="str">
            <v>20000614</v>
          </cell>
          <cell r="K1100" t="str">
            <v>115.826619453</v>
          </cell>
          <cell r="L1100" t="str">
            <v>-33.5770156281</v>
          </cell>
          <cell r="M1100" t="str">
            <v>L</v>
          </cell>
          <cell r="N1100" t="str">
            <v>441</v>
          </cell>
          <cell r="O1100" t="str">
            <v>SOUTH WESTERN</v>
          </cell>
          <cell r="P1100" t="str">
            <v>HWY</v>
          </cell>
          <cell r="R1100" t="str">
            <v>DONNYBROOK</v>
          </cell>
          <cell r="S1100" t="str">
            <v>6239</v>
          </cell>
        </row>
        <row r="1101">
          <cell r="B1101" t="str">
            <v>S4000785</v>
          </cell>
          <cell r="C1101" t="str">
            <v>SPS 1 OCEAN VIEW DRV GREEN HEAD</v>
          </cell>
          <cell r="D1101" t="str">
            <v>A- actual</v>
          </cell>
          <cell r="E1101" t="str">
            <v>PS- pump station</v>
          </cell>
          <cell r="F1101" t="str">
            <v>OCEAN VIEW DR</v>
          </cell>
          <cell r="H1101" t="str">
            <v>W- water corporation</v>
          </cell>
          <cell r="J1101" t="str">
            <v>19991216</v>
          </cell>
          <cell r="K1101" t="str">
            <v>114.977853444</v>
          </cell>
          <cell r="L1101" t="str">
            <v>-30.070319655</v>
          </cell>
          <cell r="M1101" t="str">
            <v>H</v>
          </cell>
          <cell r="N1101" t="str">
            <v>24</v>
          </cell>
          <cell r="O1101" t="str">
            <v>OCEAN VIEW</v>
          </cell>
          <cell r="P1101" t="str">
            <v>DR</v>
          </cell>
          <cell r="R1101" t="str">
            <v>GREEN HEAD</v>
          </cell>
          <cell r="S1101" t="str">
            <v>6514</v>
          </cell>
        </row>
        <row r="1102">
          <cell r="B1102" t="str">
            <v>S4000137</v>
          </cell>
          <cell r="C1102" t="str">
            <v>SPS ALEXANDER ST UTAKARRA</v>
          </cell>
          <cell r="D1102" t="str">
            <v>A- actual</v>
          </cell>
          <cell r="E1102" t="str">
            <v>PS- pump station</v>
          </cell>
          <cell r="F1102" t="str">
            <v>ALEXANDER ST</v>
          </cell>
          <cell r="H1102" t="str">
            <v>W- water corporation</v>
          </cell>
          <cell r="J1102" t="str">
            <v>20000512</v>
          </cell>
          <cell r="K1102" t="str">
            <v>114.64905388</v>
          </cell>
          <cell r="L1102" t="str">
            <v>-28.780549294</v>
          </cell>
          <cell r="M1102" t="str">
            <v>H</v>
          </cell>
          <cell r="N1102" t="str">
            <v>50</v>
          </cell>
          <cell r="O1102" t="str">
            <v>ALEXANDER</v>
          </cell>
          <cell r="P1102" t="str">
            <v>ST</v>
          </cell>
          <cell r="R1102" t="str">
            <v>UTAKARRA</v>
          </cell>
          <cell r="S1102" t="str">
            <v>6530</v>
          </cell>
        </row>
        <row r="1103">
          <cell r="D1103" t="str">
            <v>A- actual</v>
          </cell>
          <cell r="E1103" t="str">
            <v>PS- pump station</v>
          </cell>
          <cell r="F1103" t="str">
            <v>RES 9997 OCEAN DR</v>
          </cell>
          <cell r="H1103" t="str">
            <v>P- private</v>
          </cell>
          <cell r="J1103" t="str">
            <v>20000717</v>
          </cell>
          <cell r="K1103" t="str">
            <v>115.629971809</v>
          </cell>
          <cell r="L1103" t="str">
            <v>-33.326650575</v>
          </cell>
          <cell r="M1103" t="str">
            <v>L</v>
          </cell>
          <cell r="N1103" t="str">
            <v>757</v>
          </cell>
          <cell r="O1103" t="str">
            <v>OCEAN</v>
          </cell>
          <cell r="P1103" t="str">
            <v>DR</v>
          </cell>
          <cell r="R1103" t="str">
            <v>BUNBURY</v>
          </cell>
          <cell r="S1103" t="str">
            <v>6230</v>
          </cell>
        </row>
        <row r="1104">
          <cell r="B1104" t="str">
            <v>S4000017</v>
          </cell>
          <cell r="C1104" t="str">
            <v>SPS 7 BORONIA TURN JURIEN BAY</v>
          </cell>
          <cell r="D1104" t="str">
            <v>A- actual</v>
          </cell>
          <cell r="E1104" t="str">
            <v>PS- pump station</v>
          </cell>
          <cell r="F1104" t="str">
            <v>BORONIA TURN</v>
          </cell>
          <cell r="G1104" t="str">
            <v>7</v>
          </cell>
          <cell r="H1104" t="str">
            <v>W- water corporation</v>
          </cell>
          <cell r="J1104" t="str">
            <v>20000728</v>
          </cell>
          <cell r="K1104" t="str">
            <v>115.028747928</v>
          </cell>
          <cell r="L1104" t="str">
            <v>-30.317137541</v>
          </cell>
          <cell r="M1104" t="str">
            <v>H</v>
          </cell>
          <cell r="N1104" t="str">
            <v>79</v>
          </cell>
          <cell r="O1104" t="str">
            <v>LESUEUR</v>
          </cell>
          <cell r="P1104" t="str">
            <v>DR</v>
          </cell>
          <cell r="R1104" t="str">
            <v>JURIEN BAY</v>
          </cell>
          <cell r="S1104" t="str">
            <v>6516</v>
          </cell>
        </row>
        <row r="1105">
          <cell r="D1105" t="str">
            <v>A- actual</v>
          </cell>
          <cell r="E1105" t="str">
            <v>PS- pump station</v>
          </cell>
          <cell r="F1105" t="str">
            <v>EARNSHAW RD</v>
          </cell>
          <cell r="H1105" t="str">
            <v>P- private</v>
          </cell>
          <cell r="J1105" t="str">
            <v>19991019</v>
          </cell>
          <cell r="K1105" t="str">
            <v>115.308459452</v>
          </cell>
          <cell r="L1105" t="str">
            <v>-33.6574407152</v>
          </cell>
          <cell r="M1105" t="str">
            <v>H</v>
          </cell>
          <cell r="N1105" t="str">
            <v>21</v>
          </cell>
          <cell r="O1105" t="str">
            <v>EARNSHAW</v>
          </cell>
          <cell r="P1105" t="str">
            <v>RD</v>
          </cell>
          <cell r="R1105" t="str">
            <v>WEST BUSSELTON</v>
          </cell>
          <cell r="S1105" t="str">
            <v>6280</v>
          </cell>
        </row>
        <row r="1106">
          <cell r="D1106" t="str">
            <v>A- actual</v>
          </cell>
          <cell r="E1106" t="str">
            <v>PS- pump station</v>
          </cell>
          <cell r="H1106" t="str">
            <v>P- private</v>
          </cell>
          <cell r="J1106" t="str">
            <v>20000912</v>
          </cell>
          <cell r="K1106" t="str">
            <v>115.759407676</v>
          </cell>
          <cell r="L1106" t="str">
            <v>-32.2767918761</v>
          </cell>
          <cell r="M1106" t="str">
            <v>H</v>
          </cell>
          <cell r="N1106" t="str">
            <v>42</v>
          </cell>
          <cell r="O1106" t="str">
            <v>HURRELL</v>
          </cell>
          <cell r="P1106" t="str">
            <v>WAY</v>
          </cell>
          <cell r="R1106" t="str">
            <v>ROCKINGHAM</v>
          </cell>
          <cell r="S1106" t="str">
            <v>6168</v>
          </cell>
        </row>
        <row r="1107">
          <cell r="D1107" t="str">
            <v>A- actual</v>
          </cell>
          <cell r="E1107" t="str">
            <v>PS- pump station</v>
          </cell>
          <cell r="F1107" t="str">
            <v>WANNEROO LIFESTYLE VILLAGE</v>
          </cell>
          <cell r="H1107" t="str">
            <v>P- private</v>
          </cell>
          <cell r="J1107" t="str">
            <v>20001017</v>
          </cell>
          <cell r="K1107" t="str">
            <v>115.795174626</v>
          </cell>
          <cell r="L1107" t="str">
            <v>-31.7381415439</v>
          </cell>
          <cell r="M1107" t="str">
            <v>H</v>
          </cell>
          <cell r="N1107" t="str">
            <v>1132</v>
          </cell>
          <cell r="O1107" t="str">
            <v>WANNEROO</v>
          </cell>
          <cell r="P1107" t="str">
            <v>RD</v>
          </cell>
          <cell r="R1107" t="str">
            <v>ASHBY</v>
          </cell>
          <cell r="S1107" t="str">
            <v>6065</v>
          </cell>
        </row>
        <row r="1108">
          <cell r="B1108" t="str">
            <v>S6000240</v>
          </cell>
          <cell r="C1108" t="str">
            <v>SPS 11 MITCHELL ST ESPERANCE</v>
          </cell>
          <cell r="D1108" t="str">
            <v>A- actual</v>
          </cell>
          <cell r="E1108" t="str">
            <v>PS- pump station</v>
          </cell>
          <cell r="F1108" t="str">
            <v>MITCHELL ST</v>
          </cell>
          <cell r="G1108" t="str">
            <v>11</v>
          </cell>
          <cell r="H1108" t="str">
            <v>W- water corporation</v>
          </cell>
          <cell r="J1108" t="str">
            <v>19991104</v>
          </cell>
          <cell r="K1108" t="str">
            <v>121.916943504</v>
          </cell>
          <cell r="L1108" t="str">
            <v>-33.834191249</v>
          </cell>
          <cell r="M1108" t="str">
            <v>H</v>
          </cell>
          <cell r="N1108" t="str">
            <v>55</v>
          </cell>
          <cell r="O1108" t="str">
            <v>MITCHELL</v>
          </cell>
          <cell r="P1108" t="str">
            <v>ST</v>
          </cell>
          <cell r="R1108" t="str">
            <v>CASTLETOWN</v>
          </cell>
          <cell r="S1108" t="str">
            <v>6450</v>
          </cell>
        </row>
        <row r="1109">
          <cell r="D1109" t="str">
            <v>N- not in use</v>
          </cell>
          <cell r="E1109" t="str">
            <v>PS- pump station</v>
          </cell>
          <cell r="F1109" t="str">
            <v>LOT 7 FORREST AVE</v>
          </cell>
          <cell r="H1109" t="str">
            <v>P- private</v>
          </cell>
          <cell r="J1109" t="str">
            <v>20000829</v>
          </cell>
          <cell r="K1109" t="str">
            <v>115.655588053</v>
          </cell>
          <cell r="L1109" t="str">
            <v>-33.343962936</v>
          </cell>
          <cell r="M1109" t="str">
            <v>H</v>
          </cell>
          <cell r="N1109" t="str">
            <v>137</v>
          </cell>
          <cell r="O1109" t="str">
            <v>FORREST</v>
          </cell>
          <cell r="P1109" t="str">
            <v>AV</v>
          </cell>
          <cell r="R1109" t="str">
            <v>CAREY PARK</v>
          </cell>
          <cell r="S1109" t="str">
            <v>6230</v>
          </cell>
        </row>
        <row r="1110">
          <cell r="B1110" t="str">
            <v>S2003399</v>
          </cell>
          <cell r="C1110" t="str">
            <v>SPS HUTCHINSON AV MOSMAN PARK</v>
          </cell>
          <cell r="D1110" t="str">
            <v>A- actual</v>
          </cell>
          <cell r="E1110" t="str">
            <v>PS- pump station</v>
          </cell>
          <cell r="F1110" t="str">
            <v>HUTCHINSON AVE</v>
          </cell>
          <cell r="G1110" t="str">
            <v>4</v>
          </cell>
          <cell r="H1110" t="str">
            <v>W- water corporation</v>
          </cell>
          <cell r="J1110" t="str">
            <v>20001101</v>
          </cell>
          <cell r="K1110" t="str">
            <v>115.763375711</v>
          </cell>
          <cell r="L1110" t="str">
            <v>-32.021818733</v>
          </cell>
          <cell r="M1110" t="str">
            <v>H</v>
          </cell>
          <cell r="N1110" t="str">
            <v>22</v>
          </cell>
          <cell r="O1110" t="str">
            <v>HUTCHINSON</v>
          </cell>
          <cell r="P1110" t="str">
            <v>AV</v>
          </cell>
          <cell r="R1110" t="str">
            <v>MOSMAN PARK</v>
          </cell>
          <cell r="S1110" t="str">
            <v>6012</v>
          </cell>
        </row>
        <row r="1111">
          <cell r="B1111" t="str">
            <v>S8000696</v>
          </cell>
          <cell r="C1111" t="str">
            <v>SPS SIMON ST WEST BUSSELTON</v>
          </cell>
          <cell r="D1111" t="str">
            <v>A- actual</v>
          </cell>
          <cell r="E1111" t="str">
            <v>PS- pump station</v>
          </cell>
          <cell r="F1111" t="str">
            <v>SIMON ST</v>
          </cell>
          <cell r="G1111" t="str">
            <v>16</v>
          </cell>
          <cell r="H1111" t="str">
            <v>W- water corporation</v>
          </cell>
          <cell r="J1111" t="str">
            <v>20001017</v>
          </cell>
          <cell r="K1111" t="str">
            <v>115.326508946</v>
          </cell>
          <cell r="L1111" t="str">
            <v>-33.655832707</v>
          </cell>
          <cell r="M1111" t="str">
            <v>L</v>
          </cell>
          <cell r="N1111" t="str">
            <v>5307</v>
          </cell>
          <cell r="O1111" t="str">
            <v>BUSSELL</v>
          </cell>
          <cell r="P1111" t="str">
            <v>HWY</v>
          </cell>
          <cell r="R1111" t="str">
            <v>WEST BUSSELTON</v>
          </cell>
          <cell r="S1111" t="str">
            <v>6280</v>
          </cell>
        </row>
        <row r="1112">
          <cell r="B1112" t="str">
            <v>S5000140</v>
          </cell>
          <cell r="C1112" t="str">
            <v>SPS 2 GOOMALLING RD TOODYAY</v>
          </cell>
          <cell r="D1112" t="str">
            <v>A- actual</v>
          </cell>
          <cell r="E1112" t="str">
            <v>PS- pump station</v>
          </cell>
          <cell r="F1112" t="str">
            <v>GOOMALLING RD TOODYAY</v>
          </cell>
          <cell r="G1112" t="str">
            <v>2</v>
          </cell>
          <cell r="H1112" t="str">
            <v>W- water corporation</v>
          </cell>
          <cell r="J1112" t="str">
            <v>20000523</v>
          </cell>
          <cell r="K1112" t="str">
            <v>116.508243726</v>
          </cell>
          <cell r="L1112" t="str">
            <v>-31.5390141136</v>
          </cell>
          <cell r="M1112" t="str">
            <v>H</v>
          </cell>
          <cell r="N1112" t="str">
            <v>403</v>
          </cell>
          <cell r="O1112" t="str">
            <v>GOOMALLING-TOODYAY</v>
          </cell>
          <cell r="P1112" t="str">
            <v>RD</v>
          </cell>
          <cell r="R1112" t="str">
            <v>NUNILE</v>
          </cell>
          <cell r="S1112" t="str">
            <v>6566</v>
          </cell>
        </row>
        <row r="1113">
          <cell r="B1113" t="str">
            <v>S8000849</v>
          </cell>
          <cell r="C1113" t="str">
            <v>SPS WEST ST BUSSELTON</v>
          </cell>
          <cell r="D1113" t="str">
            <v>A- actual</v>
          </cell>
          <cell r="E1113" t="str">
            <v>PS- pump station</v>
          </cell>
          <cell r="F1113" t="str">
            <v>WEST ST</v>
          </cell>
          <cell r="G1113" t="str">
            <v>17</v>
          </cell>
          <cell r="H1113" t="str">
            <v>W- water corporation</v>
          </cell>
          <cell r="J1113" t="str">
            <v>20001027</v>
          </cell>
          <cell r="K1113" t="str">
            <v>115.342133232</v>
          </cell>
          <cell r="L1113" t="str">
            <v>-33.655913719</v>
          </cell>
          <cell r="M1113" t="str">
            <v>H</v>
          </cell>
          <cell r="N1113" t="str">
            <v>97</v>
          </cell>
          <cell r="O1113" t="str">
            <v>WEST</v>
          </cell>
          <cell r="P1113" t="str">
            <v>ST</v>
          </cell>
          <cell r="R1113" t="str">
            <v>BUSSELTON</v>
          </cell>
          <cell r="S1113" t="str">
            <v>6280</v>
          </cell>
        </row>
        <row r="1114">
          <cell r="D1114" t="str">
            <v>A- actual</v>
          </cell>
          <cell r="E1114" t="str">
            <v>PS- pump station</v>
          </cell>
          <cell r="F1114" t="str">
            <v>SWAN BREWERY REDEVELOPMENT</v>
          </cell>
          <cell r="H1114" t="str">
            <v>P- private</v>
          </cell>
          <cell r="J1114" t="str">
            <v>20000929</v>
          </cell>
          <cell r="K1114" t="str">
            <v>115.840672774</v>
          </cell>
          <cell r="L1114" t="str">
            <v>-31.965109704</v>
          </cell>
          <cell r="M1114" t="str">
            <v>H</v>
          </cell>
          <cell r="N1114" t="str">
            <v>171</v>
          </cell>
          <cell r="O1114" t="str">
            <v>MOUNTS BAY</v>
          </cell>
          <cell r="P1114" t="str">
            <v>RD</v>
          </cell>
          <cell r="R1114" t="str">
            <v>PERTH</v>
          </cell>
          <cell r="S1114" t="str">
            <v>6000</v>
          </cell>
        </row>
        <row r="1115">
          <cell r="B1115" t="str">
            <v>S2003245</v>
          </cell>
          <cell r="C1115" t="str">
            <v>SPS PORTER ST GWELUP</v>
          </cell>
          <cell r="D1115" t="str">
            <v>A- actual</v>
          </cell>
          <cell r="E1115" t="str">
            <v>PS- pump station</v>
          </cell>
          <cell r="F1115" t="str">
            <v>PORTER ST</v>
          </cell>
          <cell r="G1115" t="str">
            <v>13</v>
          </cell>
          <cell r="H1115" t="str">
            <v>W- water corporation</v>
          </cell>
          <cell r="J1115" t="str">
            <v>20001214</v>
          </cell>
          <cell r="K1115" t="str">
            <v>115.793364183</v>
          </cell>
          <cell r="L1115" t="str">
            <v>-31.8707218428</v>
          </cell>
          <cell r="M1115" t="str">
            <v>H</v>
          </cell>
          <cell r="N1115" t="str">
            <v>31</v>
          </cell>
          <cell r="O1115" t="str">
            <v>ABDALE</v>
          </cell>
          <cell r="P1115" t="str">
            <v>ST</v>
          </cell>
          <cell r="R1115" t="str">
            <v>GWELUP</v>
          </cell>
          <cell r="S1115" t="str">
            <v>6018</v>
          </cell>
        </row>
        <row r="1116">
          <cell r="B1116" t="str">
            <v>S0032975</v>
          </cell>
          <cell r="C1116" t="str">
            <v>SPS EWING ST BENTLEY</v>
          </cell>
          <cell r="D1116" t="str">
            <v>A- actual</v>
          </cell>
          <cell r="E1116" t="str">
            <v>PS- pump station</v>
          </cell>
          <cell r="F1116" t="str">
            <v>EWING ST</v>
          </cell>
          <cell r="G1116" t="str">
            <v>21</v>
          </cell>
          <cell r="H1116" t="str">
            <v>W- water corporation</v>
          </cell>
          <cell r="J1116" t="str">
            <v>19970921</v>
          </cell>
          <cell r="K1116" t="str">
            <v>115.92298987</v>
          </cell>
          <cell r="L1116" t="str">
            <v>-32.002609</v>
          </cell>
          <cell r="M1116" t="str">
            <v>H</v>
          </cell>
          <cell r="N1116" t="str">
            <v>23</v>
          </cell>
          <cell r="O1116" t="str">
            <v>EWING</v>
          </cell>
          <cell r="P1116" t="str">
            <v>ST</v>
          </cell>
          <cell r="R1116" t="str">
            <v>BENTLEY</v>
          </cell>
          <cell r="S1116" t="str">
            <v>6102</v>
          </cell>
        </row>
        <row r="1117">
          <cell r="D1117" t="str">
            <v>A- actual</v>
          </cell>
          <cell r="E1117" t="str">
            <v>PS- pump station</v>
          </cell>
          <cell r="F1117" t="str">
            <v>LOT 77 BANNISTER RD</v>
          </cell>
          <cell r="H1117" t="str">
            <v>P- private</v>
          </cell>
          <cell r="J1117" t="str">
            <v>20000108</v>
          </cell>
          <cell r="K1117" t="str">
            <v>115.889072385</v>
          </cell>
          <cell r="L1117" t="str">
            <v>-32.07456486</v>
          </cell>
          <cell r="M1117" t="str">
            <v>H</v>
          </cell>
          <cell r="N1117" t="str">
            <v>289</v>
          </cell>
          <cell r="O1117" t="str">
            <v>BANNISTER</v>
          </cell>
          <cell r="P1117" t="str">
            <v>RD</v>
          </cell>
          <cell r="R1117" t="str">
            <v>CANNING VALE</v>
          </cell>
          <cell r="S1117" t="str">
            <v>6155</v>
          </cell>
        </row>
        <row r="1118">
          <cell r="B1118" t="str">
            <v>S0034459</v>
          </cell>
          <cell r="C1118" t="str">
            <v>SPS WILFRED RD THORNLIE</v>
          </cell>
          <cell r="D1118" t="str">
            <v>A- actual</v>
          </cell>
          <cell r="E1118" t="str">
            <v>TPS- temporary pump station</v>
          </cell>
          <cell r="F1118" t="str">
            <v>WILFRED RD</v>
          </cell>
          <cell r="H1118" t="str">
            <v>W- water corporation</v>
          </cell>
          <cell r="J1118" t="str">
            <v>19790315</v>
          </cell>
          <cell r="K1118" t="str">
            <v>115.941283021</v>
          </cell>
          <cell r="L1118" t="str">
            <v>-32.0520650161</v>
          </cell>
          <cell r="M1118" t="str">
            <v>H</v>
          </cell>
          <cell r="N1118" t="str">
            <v>110</v>
          </cell>
          <cell r="O1118" t="str">
            <v>WILFRED</v>
          </cell>
          <cell r="P1118" t="str">
            <v>RD</v>
          </cell>
          <cell r="R1118" t="str">
            <v>THORNLIE</v>
          </cell>
          <cell r="S1118" t="str">
            <v>6108</v>
          </cell>
        </row>
        <row r="1119">
          <cell r="D1119" t="str">
            <v>A- actual</v>
          </cell>
          <cell r="E1119" t="str">
            <v>PS- pump station</v>
          </cell>
          <cell r="F1119" t="str">
            <v>LOT 6 TUNBRIDGE RD</v>
          </cell>
          <cell r="H1119" t="str">
            <v>P- private</v>
          </cell>
          <cell r="J1119" t="str">
            <v>19931101</v>
          </cell>
          <cell r="K1119" t="str">
            <v>115.068889085</v>
          </cell>
          <cell r="L1119" t="str">
            <v>-33.951404152</v>
          </cell>
          <cell r="M1119" t="str">
            <v>H</v>
          </cell>
          <cell r="N1119" t="str">
            <v>45</v>
          </cell>
          <cell r="O1119" t="str">
            <v>TUNBRIDGE</v>
          </cell>
          <cell r="P1119" t="str">
            <v>ST</v>
          </cell>
          <cell r="R1119" t="str">
            <v>MARGARET RIVER</v>
          </cell>
          <cell r="S1119" t="str">
            <v>6285</v>
          </cell>
        </row>
        <row r="1120">
          <cell r="D1120" t="str">
            <v>A- actual</v>
          </cell>
          <cell r="E1120" t="str">
            <v>PS- pump station</v>
          </cell>
          <cell r="H1120" t="str">
            <v>P- private</v>
          </cell>
          <cell r="J1120" t="str">
            <v>20000823</v>
          </cell>
          <cell r="K1120" t="str">
            <v>115.89728119</v>
          </cell>
          <cell r="L1120" t="str">
            <v>-31.9552230865</v>
          </cell>
          <cell r="M1120" t="str">
            <v>H</v>
          </cell>
          <cell r="N1120" t="str">
            <v>105</v>
          </cell>
          <cell r="O1120" t="str">
            <v>VICTORIA PARK</v>
          </cell>
          <cell r="P1120" t="str">
            <v>DR</v>
          </cell>
          <cell r="R1120" t="str">
            <v>BURSWOOD</v>
          </cell>
          <cell r="S1120" t="str">
            <v>6100</v>
          </cell>
        </row>
        <row r="1121">
          <cell r="D1121" t="str">
            <v>N- not in use</v>
          </cell>
          <cell r="E1121" t="str">
            <v>PS- pump station</v>
          </cell>
          <cell r="H1121" t="str">
            <v>P- private</v>
          </cell>
          <cell r="J1121" t="str">
            <v>19700101</v>
          </cell>
          <cell r="K1121" t="str">
            <v>114.13278115</v>
          </cell>
          <cell r="L1121" t="str">
            <v>-21.94561579</v>
          </cell>
          <cell r="M1121" t="str">
            <v>H</v>
          </cell>
          <cell r="N1121" t="str">
            <v>2</v>
          </cell>
          <cell r="O1121" t="str">
            <v>MURAT</v>
          </cell>
          <cell r="P1121" t="str">
            <v>RD</v>
          </cell>
          <cell r="R1121" t="str">
            <v>EXMOUTH</v>
          </cell>
          <cell r="S1121" t="str">
            <v>6707</v>
          </cell>
        </row>
        <row r="1122">
          <cell r="D1122" t="str">
            <v>A- actual</v>
          </cell>
          <cell r="E1122" t="str">
            <v>PS- pump station</v>
          </cell>
          <cell r="F1122" t="str">
            <v>AGRICULTURAL DEPT.</v>
          </cell>
          <cell r="H1122" t="str">
            <v>P- private</v>
          </cell>
          <cell r="J1122" t="str">
            <v>19700101</v>
          </cell>
          <cell r="K1122" t="str">
            <v>118.235695083</v>
          </cell>
          <cell r="L1122" t="str">
            <v>-31.490366952</v>
          </cell>
          <cell r="M1122" t="str">
            <v>L</v>
          </cell>
          <cell r="N1122" t="str">
            <v>15</v>
          </cell>
          <cell r="O1122" t="str">
            <v>INSIGNIA</v>
          </cell>
          <cell r="P1122" t="str">
            <v>WAY</v>
          </cell>
          <cell r="R1122" t="str">
            <v>MERREDIN</v>
          </cell>
          <cell r="S1122" t="str">
            <v>6415</v>
          </cell>
        </row>
        <row r="1123">
          <cell r="B1123" t="str">
            <v>S0032873</v>
          </cell>
          <cell r="C1123" t="str">
            <v>SPS THE GRANGE BEELIAR</v>
          </cell>
          <cell r="D1123" t="str">
            <v>A- actual</v>
          </cell>
          <cell r="E1123" t="str">
            <v>PS- pump station</v>
          </cell>
          <cell r="F1123" t="str">
            <v>THE GRANGE</v>
          </cell>
          <cell r="G1123" t="str">
            <v>1</v>
          </cell>
          <cell r="H1123" t="str">
            <v>W- water corporation</v>
          </cell>
          <cell r="J1123" t="str">
            <v>19700101</v>
          </cell>
          <cell r="K1123" t="str">
            <v>115.818186102</v>
          </cell>
          <cell r="L1123" t="str">
            <v>-32.1341739814</v>
          </cell>
          <cell r="M1123" t="str">
            <v>L</v>
          </cell>
          <cell r="N1123" t="str">
            <v>1816</v>
          </cell>
          <cell r="O1123" t="str">
            <v>THE GRANGE</v>
          </cell>
          <cell r="R1123" t="str">
            <v>BEELIAR</v>
          </cell>
          <cell r="S1123" t="str">
            <v>6164</v>
          </cell>
        </row>
        <row r="1124">
          <cell r="B1124" t="str">
            <v>S8000830</v>
          </cell>
          <cell r="C1124" t="str">
            <v>SPS BREAKWATER PDE MANDURAH</v>
          </cell>
          <cell r="D1124" t="str">
            <v>A- actual</v>
          </cell>
          <cell r="E1124" t="str">
            <v>PS- pump station</v>
          </cell>
          <cell r="F1124" t="str">
            <v>BREAKWATER PDE</v>
          </cell>
          <cell r="G1124" t="str">
            <v>31</v>
          </cell>
          <cell r="H1124" t="str">
            <v>W- water corporation</v>
          </cell>
          <cell r="J1124" t="str">
            <v>20000922</v>
          </cell>
          <cell r="K1124" t="str">
            <v>115.717063375</v>
          </cell>
          <cell r="L1124" t="str">
            <v>-32.520632111</v>
          </cell>
          <cell r="M1124" t="str">
            <v>H</v>
          </cell>
          <cell r="N1124" t="str">
            <v>38</v>
          </cell>
          <cell r="O1124" t="str">
            <v>BREAKWATER</v>
          </cell>
          <cell r="P1124" t="str">
            <v>PDE</v>
          </cell>
          <cell r="R1124" t="str">
            <v>MANDURAH</v>
          </cell>
          <cell r="S1124" t="str">
            <v>6210</v>
          </cell>
        </row>
        <row r="1125">
          <cell r="B1125" t="str">
            <v>S2003379</v>
          </cell>
          <cell r="C1125" t="str">
            <v>SPS GLENISTER RD HAMILTON HILL</v>
          </cell>
          <cell r="D1125" t="str">
            <v>A- actual</v>
          </cell>
          <cell r="E1125" t="str">
            <v>PS- pump station</v>
          </cell>
          <cell r="F1125" t="str">
            <v>GLENISTER RD</v>
          </cell>
          <cell r="G1125" t="str">
            <v>16</v>
          </cell>
          <cell r="H1125" t="str">
            <v>W- water corporation</v>
          </cell>
          <cell r="J1125" t="str">
            <v>20010806</v>
          </cell>
          <cell r="K1125" t="str">
            <v>115.77336322</v>
          </cell>
          <cell r="L1125" t="str">
            <v>-32.0898226049</v>
          </cell>
          <cell r="M1125" t="str">
            <v>L</v>
          </cell>
          <cell r="N1125" t="str">
            <v>550</v>
          </cell>
          <cell r="O1125" t="str">
            <v>GLENISTER</v>
          </cell>
          <cell r="P1125" t="str">
            <v>RD</v>
          </cell>
          <cell r="R1125" t="str">
            <v>HAMILTON HILL</v>
          </cell>
          <cell r="S1125" t="str">
            <v>6163</v>
          </cell>
        </row>
        <row r="1126">
          <cell r="D1126" t="str">
            <v>A- actual</v>
          </cell>
          <cell r="E1126" t="str">
            <v>PS- pump station</v>
          </cell>
          <cell r="F1126" t="str">
            <v>AGED CARE HOSTEL</v>
          </cell>
          <cell r="H1126" t="str">
            <v>P- private</v>
          </cell>
          <cell r="J1126" t="str">
            <v>20001123</v>
          </cell>
          <cell r="K1126" t="str">
            <v>116.020139593</v>
          </cell>
          <cell r="L1126" t="str">
            <v>-32.1150015388</v>
          </cell>
          <cell r="M1126" t="str">
            <v>H</v>
          </cell>
          <cell r="N1126" t="str">
            <v>91</v>
          </cell>
          <cell r="O1126" t="str">
            <v>CLIFTON</v>
          </cell>
          <cell r="P1126" t="str">
            <v>ST</v>
          </cell>
          <cell r="R1126" t="str">
            <v>KELMSCOTT</v>
          </cell>
          <cell r="S1126" t="str">
            <v>6111</v>
          </cell>
        </row>
        <row r="1127">
          <cell r="B1127" t="str">
            <v>S2003409</v>
          </cell>
          <cell r="C1127" t="str">
            <v>SPS DUFFIELD AV BEACONSFIELD</v>
          </cell>
          <cell r="D1127" t="str">
            <v>A- actual</v>
          </cell>
          <cell r="E1127" t="str">
            <v>PS- pump station</v>
          </cell>
          <cell r="F1127" t="str">
            <v>DUFFIELD AVE</v>
          </cell>
          <cell r="G1127" t="str">
            <v>18</v>
          </cell>
          <cell r="H1127" t="str">
            <v>W- water corporation</v>
          </cell>
          <cell r="J1127" t="str">
            <v>20010503</v>
          </cell>
          <cell r="K1127" t="str">
            <v>115.769656466</v>
          </cell>
          <cell r="L1127" t="str">
            <v>-32.0724688779</v>
          </cell>
          <cell r="M1127" t="str">
            <v>H</v>
          </cell>
          <cell r="N1127" t="str">
            <v>38</v>
          </cell>
          <cell r="O1127" t="str">
            <v>DUFFIELD</v>
          </cell>
          <cell r="P1127" t="str">
            <v>AV</v>
          </cell>
          <cell r="R1127" t="str">
            <v>BEACONSFIELD</v>
          </cell>
          <cell r="S1127" t="str">
            <v>6162</v>
          </cell>
        </row>
        <row r="1128">
          <cell r="B1128" t="str">
            <v>S8000838</v>
          </cell>
          <cell r="C1128" t="str">
            <v>SPS OCEAN RD DAWESVILLE</v>
          </cell>
          <cell r="D1128" t="str">
            <v>A- actual</v>
          </cell>
          <cell r="E1128" t="str">
            <v>PS- pump station</v>
          </cell>
          <cell r="F1128" t="str">
            <v>OCEAN RD PS8</v>
          </cell>
          <cell r="G1128" t="str">
            <v>8</v>
          </cell>
          <cell r="H1128" t="str">
            <v>W- water corporation</v>
          </cell>
          <cell r="J1128" t="str">
            <v>20010307</v>
          </cell>
          <cell r="K1128" t="str">
            <v>115.627258084</v>
          </cell>
          <cell r="L1128" t="str">
            <v>-32.6237911963</v>
          </cell>
          <cell r="M1128" t="str">
            <v>H</v>
          </cell>
          <cell r="N1128" t="str">
            <v>104</v>
          </cell>
          <cell r="O1128" t="str">
            <v>OCEAN</v>
          </cell>
          <cell r="P1128" t="str">
            <v>RD</v>
          </cell>
          <cell r="R1128" t="str">
            <v>DAWESVILLE</v>
          </cell>
          <cell r="S1128" t="str">
            <v>6211</v>
          </cell>
        </row>
        <row r="1129">
          <cell r="D1129" t="str">
            <v>A- actual</v>
          </cell>
          <cell r="E1129" t="str">
            <v>PS- pump station</v>
          </cell>
          <cell r="F1129" t="str">
            <v>BUNNINGS</v>
          </cell>
          <cell r="G1129" t="str">
            <v>2</v>
          </cell>
          <cell r="H1129" t="str">
            <v>P- private</v>
          </cell>
          <cell r="J1129" t="str">
            <v>20010409</v>
          </cell>
          <cell r="K1129" t="str">
            <v>116.017326734</v>
          </cell>
          <cell r="L1129" t="str">
            <v>-31.89331178</v>
          </cell>
          <cell r="M1129" t="str">
            <v>H</v>
          </cell>
          <cell r="N1129" t="str">
            <v>14</v>
          </cell>
          <cell r="O1129" t="str">
            <v>LEFROY</v>
          </cell>
          <cell r="P1129" t="str">
            <v>AV</v>
          </cell>
          <cell r="R1129" t="str">
            <v>MIDLAND</v>
          </cell>
          <cell r="S1129" t="str">
            <v>6056</v>
          </cell>
        </row>
        <row r="1130">
          <cell r="D1130" t="str">
            <v>A- actual</v>
          </cell>
          <cell r="E1130" t="str">
            <v>PS- pump station</v>
          </cell>
          <cell r="F1130" t="str">
            <v>BUNNINGS</v>
          </cell>
          <cell r="G1130" t="str">
            <v>1</v>
          </cell>
          <cell r="H1130" t="str">
            <v>P- private</v>
          </cell>
          <cell r="J1130" t="str">
            <v>20010409</v>
          </cell>
          <cell r="K1130" t="str">
            <v>116.017552866</v>
          </cell>
          <cell r="L1130" t="str">
            <v>-31.892911121</v>
          </cell>
          <cell r="M1130" t="str">
            <v>H</v>
          </cell>
          <cell r="N1130" t="str">
            <v>195</v>
          </cell>
          <cell r="O1130" t="str">
            <v>GREAT EASTERN</v>
          </cell>
          <cell r="P1130" t="str">
            <v>HWY</v>
          </cell>
          <cell r="R1130" t="str">
            <v>MIDLAND</v>
          </cell>
          <cell r="S1130" t="str">
            <v>6056</v>
          </cell>
        </row>
        <row r="1131">
          <cell r="D1131" t="str">
            <v>A- actual</v>
          </cell>
          <cell r="E1131" t="str">
            <v>PS- pump station</v>
          </cell>
          <cell r="F1131" t="str">
            <v>LOT 15 KING EDWARD RD</v>
          </cell>
          <cell r="H1131" t="str">
            <v>P- private</v>
          </cell>
          <cell r="J1131" t="str">
            <v>19700101</v>
          </cell>
          <cell r="K1131" t="str">
            <v>115.80855749</v>
          </cell>
          <cell r="L1131" t="str">
            <v>-31.901173405</v>
          </cell>
          <cell r="M1131" t="str">
            <v>H</v>
          </cell>
          <cell r="N1131" t="str">
            <v>32</v>
          </cell>
          <cell r="O1131" t="str">
            <v>KING EDWARD</v>
          </cell>
          <cell r="P1131" t="str">
            <v>RD</v>
          </cell>
          <cell r="R1131" t="str">
            <v>OSBORNE PARK</v>
          </cell>
          <cell r="S1131" t="str">
            <v>6017</v>
          </cell>
        </row>
        <row r="1132">
          <cell r="D1132" t="str">
            <v>A- actual</v>
          </cell>
          <cell r="E1132" t="str">
            <v>PS- pump station</v>
          </cell>
          <cell r="F1132" t="str">
            <v>HOLIDAY VILLAGE CARAVAN PARK</v>
          </cell>
          <cell r="H1132" t="str">
            <v>P- private</v>
          </cell>
          <cell r="J1132" t="str">
            <v>19850101</v>
          </cell>
          <cell r="K1132" t="str">
            <v>114.132185941</v>
          </cell>
          <cell r="L1132" t="str">
            <v>-21.9386435375</v>
          </cell>
          <cell r="M1132" t="str">
            <v>H</v>
          </cell>
          <cell r="N1132" t="str">
            <v>1</v>
          </cell>
          <cell r="O1132" t="str">
            <v>TRUSCOTT</v>
          </cell>
          <cell r="P1132" t="str">
            <v>CR</v>
          </cell>
          <cell r="R1132" t="str">
            <v>EXMOUTH</v>
          </cell>
          <cell r="S1132" t="str">
            <v>6707</v>
          </cell>
        </row>
        <row r="1133">
          <cell r="B1133" t="str">
            <v>S8000835</v>
          </cell>
          <cell r="C1133" t="str">
            <v>SPS NANCARROW WY RAVENSWOOD</v>
          </cell>
          <cell r="D1133" t="str">
            <v>A- actual</v>
          </cell>
          <cell r="E1133" t="str">
            <v>PS- pump station</v>
          </cell>
          <cell r="F1133" t="str">
            <v>NANCARROW WY</v>
          </cell>
          <cell r="G1133" t="str">
            <v>1</v>
          </cell>
          <cell r="H1133" t="str">
            <v>W- water corporation</v>
          </cell>
          <cell r="J1133" t="str">
            <v>20001219</v>
          </cell>
          <cell r="K1133" t="str">
            <v>115.82883599</v>
          </cell>
          <cell r="L1133" t="str">
            <v>-32.58344435</v>
          </cell>
          <cell r="M1133" t="str">
            <v>H</v>
          </cell>
          <cell r="N1133" t="str">
            <v>22</v>
          </cell>
          <cell r="O1133" t="str">
            <v>NANCARROW</v>
          </cell>
          <cell r="P1133" t="str">
            <v>WAY</v>
          </cell>
          <cell r="R1133" t="str">
            <v>RAVENSWOOD</v>
          </cell>
          <cell r="S1133" t="str">
            <v>6208</v>
          </cell>
        </row>
        <row r="1134">
          <cell r="B1134" t="str">
            <v>S8000900</v>
          </cell>
          <cell r="C1134" t="str">
            <v>SPS MAIDMENT PDE DALYELLUP</v>
          </cell>
          <cell r="D1134" t="str">
            <v>A- actual</v>
          </cell>
          <cell r="E1134" t="str">
            <v>PS- pump station</v>
          </cell>
          <cell r="F1134" t="str">
            <v>MAIDMENT PDE</v>
          </cell>
          <cell r="G1134" t="str">
            <v>2</v>
          </cell>
          <cell r="H1134" t="str">
            <v>W- water corporation</v>
          </cell>
          <cell r="J1134" t="str">
            <v>20010425</v>
          </cell>
          <cell r="K1134" t="str">
            <v>115.614915399</v>
          </cell>
          <cell r="L1134" t="str">
            <v>-33.395817098</v>
          </cell>
          <cell r="M1134" t="str">
            <v>H</v>
          </cell>
          <cell r="N1134" t="str">
            <v>77</v>
          </cell>
          <cell r="O1134" t="str">
            <v>MAIDMENT</v>
          </cell>
          <cell r="P1134" t="str">
            <v>PDE</v>
          </cell>
          <cell r="R1134" t="str">
            <v>DALYELLUP</v>
          </cell>
          <cell r="S1134" t="str">
            <v>6230</v>
          </cell>
        </row>
        <row r="1135">
          <cell r="B1135" t="str">
            <v>S8000870</v>
          </cell>
          <cell r="C1135" t="str">
            <v>SPS VILLAGE GRN MARGARET RIVER</v>
          </cell>
          <cell r="D1135" t="str">
            <v>A- actual</v>
          </cell>
          <cell r="E1135" t="str">
            <v>PS- pump station</v>
          </cell>
          <cell r="F1135" t="str">
            <v>VILLAGE GRN</v>
          </cell>
          <cell r="H1135" t="str">
            <v>W- water corporation</v>
          </cell>
          <cell r="J1135" t="str">
            <v>20010510</v>
          </cell>
          <cell r="K1135" t="str">
            <v>115.0759545</v>
          </cell>
          <cell r="L1135" t="str">
            <v>-33.9591932</v>
          </cell>
          <cell r="M1135" t="str">
            <v>H</v>
          </cell>
          <cell r="N1135" t="str">
            <v>37</v>
          </cell>
          <cell r="O1135" t="str">
            <v>VILLAGE</v>
          </cell>
          <cell r="P1135" t="str">
            <v>GRN</v>
          </cell>
          <cell r="R1135" t="str">
            <v>MARGARET RIVER</v>
          </cell>
          <cell r="S1135" t="str">
            <v>6285</v>
          </cell>
        </row>
        <row r="1136">
          <cell r="B1136" t="str">
            <v>S0034445</v>
          </cell>
          <cell r="C1136" t="str">
            <v>SPS THE QUARTERDECK WILLETTON</v>
          </cell>
          <cell r="D1136" t="str">
            <v>A- actual</v>
          </cell>
          <cell r="E1136" t="str">
            <v>PS- pump station</v>
          </cell>
          <cell r="F1136" t="str">
            <v>THE QUARTERDECK</v>
          </cell>
          <cell r="G1136" t="str">
            <v>1</v>
          </cell>
          <cell r="H1136" t="str">
            <v>W- water corporation</v>
          </cell>
          <cell r="J1136" t="str">
            <v>19710525</v>
          </cell>
          <cell r="K1136" t="str">
            <v>115.874497681</v>
          </cell>
          <cell r="L1136" t="str">
            <v>-32.051755242</v>
          </cell>
          <cell r="M1136" t="str">
            <v>L</v>
          </cell>
          <cell r="N1136" t="str">
            <v>1</v>
          </cell>
          <cell r="O1136" t="str">
            <v>THE QUARTERDECK</v>
          </cell>
          <cell r="R1136" t="str">
            <v>WILLETTON</v>
          </cell>
          <cell r="S1136" t="str">
            <v>6155</v>
          </cell>
        </row>
        <row r="1137">
          <cell r="B1137" t="str">
            <v>S0031649</v>
          </cell>
          <cell r="C1137" t="str">
            <v>SPS BARNET ST NORTH PERTH</v>
          </cell>
          <cell r="D1137" t="str">
            <v>A- actual</v>
          </cell>
          <cell r="E1137" t="str">
            <v>PS- pump station</v>
          </cell>
          <cell r="F1137" t="str">
            <v>BARNET ST</v>
          </cell>
          <cell r="G1137" t="str">
            <v>058-13</v>
          </cell>
          <cell r="H1137" t="str">
            <v>W- water corporation</v>
          </cell>
          <cell r="J1137" t="str">
            <v>19530101</v>
          </cell>
          <cell r="K1137" t="str">
            <v>115.847510494</v>
          </cell>
          <cell r="L1137" t="str">
            <v>-31.930993014</v>
          </cell>
          <cell r="M1137" t="str">
            <v>L</v>
          </cell>
          <cell r="N1137" t="str">
            <v>26</v>
          </cell>
          <cell r="O1137" t="str">
            <v>BARNET</v>
          </cell>
          <cell r="P1137" t="str">
            <v>ST</v>
          </cell>
          <cell r="R1137" t="str">
            <v>NORTH PERTH</v>
          </cell>
          <cell r="S1137" t="str">
            <v>6006</v>
          </cell>
        </row>
        <row r="1138">
          <cell r="B1138" t="str">
            <v>S2003419</v>
          </cell>
          <cell r="C1138" t="str">
            <v>SPS HOMER ST INGLEWOOD</v>
          </cell>
          <cell r="D1138" t="str">
            <v>A- actual</v>
          </cell>
          <cell r="E1138" t="str">
            <v>PS- pump station</v>
          </cell>
          <cell r="F1138" t="str">
            <v>HOMER ST</v>
          </cell>
          <cell r="G1138" t="str">
            <v>9</v>
          </cell>
          <cell r="H1138" t="str">
            <v>W- water corporation</v>
          </cell>
          <cell r="J1138" t="str">
            <v>20010802</v>
          </cell>
          <cell r="K1138" t="str">
            <v>115.873931064</v>
          </cell>
          <cell r="L1138" t="str">
            <v>-31.9091398148</v>
          </cell>
          <cell r="M1138" t="str">
            <v>H</v>
          </cell>
          <cell r="N1138" t="str">
            <v>39</v>
          </cell>
          <cell r="O1138" t="str">
            <v>HOMER</v>
          </cell>
          <cell r="P1138" t="str">
            <v>ST</v>
          </cell>
          <cell r="R1138" t="str">
            <v>INGLEWOOD</v>
          </cell>
          <cell r="S1138" t="str">
            <v>6052</v>
          </cell>
        </row>
        <row r="1139">
          <cell r="B1139" t="str">
            <v>S027-002-003</v>
          </cell>
          <cell r="C1139" t="str">
            <v>SPS MARTIN ST MT BARKER</v>
          </cell>
          <cell r="D1139" t="str">
            <v>A- actual</v>
          </cell>
          <cell r="E1139" t="str">
            <v>PS- pump station</v>
          </cell>
          <cell r="F1139" t="str">
            <v>MT BARKER</v>
          </cell>
          <cell r="G1139" t="str">
            <v>3</v>
          </cell>
          <cell r="H1139" t="str">
            <v>W- water corporation</v>
          </cell>
          <cell r="J1139" t="str">
            <v>20010622</v>
          </cell>
          <cell r="K1139" t="str">
            <v>117.674809459</v>
          </cell>
          <cell r="L1139" t="str">
            <v>-34.631795882</v>
          </cell>
          <cell r="M1139" t="str">
            <v>H</v>
          </cell>
          <cell r="N1139" t="str">
            <v>105</v>
          </cell>
          <cell r="O1139" t="str">
            <v>MARTIN</v>
          </cell>
          <cell r="P1139" t="str">
            <v>ST</v>
          </cell>
          <cell r="R1139" t="str">
            <v>MOUNT BARKER</v>
          </cell>
          <cell r="S1139" t="str">
            <v>6324</v>
          </cell>
        </row>
        <row r="1140">
          <cell r="B1140" t="str">
            <v>S2003424</v>
          </cell>
          <cell r="C1140" t="str">
            <v>SPS MULGUL RD MALAGA</v>
          </cell>
          <cell r="D1140" t="str">
            <v>A- actual</v>
          </cell>
          <cell r="E1140" t="str">
            <v>PS- pump station</v>
          </cell>
          <cell r="F1140" t="str">
            <v>MULGUL RD</v>
          </cell>
          <cell r="G1140" t="str">
            <v>6</v>
          </cell>
          <cell r="H1140" t="str">
            <v>W- water corporation</v>
          </cell>
          <cell r="J1140" t="str">
            <v>20001026</v>
          </cell>
          <cell r="K1140" t="str">
            <v>115.912206409</v>
          </cell>
          <cell r="L1140" t="str">
            <v>-31.859166179</v>
          </cell>
          <cell r="M1140" t="str">
            <v>H</v>
          </cell>
          <cell r="N1140" t="str">
            <v>181</v>
          </cell>
          <cell r="O1140" t="str">
            <v>MULGUL</v>
          </cell>
          <cell r="P1140" t="str">
            <v>RD</v>
          </cell>
          <cell r="R1140" t="str">
            <v>MALAGA</v>
          </cell>
          <cell r="S1140" t="str">
            <v>6090</v>
          </cell>
        </row>
        <row r="1141">
          <cell r="D1141" t="str">
            <v>A- actual</v>
          </cell>
          <cell r="E1141" t="str">
            <v>PS- pump station</v>
          </cell>
          <cell r="F1141" t="str">
            <v>THOMSONS BAY</v>
          </cell>
          <cell r="H1141" t="str">
            <v>P- private</v>
          </cell>
          <cell r="J1141" t="str">
            <v>19700227</v>
          </cell>
          <cell r="K1141" t="str">
            <v>115.554075902</v>
          </cell>
          <cell r="L1141" t="str">
            <v>-31.988274467</v>
          </cell>
          <cell r="M1141" t="str">
            <v>L</v>
          </cell>
          <cell r="N1141" t="str">
            <v>11022</v>
          </cell>
          <cell r="O1141" t="str">
            <v>HENDERSON</v>
          </cell>
          <cell r="P1141" t="str">
            <v>AV</v>
          </cell>
          <cell r="R1141" t="str">
            <v>ROTTNEST ISLAND</v>
          </cell>
          <cell r="S1141" t="str">
            <v>6161</v>
          </cell>
        </row>
        <row r="1142">
          <cell r="B1142" t="str">
            <v>S0030538</v>
          </cell>
          <cell r="C1142" t="str">
            <v>VPS PORT KENNEDY DR PORT KENNEDY</v>
          </cell>
          <cell r="D1142" t="str">
            <v>A- actual</v>
          </cell>
          <cell r="E1142" t="str">
            <v>VPS- vacuum pump station</v>
          </cell>
          <cell r="F1142" t="str">
            <v>PORT KENNEDY DR</v>
          </cell>
          <cell r="G1142" t="str">
            <v>5</v>
          </cell>
          <cell r="H1142" t="str">
            <v>W- water corporation</v>
          </cell>
          <cell r="J1142" t="str">
            <v>19700101</v>
          </cell>
          <cell r="K1142" t="str">
            <v>115.729679776</v>
          </cell>
          <cell r="L1142" t="str">
            <v>-32.367911261</v>
          </cell>
          <cell r="M1142" t="str">
            <v>H</v>
          </cell>
          <cell r="N1142" t="str">
            <v>14</v>
          </cell>
          <cell r="O1142" t="str">
            <v>SKI</v>
          </cell>
          <cell r="P1142" t="str">
            <v>CT</v>
          </cell>
          <cell r="R1142" t="str">
            <v>PORT KENNEDY</v>
          </cell>
          <cell r="S1142" t="str">
            <v>6172</v>
          </cell>
        </row>
        <row r="1143">
          <cell r="B1143" t="str">
            <v>S2003389</v>
          </cell>
          <cell r="C1143" t="str">
            <v>SPS FORILLION AV BIBRA LAKE</v>
          </cell>
          <cell r="D1143" t="str">
            <v>A- actual</v>
          </cell>
          <cell r="E1143" t="str">
            <v>PS- pump station</v>
          </cell>
          <cell r="F1143" t="str">
            <v>FORILLION AVE</v>
          </cell>
          <cell r="G1143" t="str">
            <v>7</v>
          </cell>
          <cell r="H1143" t="str">
            <v>W- water corporation</v>
          </cell>
          <cell r="J1143" t="str">
            <v>20010828</v>
          </cell>
          <cell r="K1143" t="str">
            <v>115.799343695</v>
          </cell>
          <cell r="L1143" t="str">
            <v>-32.089339054</v>
          </cell>
          <cell r="M1143" t="str">
            <v>H</v>
          </cell>
          <cell r="N1143" t="str">
            <v>50</v>
          </cell>
          <cell r="O1143" t="str">
            <v>FORILLION</v>
          </cell>
          <cell r="P1143" t="str">
            <v>AV</v>
          </cell>
          <cell r="R1143" t="str">
            <v>BIBRA LAKE</v>
          </cell>
          <cell r="S1143" t="str">
            <v>6163</v>
          </cell>
        </row>
        <row r="1144">
          <cell r="B1144" t="str">
            <v>S7003446</v>
          </cell>
          <cell r="C1144" t="str">
            <v>PSTN ELLEN COVE - CITY OF ALBANY</v>
          </cell>
          <cell r="D1144" t="str">
            <v>A- actual</v>
          </cell>
          <cell r="E1144" t="str">
            <v>PS- pump station</v>
          </cell>
          <cell r="F1144" t="str">
            <v>ELLEN COVE</v>
          </cell>
          <cell r="H1144" t="str">
            <v>P- private</v>
          </cell>
          <cell r="J1144" t="str">
            <v>20010901</v>
          </cell>
          <cell r="K1144" t="str">
            <v>117.914993089</v>
          </cell>
          <cell r="L1144" t="str">
            <v>-35.0249687235</v>
          </cell>
          <cell r="M1144" t="str">
            <v>H</v>
          </cell>
          <cell r="N1144" t="str">
            <v>1</v>
          </cell>
          <cell r="O1144" t="str">
            <v>FLINDERS</v>
          </cell>
          <cell r="P1144" t="str">
            <v>PDE</v>
          </cell>
          <cell r="R1144" t="str">
            <v>MIDDLETON BEACH</v>
          </cell>
          <cell r="S1144" t="str">
            <v>6330</v>
          </cell>
        </row>
        <row r="1145">
          <cell r="B1145" t="str">
            <v>S4000796</v>
          </cell>
          <cell r="C1145" t="str">
            <v>SPS 5 PT LEANDER DRV DONGARA</v>
          </cell>
          <cell r="D1145" t="str">
            <v>A- actual</v>
          </cell>
          <cell r="E1145" t="str">
            <v>PS- pump station</v>
          </cell>
          <cell r="F1145" t="str">
            <v>PT LEANDER DR</v>
          </cell>
          <cell r="G1145" t="str">
            <v>5</v>
          </cell>
          <cell r="H1145" t="str">
            <v>W- water corporation</v>
          </cell>
          <cell r="J1145" t="str">
            <v>20001004</v>
          </cell>
          <cell r="K1145" t="str">
            <v>114.924538891</v>
          </cell>
          <cell r="L1145" t="str">
            <v>-29.269395192</v>
          </cell>
          <cell r="M1145" t="str">
            <v>L</v>
          </cell>
          <cell r="N1145" t="str">
            <v>916</v>
          </cell>
          <cell r="O1145" t="str">
            <v>POINT LEANDER</v>
          </cell>
          <cell r="P1145" t="str">
            <v>DR</v>
          </cell>
          <cell r="R1145" t="str">
            <v>PORT DENISON</v>
          </cell>
          <cell r="S1145" t="str">
            <v>6525</v>
          </cell>
        </row>
        <row r="1146">
          <cell r="D1146" t="str">
            <v>A- actual</v>
          </cell>
          <cell r="E1146" t="str">
            <v>PS- pump station</v>
          </cell>
          <cell r="F1146" t="str">
            <v>CHESTER PASS RD - MH3042</v>
          </cell>
          <cell r="H1146" t="str">
            <v>P- private</v>
          </cell>
          <cell r="J1146" t="str">
            <v>20010919</v>
          </cell>
          <cell r="K1146" t="str">
            <v>117.87553245</v>
          </cell>
          <cell r="L1146" t="str">
            <v>-34.98371782</v>
          </cell>
          <cell r="M1146" t="str">
            <v>H</v>
          </cell>
          <cell r="N1146" t="str">
            <v>223</v>
          </cell>
          <cell r="O1146" t="str">
            <v>CHESTER PASS</v>
          </cell>
          <cell r="P1146" t="str">
            <v>RD</v>
          </cell>
          <cell r="R1146" t="str">
            <v>MILPARA</v>
          </cell>
          <cell r="S1146" t="str">
            <v>6330</v>
          </cell>
        </row>
        <row r="1147">
          <cell r="D1147" t="str">
            <v>A- actual</v>
          </cell>
          <cell r="E1147" t="str">
            <v>PS- pump station</v>
          </cell>
          <cell r="H1147" t="str">
            <v>P- private</v>
          </cell>
          <cell r="J1147" t="str">
            <v>20010516</v>
          </cell>
          <cell r="K1147" t="str">
            <v>115.16219122</v>
          </cell>
          <cell r="L1147" t="str">
            <v>-34.315499587</v>
          </cell>
          <cell r="M1147" t="str">
            <v>L</v>
          </cell>
          <cell r="N1147" t="str">
            <v>469</v>
          </cell>
          <cell r="O1147" t="str">
            <v>VICTORIA</v>
          </cell>
          <cell r="P1147" t="str">
            <v>PDE</v>
          </cell>
          <cell r="R1147" t="str">
            <v>AUGUSTA</v>
          </cell>
          <cell r="S1147" t="str">
            <v>6290</v>
          </cell>
        </row>
        <row r="1148">
          <cell r="D1148" t="str">
            <v>A- actual</v>
          </cell>
          <cell r="E1148" t="str">
            <v>PS- pump station</v>
          </cell>
          <cell r="H1148" t="str">
            <v>P- private</v>
          </cell>
          <cell r="J1148" t="str">
            <v>20010716</v>
          </cell>
          <cell r="K1148" t="str">
            <v>115.344667357</v>
          </cell>
          <cell r="L1148" t="str">
            <v>-33.6463410674</v>
          </cell>
          <cell r="M1148" t="str">
            <v>H</v>
          </cell>
          <cell r="N1148" t="str">
            <v>2</v>
          </cell>
          <cell r="O1148" t="str">
            <v>QUEEN</v>
          </cell>
          <cell r="P1148" t="str">
            <v>ST</v>
          </cell>
          <cell r="R1148" t="str">
            <v>BUSSELTON</v>
          </cell>
          <cell r="S1148" t="str">
            <v>6280</v>
          </cell>
        </row>
        <row r="1149">
          <cell r="D1149" t="str">
            <v>A- actual</v>
          </cell>
          <cell r="E1149" t="str">
            <v>PS- pump station</v>
          </cell>
          <cell r="H1149" t="str">
            <v>P- private</v>
          </cell>
          <cell r="J1149" t="str">
            <v>20010716</v>
          </cell>
          <cell r="K1149" t="str">
            <v>115.342621386</v>
          </cell>
          <cell r="L1149" t="str">
            <v>-33.6450723836</v>
          </cell>
          <cell r="M1149" t="str">
            <v>L</v>
          </cell>
          <cell r="N1149" t="str">
            <v>343</v>
          </cell>
          <cell r="O1149" t="str">
            <v>QUEEN</v>
          </cell>
          <cell r="P1149" t="str">
            <v>ST</v>
          </cell>
          <cell r="R1149" t="str">
            <v>BUSSELTON</v>
          </cell>
          <cell r="S1149" t="str">
            <v>6280</v>
          </cell>
        </row>
        <row r="1150">
          <cell r="D1150" t="str">
            <v>A- actual</v>
          </cell>
          <cell r="E1150" t="str">
            <v>PS- pump station</v>
          </cell>
          <cell r="H1150" t="str">
            <v>P- private</v>
          </cell>
          <cell r="J1150" t="str">
            <v>20010716</v>
          </cell>
          <cell r="K1150" t="str">
            <v>115.346516917</v>
          </cell>
          <cell r="L1150" t="str">
            <v>-33.6443219111</v>
          </cell>
          <cell r="M1150" t="str">
            <v>H</v>
          </cell>
          <cell r="N1150" t="str">
            <v>1</v>
          </cell>
          <cell r="O1150" t="str">
            <v>SCOUT</v>
          </cell>
          <cell r="P1150" t="str">
            <v>RD</v>
          </cell>
          <cell r="R1150" t="str">
            <v>BUSSELTON</v>
          </cell>
          <cell r="S1150" t="str">
            <v>6280</v>
          </cell>
        </row>
        <row r="1151">
          <cell r="D1151" t="str">
            <v>A- actual</v>
          </cell>
          <cell r="E1151" t="str">
            <v>PS- pump station</v>
          </cell>
          <cell r="F1151" t="str">
            <v>GLEN IRIS PRIMARY SCHOOL</v>
          </cell>
          <cell r="H1151" t="str">
            <v>P- private</v>
          </cell>
          <cell r="J1151" t="str">
            <v>19950421</v>
          </cell>
          <cell r="K1151" t="str">
            <v>115.689082735</v>
          </cell>
          <cell r="L1151" t="str">
            <v>-33.339982816</v>
          </cell>
          <cell r="M1151" t="str">
            <v>L</v>
          </cell>
          <cell r="N1151" t="str">
            <v>103</v>
          </cell>
          <cell r="O1151" t="str">
            <v>JEFFREY</v>
          </cell>
          <cell r="P1151" t="str">
            <v>RD</v>
          </cell>
          <cell r="R1151" t="str">
            <v>GLEN IRIS</v>
          </cell>
          <cell r="S1151" t="str">
            <v>6230</v>
          </cell>
        </row>
        <row r="1152">
          <cell r="D1152" t="str">
            <v>A- actual</v>
          </cell>
          <cell r="E1152" t="str">
            <v>PS- pump station</v>
          </cell>
          <cell r="F1152" t="str">
            <v>DONNYBROOK HOSPITAL</v>
          </cell>
          <cell r="H1152" t="str">
            <v>P- private</v>
          </cell>
          <cell r="J1152" t="str">
            <v>19810331</v>
          </cell>
          <cell r="K1152" t="str">
            <v>115.81692238</v>
          </cell>
          <cell r="L1152" t="str">
            <v>-33.57651019</v>
          </cell>
          <cell r="M1152" t="str">
            <v>H</v>
          </cell>
          <cell r="N1152" t="str">
            <v>41</v>
          </cell>
          <cell r="O1152" t="str">
            <v>BENTLEY</v>
          </cell>
          <cell r="P1152" t="str">
            <v>RD</v>
          </cell>
          <cell r="R1152" t="str">
            <v>DONNYBROOK</v>
          </cell>
          <cell r="S1152" t="str">
            <v>6239</v>
          </cell>
        </row>
        <row r="1153">
          <cell r="D1153" t="str">
            <v>A- actual</v>
          </cell>
          <cell r="E1153" t="str">
            <v>PS- pump station</v>
          </cell>
          <cell r="H1153" t="str">
            <v>P- private</v>
          </cell>
          <cell r="J1153" t="str">
            <v>19700101</v>
          </cell>
          <cell r="K1153" t="str">
            <v>115.865716278</v>
          </cell>
          <cell r="L1153" t="str">
            <v>-32.6080419218</v>
          </cell>
          <cell r="M1153" t="str">
            <v>H</v>
          </cell>
          <cell r="N1153" t="str">
            <v>2</v>
          </cell>
          <cell r="O1153" t="str">
            <v>SALL</v>
          </cell>
          <cell r="P1153" t="str">
            <v>PASS</v>
          </cell>
          <cell r="R1153" t="str">
            <v>PINJARRA</v>
          </cell>
          <cell r="S1153" t="str">
            <v>6208</v>
          </cell>
        </row>
        <row r="1154">
          <cell r="D1154" t="str">
            <v>A- actual</v>
          </cell>
          <cell r="E1154" t="str">
            <v>PS- pump station</v>
          </cell>
          <cell r="H1154" t="str">
            <v>P- private</v>
          </cell>
          <cell r="J1154" t="str">
            <v>19700101</v>
          </cell>
          <cell r="K1154" t="str">
            <v>115.067614028</v>
          </cell>
          <cell r="L1154" t="str">
            <v>-33.9541067528</v>
          </cell>
          <cell r="M1154" t="str">
            <v>H</v>
          </cell>
          <cell r="N1154" t="str">
            <v>41</v>
          </cell>
          <cell r="O1154" t="str">
            <v>WALLCLIFFE</v>
          </cell>
          <cell r="P1154" t="str">
            <v>RD</v>
          </cell>
          <cell r="R1154" t="str">
            <v>MARGARET RIVER</v>
          </cell>
          <cell r="S1154" t="str">
            <v>6285</v>
          </cell>
        </row>
        <row r="1155">
          <cell r="D1155" t="str">
            <v>A- actual</v>
          </cell>
          <cell r="E1155" t="str">
            <v>PS- pump station</v>
          </cell>
          <cell r="H1155" t="str">
            <v>P- private</v>
          </cell>
          <cell r="J1155" t="str">
            <v>19700101</v>
          </cell>
          <cell r="K1155" t="str">
            <v>115.346516917</v>
          </cell>
          <cell r="L1155" t="str">
            <v>-33.6443219111</v>
          </cell>
          <cell r="M1155" t="str">
            <v>H</v>
          </cell>
          <cell r="N1155" t="str">
            <v>1</v>
          </cell>
          <cell r="O1155" t="str">
            <v>SCOUT</v>
          </cell>
          <cell r="P1155" t="str">
            <v>RD</v>
          </cell>
          <cell r="R1155" t="str">
            <v>BUSSELTON</v>
          </cell>
          <cell r="S1155" t="str">
            <v>6280</v>
          </cell>
        </row>
        <row r="1156">
          <cell r="D1156" t="str">
            <v>A- actual</v>
          </cell>
          <cell r="E1156" t="str">
            <v>PS- pump station</v>
          </cell>
          <cell r="H1156" t="str">
            <v>P- private</v>
          </cell>
          <cell r="J1156" t="str">
            <v>19700101</v>
          </cell>
          <cell r="K1156" t="str">
            <v>115.067139125</v>
          </cell>
          <cell r="L1156" t="str">
            <v>-33.951240539</v>
          </cell>
          <cell r="M1156" t="str">
            <v>H</v>
          </cell>
          <cell r="N1156" t="str">
            <v>48</v>
          </cell>
          <cell r="O1156" t="str">
            <v>TUNBRIDGE</v>
          </cell>
          <cell r="P1156" t="str">
            <v>ST</v>
          </cell>
          <cell r="R1156" t="str">
            <v>MARGARET RIVER</v>
          </cell>
          <cell r="S1156" t="str">
            <v>6285</v>
          </cell>
        </row>
        <row r="1157">
          <cell r="B1157" t="str">
            <v>S4000138</v>
          </cell>
          <cell r="C1157" t="str">
            <v>SPS CRAIG CRT SPALDING</v>
          </cell>
          <cell r="D1157" t="str">
            <v>A- actual</v>
          </cell>
          <cell r="E1157" t="str">
            <v>PS- pump station</v>
          </cell>
          <cell r="F1157" t="str">
            <v>CRAIG CT</v>
          </cell>
          <cell r="G1157" t="str">
            <v>4</v>
          </cell>
          <cell r="H1157" t="str">
            <v>W- water corporation</v>
          </cell>
          <cell r="J1157" t="str">
            <v>20000601</v>
          </cell>
          <cell r="K1157" t="str">
            <v>114.625782808</v>
          </cell>
          <cell r="L1157" t="str">
            <v>-28.7426318546</v>
          </cell>
          <cell r="M1157" t="str">
            <v>H</v>
          </cell>
          <cell r="N1157" t="str">
            <v>6</v>
          </cell>
          <cell r="O1157" t="str">
            <v>CRAIG</v>
          </cell>
          <cell r="P1157" t="str">
            <v>CT</v>
          </cell>
          <cell r="R1157" t="str">
            <v>SPALDING</v>
          </cell>
          <cell r="S1157" t="str">
            <v>6530</v>
          </cell>
        </row>
        <row r="1158">
          <cell r="B1158" t="str">
            <v>S2003404</v>
          </cell>
          <cell r="C1158" t="str">
            <v>SPS COCKBURN RD MUNSTER</v>
          </cell>
          <cell r="D1158" t="str">
            <v>A- actual</v>
          </cell>
          <cell r="E1158" t="str">
            <v>PS- pump station</v>
          </cell>
          <cell r="F1158" t="str">
            <v>COCKBURN RD</v>
          </cell>
          <cell r="G1158" t="str">
            <v>19</v>
          </cell>
          <cell r="H1158" t="str">
            <v>W- water corporation</v>
          </cell>
          <cell r="J1158" t="str">
            <v>20010627</v>
          </cell>
          <cell r="K1158" t="str">
            <v>115.763654141</v>
          </cell>
          <cell r="L1158" t="str">
            <v>-32.1359091609</v>
          </cell>
          <cell r="M1158" t="str">
            <v>H</v>
          </cell>
          <cell r="N1158" t="str">
            <v>501</v>
          </cell>
          <cell r="O1158" t="str">
            <v>JERVOISE BAY</v>
          </cell>
          <cell r="P1158" t="str">
            <v>COVE</v>
          </cell>
          <cell r="R1158" t="str">
            <v>COOGEE</v>
          </cell>
          <cell r="S1158" t="str">
            <v>6166</v>
          </cell>
        </row>
        <row r="1159">
          <cell r="B1159" t="str">
            <v>S2003449</v>
          </cell>
          <cell r="C1159" t="str">
            <v>SPS ARNOTT ST TRIGG</v>
          </cell>
          <cell r="D1159" t="str">
            <v>A- actual</v>
          </cell>
          <cell r="E1159" t="str">
            <v>PS- pump station</v>
          </cell>
          <cell r="F1159" t="str">
            <v>ARNOTT ST</v>
          </cell>
          <cell r="G1159" t="str">
            <v>7</v>
          </cell>
          <cell r="H1159" t="str">
            <v>W- water corporation</v>
          </cell>
          <cell r="J1159" t="str">
            <v>20010901</v>
          </cell>
          <cell r="K1159" t="str">
            <v>115.758716541</v>
          </cell>
          <cell r="L1159" t="str">
            <v>-31.8703735848</v>
          </cell>
          <cell r="M1159" t="str">
            <v>H</v>
          </cell>
          <cell r="N1159" t="str">
            <v>78</v>
          </cell>
          <cell r="O1159" t="str">
            <v>BAILEY</v>
          </cell>
          <cell r="P1159" t="str">
            <v>ST</v>
          </cell>
          <cell r="R1159" t="str">
            <v>TRIGG</v>
          </cell>
          <cell r="S1159" t="str">
            <v>6029</v>
          </cell>
        </row>
        <row r="1160">
          <cell r="B1160" t="str">
            <v>S3000321</v>
          </cell>
          <cell r="C1160" t="str">
            <v>SPS REUSE MULGA WY WICKHAM</v>
          </cell>
          <cell r="D1160" t="str">
            <v>A- actual</v>
          </cell>
          <cell r="E1160" t="str">
            <v>EPS- effluent re-use pump station</v>
          </cell>
          <cell r="F1160" t="str">
            <v>MULGA WY</v>
          </cell>
          <cell r="H1160" t="str">
            <v>W- water corporation</v>
          </cell>
          <cell r="J1160" t="str">
            <v>20011101</v>
          </cell>
          <cell r="K1160" t="str">
            <v>117.142314564</v>
          </cell>
          <cell r="L1160" t="str">
            <v>-20.6792787245</v>
          </cell>
          <cell r="M1160" t="str">
            <v>L</v>
          </cell>
          <cell r="N1160" t="str">
            <v>769</v>
          </cell>
          <cell r="O1160" t="str">
            <v>CARSE</v>
          </cell>
          <cell r="P1160" t="str">
            <v>ST</v>
          </cell>
          <cell r="R1160" t="str">
            <v>WICKHAM</v>
          </cell>
          <cell r="S1160" t="str">
            <v>6720</v>
          </cell>
        </row>
        <row r="1161">
          <cell r="B1161" t="str">
            <v>S8002695</v>
          </cell>
          <cell r="C1161" t="str">
            <v>SPS FARMBREAK LP NATURALISTE</v>
          </cell>
          <cell r="D1161" t="str">
            <v>A- actual</v>
          </cell>
          <cell r="E1161" t="str">
            <v>PS- pump station</v>
          </cell>
          <cell r="F1161" t="str">
            <v>FARMBREAK LANE</v>
          </cell>
          <cell r="G1161" t="str">
            <v>9</v>
          </cell>
          <cell r="H1161" t="str">
            <v>W- water corporation</v>
          </cell>
          <cell r="J1161" t="str">
            <v>20010928</v>
          </cell>
          <cell r="K1161" t="str">
            <v>115.032026744</v>
          </cell>
          <cell r="L1161" t="str">
            <v>-33.5434625564</v>
          </cell>
          <cell r="M1161" t="str">
            <v>L</v>
          </cell>
          <cell r="N1161" t="str">
            <v>201</v>
          </cell>
          <cell r="O1161" t="str">
            <v>FARM BREAK</v>
          </cell>
          <cell r="P1161" t="str">
            <v>LANE</v>
          </cell>
          <cell r="R1161" t="str">
            <v>NATURALISTE</v>
          </cell>
          <cell r="S1161" t="str">
            <v>6281</v>
          </cell>
        </row>
        <row r="1162">
          <cell r="B1162" t="str">
            <v>S8002699</v>
          </cell>
          <cell r="C1162" t="str">
            <v>SPS CAPE NATURALISTE RD NATURALISTE</v>
          </cell>
          <cell r="D1162" t="str">
            <v>A- actual</v>
          </cell>
          <cell r="E1162" t="str">
            <v>PS- pump station</v>
          </cell>
          <cell r="F1162" t="str">
            <v>CAPE NATURALISTE RD</v>
          </cell>
          <cell r="G1162" t="str">
            <v>10</v>
          </cell>
          <cell r="H1162" t="str">
            <v>W- water corporation</v>
          </cell>
          <cell r="J1162" t="str">
            <v>20010928</v>
          </cell>
          <cell r="K1162" t="str">
            <v>115.041455559</v>
          </cell>
          <cell r="L1162" t="str">
            <v>-33.5595696667</v>
          </cell>
          <cell r="M1162" t="str">
            <v>L</v>
          </cell>
          <cell r="N1162" t="str">
            <v>3</v>
          </cell>
          <cell r="O1162" t="str">
            <v>CAPE NATURALISTE</v>
          </cell>
          <cell r="P1162" t="str">
            <v>RD</v>
          </cell>
          <cell r="R1162" t="str">
            <v>NATURALISTE</v>
          </cell>
          <cell r="S1162" t="str">
            <v>6281</v>
          </cell>
        </row>
        <row r="1163">
          <cell r="D1163" t="str">
            <v>A- actual</v>
          </cell>
          <cell r="E1163" t="str">
            <v>PS- pump station</v>
          </cell>
          <cell r="H1163" t="str">
            <v>P- private</v>
          </cell>
          <cell r="J1163" t="str">
            <v>19780926</v>
          </cell>
          <cell r="K1163" t="str">
            <v>115.758400273</v>
          </cell>
          <cell r="L1163" t="str">
            <v>-32.281782812</v>
          </cell>
          <cell r="M1163" t="str">
            <v>H</v>
          </cell>
          <cell r="N1163" t="str">
            <v>154</v>
          </cell>
          <cell r="O1163" t="str">
            <v>SIMPSON</v>
          </cell>
          <cell r="P1163" t="str">
            <v>AV</v>
          </cell>
          <cell r="R1163" t="str">
            <v>ROCKINGHAM</v>
          </cell>
          <cell r="S1163" t="str">
            <v>6168</v>
          </cell>
        </row>
        <row r="1164">
          <cell r="D1164" t="str">
            <v>A- actual</v>
          </cell>
          <cell r="E1164" t="str">
            <v>PS- pump station</v>
          </cell>
          <cell r="F1164" t="str">
            <v>BINDI BINDI ABORIGINAL RES</v>
          </cell>
          <cell r="H1164" t="str">
            <v>P- private</v>
          </cell>
          <cell r="J1164" t="str">
            <v>19890501</v>
          </cell>
          <cell r="K1164" t="str">
            <v>115.120065705</v>
          </cell>
          <cell r="L1164" t="str">
            <v>-21.643215951</v>
          </cell>
          <cell r="M1164" t="str">
            <v>H</v>
          </cell>
          <cell r="N1164" t="str">
            <v>2</v>
          </cell>
          <cell r="O1164" t="str">
            <v>BIDAN</v>
          </cell>
          <cell r="P1164" t="str">
            <v>ST</v>
          </cell>
          <cell r="R1164" t="str">
            <v>ONSLOW</v>
          </cell>
          <cell r="S1164" t="str">
            <v>6710</v>
          </cell>
        </row>
        <row r="1165">
          <cell r="B1165" t="str">
            <v>S2003353</v>
          </cell>
          <cell r="C1165" t="str">
            <v>SPS WOODLAKE RT KINGSLEY</v>
          </cell>
          <cell r="D1165" t="str">
            <v>A- actual</v>
          </cell>
          <cell r="E1165" t="str">
            <v>PS- pump station</v>
          </cell>
          <cell r="F1165" t="str">
            <v>WOODLAKE RT</v>
          </cell>
          <cell r="G1165" t="str">
            <v>3</v>
          </cell>
          <cell r="H1165" t="str">
            <v>W- water corporation</v>
          </cell>
          <cell r="J1165" t="str">
            <v>20010608</v>
          </cell>
          <cell r="K1165" t="str">
            <v>115.818880472</v>
          </cell>
          <cell r="L1165" t="str">
            <v>-31.817399327</v>
          </cell>
          <cell r="M1165" t="str">
            <v>H</v>
          </cell>
          <cell r="N1165" t="str">
            <v>29</v>
          </cell>
          <cell r="O1165" t="str">
            <v>WOODLAKE</v>
          </cell>
          <cell r="P1165" t="str">
            <v>RTT</v>
          </cell>
          <cell r="R1165" t="str">
            <v>KINGSLEY</v>
          </cell>
          <cell r="S1165" t="str">
            <v>6026</v>
          </cell>
        </row>
        <row r="1166">
          <cell r="D1166" t="str">
            <v>A- actual</v>
          </cell>
          <cell r="E1166" t="str">
            <v>PS- pump station</v>
          </cell>
          <cell r="F1166" t="str">
            <v>PORT QUAYS</v>
          </cell>
          <cell r="H1166" t="str">
            <v>P- private</v>
          </cell>
          <cell r="J1166" t="str">
            <v>20010912</v>
          </cell>
          <cell r="K1166" t="str">
            <v>115.637661735</v>
          </cell>
          <cell r="L1166" t="str">
            <v>-32.5965459069</v>
          </cell>
          <cell r="M1166" t="str">
            <v>H</v>
          </cell>
          <cell r="N1166" t="str">
            <v>18</v>
          </cell>
          <cell r="O1166" t="str">
            <v>PORT</v>
          </cell>
          <cell r="P1166" t="str">
            <v>QYS</v>
          </cell>
          <cell r="R1166" t="str">
            <v>WANNANUP</v>
          </cell>
          <cell r="S1166" t="str">
            <v>6210</v>
          </cell>
        </row>
        <row r="1167">
          <cell r="B1167" t="str">
            <v>S0037899</v>
          </cell>
          <cell r="C1167" t="str">
            <v>SPS 1 GLANCE ST HORROCKS</v>
          </cell>
          <cell r="D1167" t="str">
            <v>A- actual</v>
          </cell>
          <cell r="E1167" t="str">
            <v>PS- pump station</v>
          </cell>
          <cell r="F1167" t="str">
            <v>GLANCE ST</v>
          </cell>
          <cell r="H1167" t="str">
            <v>W- water corporation</v>
          </cell>
          <cell r="J1167" t="str">
            <v>20001216</v>
          </cell>
          <cell r="K1167" t="str">
            <v>114.430362389</v>
          </cell>
          <cell r="L1167" t="str">
            <v>-28.383741585</v>
          </cell>
          <cell r="M1167" t="str">
            <v>L</v>
          </cell>
          <cell r="N1167" t="str">
            <v>201</v>
          </cell>
          <cell r="O1167" t="str">
            <v>GLANCE</v>
          </cell>
          <cell r="P1167" t="str">
            <v>ST</v>
          </cell>
          <cell r="R1167" t="str">
            <v>HORROCKS</v>
          </cell>
          <cell r="S1167" t="str">
            <v>6535</v>
          </cell>
        </row>
        <row r="1168">
          <cell r="B1168" t="str">
            <v>S2003198</v>
          </cell>
          <cell r="C1168" t="str">
            <v>SPS EVELINE RD MIDDLE SWAN</v>
          </cell>
          <cell r="D1168" t="str">
            <v>A- actual</v>
          </cell>
          <cell r="E1168" t="str">
            <v>PS- pump station</v>
          </cell>
          <cell r="F1168" t="str">
            <v>EVELINE RD</v>
          </cell>
          <cell r="H1168" t="str">
            <v>W- water corporation</v>
          </cell>
          <cell r="J1168" t="str">
            <v>19980723</v>
          </cell>
          <cell r="K1168" t="str">
            <v>116.010048595</v>
          </cell>
          <cell r="L1168" t="str">
            <v>-31.876869782</v>
          </cell>
          <cell r="M1168" t="str">
            <v>H</v>
          </cell>
          <cell r="N1168" t="str">
            <v>28</v>
          </cell>
          <cell r="O1168" t="str">
            <v>GREAT NORTHERN</v>
          </cell>
          <cell r="P1168" t="str">
            <v>HWY</v>
          </cell>
          <cell r="R1168" t="str">
            <v>MIDDLE SWAN</v>
          </cell>
          <cell r="S1168" t="str">
            <v>6056</v>
          </cell>
        </row>
        <row r="1169">
          <cell r="B1169" t="str">
            <v>S8000826</v>
          </cell>
          <cell r="C1169" t="str">
            <v>SPS REDCLIFFE RD GREENFIELDS</v>
          </cell>
          <cell r="D1169" t="str">
            <v>A- actual</v>
          </cell>
          <cell r="E1169" t="str">
            <v>PS- pump station</v>
          </cell>
          <cell r="F1169" t="str">
            <v>REDCLIFFE RD PS</v>
          </cell>
          <cell r="G1169" t="str">
            <v>29</v>
          </cell>
          <cell r="H1169" t="str">
            <v>W- water corporation</v>
          </cell>
          <cell r="J1169" t="str">
            <v>20011104</v>
          </cell>
          <cell r="K1169" t="str">
            <v>115.773670993</v>
          </cell>
          <cell r="L1169" t="str">
            <v>-32.528977975</v>
          </cell>
          <cell r="M1169" t="str">
            <v>L</v>
          </cell>
          <cell r="N1169" t="str">
            <v>4699</v>
          </cell>
          <cell r="O1169" t="str">
            <v>REDCLIFFE</v>
          </cell>
          <cell r="P1169" t="str">
            <v>RD</v>
          </cell>
          <cell r="R1169" t="str">
            <v>GREENFIELDS</v>
          </cell>
          <cell r="S1169" t="str">
            <v>6210</v>
          </cell>
        </row>
        <row r="1170">
          <cell r="B1170" t="str">
            <v>S8000969</v>
          </cell>
          <cell r="C1170" t="str">
            <v>SPS JUBILEE RD GLEN IRIS</v>
          </cell>
          <cell r="D1170" t="str">
            <v>A- actual</v>
          </cell>
          <cell r="E1170" t="str">
            <v>PS- pump station</v>
          </cell>
          <cell r="F1170" t="str">
            <v>JUBILEE RD</v>
          </cell>
          <cell r="H1170" t="str">
            <v>W- water corporation</v>
          </cell>
          <cell r="J1170" t="str">
            <v>20010101</v>
          </cell>
          <cell r="K1170" t="str">
            <v>115.695369411</v>
          </cell>
          <cell r="L1170" t="str">
            <v>-33.3358771178</v>
          </cell>
          <cell r="M1170" t="str">
            <v>H</v>
          </cell>
          <cell r="N1170" t="str">
            <v>28</v>
          </cell>
          <cell r="O1170" t="str">
            <v>MAGNOLIA</v>
          </cell>
          <cell r="P1170" t="str">
            <v>DR</v>
          </cell>
          <cell r="R1170" t="str">
            <v>GLEN IRIS</v>
          </cell>
          <cell r="S1170" t="str">
            <v>6230</v>
          </cell>
        </row>
        <row r="1171">
          <cell r="D1171" t="str">
            <v>A- actual</v>
          </cell>
          <cell r="E1171" t="str">
            <v>PS- pump station</v>
          </cell>
          <cell r="F1171" t="str">
            <v>WHITE SANDS RESORT</v>
          </cell>
          <cell r="H1171" t="str">
            <v>P- private</v>
          </cell>
          <cell r="J1171" t="str">
            <v>20011217</v>
          </cell>
          <cell r="K1171" t="str">
            <v>115.138463357</v>
          </cell>
          <cell r="L1171" t="str">
            <v>-33.6306608715</v>
          </cell>
          <cell r="M1171" t="str">
            <v>H</v>
          </cell>
          <cell r="N1171" t="str">
            <v>3</v>
          </cell>
          <cell r="O1171" t="str">
            <v>GEOGRAPHE</v>
          </cell>
          <cell r="P1171" t="str">
            <v>CL</v>
          </cell>
          <cell r="R1171" t="str">
            <v>QUINDALUP</v>
          </cell>
          <cell r="S1171" t="str">
            <v>6281</v>
          </cell>
        </row>
        <row r="1172">
          <cell r="D1172" t="str">
            <v>A- actual</v>
          </cell>
          <cell r="E1172" t="str">
            <v>PS- pump station</v>
          </cell>
          <cell r="F1172" t="str">
            <v>SECOND ST</v>
          </cell>
          <cell r="H1172" t="str">
            <v>P- private</v>
          </cell>
          <cell r="J1172" t="str">
            <v>20011210</v>
          </cell>
          <cell r="K1172" t="str">
            <v>117.246339719</v>
          </cell>
          <cell r="L1172" t="str">
            <v>-31.653547778</v>
          </cell>
          <cell r="M1172" t="str">
            <v>L</v>
          </cell>
          <cell r="N1172" t="str">
            <v>2</v>
          </cell>
          <cell r="O1172" t="str">
            <v>SECOND</v>
          </cell>
          <cell r="P1172" t="str">
            <v>ST</v>
          </cell>
          <cell r="R1172" t="str">
            <v>CUNDERDIN</v>
          </cell>
          <cell r="S1172" t="str">
            <v>6407</v>
          </cell>
        </row>
        <row r="1173">
          <cell r="D1173" t="str">
            <v>A- actual</v>
          </cell>
          <cell r="E1173" t="str">
            <v>PS- pump station</v>
          </cell>
          <cell r="F1173" t="str">
            <v>CITY BEACH RESTUARANT</v>
          </cell>
          <cell r="H1173" t="str">
            <v>P- private</v>
          </cell>
          <cell r="J1173" t="str">
            <v>20000608</v>
          </cell>
          <cell r="K1173" t="str">
            <v>115.75841076</v>
          </cell>
          <cell r="L1173" t="str">
            <v>-31.93598243</v>
          </cell>
          <cell r="M1173" t="str">
            <v>H</v>
          </cell>
          <cell r="N1173" t="str">
            <v>181</v>
          </cell>
          <cell r="O1173" t="str">
            <v>CHALLENGER</v>
          </cell>
          <cell r="P1173" t="str">
            <v>PDE</v>
          </cell>
          <cell r="R1173" t="str">
            <v>CITY BEACH</v>
          </cell>
          <cell r="S1173" t="str">
            <v>6015</v>
          </cell>
        </row>
        <row r="1174">
          <cell r="B1174" t="str">
            <v>S8000806</v>
          </cell>
          <cell r="C1174" t="str">
            <v>SPS LEICESTER RMBL EATON</v>
          </cell>
          <cell r="D1174" t="str">
            <v>A- actual</v>
          </cell>
          <cell r="E1174" t="str">
            <v>PS- pump station</v>
          </cell>
          <cell r="F1174" t="str">
            <v>LEICESTER RMBL</v>
          </cell>
          <cell r="H1174" t="str">
            <v>W- water corporation</v>
          </cell>
          <cell r="J1174" t="str">
            <v>20010101</v>
          </cell>
          <cell r="K1174" t="str">
            <v>115.72487535</v>
          </cell>
          <cell r="L1174" t="str">
            <v>-33.30257574</v>
          </cell>
          <cell r="M1174" t="str">
            <v>H</v>
          </cell>
          <cell r="N1174" t="str">
            <v>35</v>
          </cell>
          <cell r="O1174" t="str">
            <v>PENINSULA LAKES</v>
          </cell>
          <cell r="P1174" t="str">
            <v>DR</v>
          </cell>
          <cell r="R1174" t="str">
            <v>EATON</v>
          </cell>
          <cell r="S1174" t="str">
            <v>6232</v>
          </cell>
        </row>
        <row r="1175">
          <cell r="B1175" t="str">
            <v>S2003482</v>
          </cell>
          <cell r="C1175" t="str">
            <v>SPS ABERNETHY RD EAST PERTH AIRPORT</v>
          </cell>
          <cell r="D1175" t="str">
            <v>A- actual</v>
          </cell>
          <cell r="E1175" t="str">
            <v>PS- pump station</v>
          </cell>
          <cell r="F1175" t="str">
            <v>ABERNETHY RD EAST</v>
          </cell>
          <cell r="G1175" t="str">
            <v>2</v>
          </cell>
          <cell r="H1175" t="str">
            <v>W- water corporation</v>
          </cell>
          <cell r="J1175" t="str">
            <v>20010912</v>
          </cell>
          <cell r="K1175" t="str">
            <v>115.97936847</v>
          </cell>
          <cell r="L1175" t="str">
            <v>-31.9798441406</v>
          </cell>
          <cell r="M1175" t="str">
            <v>L</v>
          </cell>
          <cell r="N1175" t="str">
            <v>13575</v>
          </cell>
          <cell r="O1175" t="str">
            <v>ABERNETHY</v>
          </cell>
          <cell r="P1175" t="str">
            <v>RD</v>
          </cell>
          <cell r="R1175" t="str">
            <v>FORRESTFIELD</v>
          </cell>
          <cell r="S1175" t="str">
            <v>6058</v>
          </cell>
        </row>
        <row r="1176">
          <cell r="B1176" t="str">
            <v>S2003676</v>
          </cell>
          <cell r="C1176" t="str">
            <v>SPS DORCAS WY COOLBELLUP</v>
          </cell>
          <cell r="D1176" t="str">
            <v>A- actual</v>
          </cell>
          <cell r="E1176" t="str">
            <v>PS- pump station</v>
          </cell>
          <cell r="F1176" t="str">
            <v>DORCAS WY</v>
          </cell>
          <cell r="G1176" t="str">
            <v>6</v>
          </cell>
          <cell r="H1176" t="str">
            <v>W- water corporation</v>
          </cell>
          <cell r="J1176" t="str">
            <v>20011019</v>
          </cell>
          <cell r="K1176" t="str">
            <v>115.805799894</v>
          </cell>
          <cell r="L1176" t="str">
            <v>-32.080173339</v>
          </cell>
          <cell r="M1176" t="str">
            <v>H</v>
          </cell>
          <cell r="N1176" t="str">
            <v>28</v>
          </cell>
          <cell r="O1176" t="str">
            <v>DORCAS</v>
          </cell>
          <cell r="P1176" t="str">
            <v>WAY</v>
          </cell>
          <cell r="R1176" t="str">
            <v>COOLBELLUP</v>
          </cell>
          <cell r="S1176" t="str">
            <v>6163</v>
          </cell>
        </row>
        <row r="1177">
          <cell r="D1177" t="str">
            <v>A- actual</v>
          </cell>
          <cell r="E1177" t="str">
            <v>PS- pump station</v>
          </cell>
          <cell r="F1177" t="str">
            <v>CANNING VALE CATHOLIC PRIMARY SCHOOL</v>
          </cell>
          <cell r="H1177" t="str">
            <v>P- private</v>
          </cell>
          <cell r="J1177" t="str">
            <v>19700101</v>
          </cell>
          <cell r="K1177" t="str">
            <v>115.93444644</v>
          </cell>
          <cell r="L1177" t="str">
            <v>-32.08150971</v>
          </cell>
          <cell r="M1177" t="str">
            <v>H</v>
          </cell>
          <cell r="N1177" t="str">
            <v>146</v>
          </cell>
          <cell r="O1177" t="str">
            <v>AMHERST</v>
          </cell>
          <cell r="P1177" t="str">
            <v>RD</v>
          </cell>
          <cell r="R1177" t="str">
            <v>CANNING VALE</v>
          </cell>
          <cell r="S1177" t="str">
            <v>6155</v>
          </cell>
        </row>
        <row r="1178">
          <cell r="D1178" t="str">
            <v>A- actual</v>
          </cell>
          <cell r="E1178" t="str">
            <v>PS- pump station</v>
          </cell>
          <cell r="F1178" t="str">
            <v>LOT 300 GT EASTERN HWY</v>
          </cell>
          <cell r="H1178" t="str">
            <v>P- private</v>
          </cell>
          <cell r="J1178" t="str">
            <v>20010721</v>
          </cell>
          <cell r="K1178" t="str">
            <v>116.015521964</v>
          </cell>
          <cell r="L1178" t="str">
            <v>-31.892593583</v>
          </cell>
          <cell r="M1178" t="str">
            <v>H</v>
          </cell>
          <cell r="N1178" t="str">
            <v>211</v>
          </cell>
          <cell r="O1178" t="str">
            <v>GREAT EASTERN</v>
          </cell>
          <cell r="P1178" t="str">
            <v>HWY</v>
          </cell>
          <cell r="R1178" t="str">
            <v>MIDLAND</v>
          </cell>
          <cell r="S1178" t="str">
            <v>6056</v>
          </cell>
        </row>
        <row r="1179">
          <cell r="B1179" t="str">
            <v>S0043978</v>
          </cell>
          <cell r="C1179" t="str">
            <v>SPS LOFTIE ST BRIDGETOWN</v>
          </cell>
          <cell r="D1179" t="str">
            <v>A- actual</v>
          </cell>
          <cell r="E1179" t="str">
            <v>PS- pump station</v>
          </cell>
          <cell r="F1179" t="str">
            <v>LOFTIE ST</v>
          </cell>
          <cell r="G1179" t="str">
            <v>1</v>
          </cell>
          <cell r="H1179" t="str">
            <v>W- water corporation</v>
          </cell>
          <cell r="J1179" t="str">
            <v>19700101</v>
          </cell>
          <cell r="K1179" t="str">
            <v>116.134797925</v>
          </cell>
          <cell r="L1179" t="str">
            <v>-33.963568367</v>
          </cell>
          <cell r="M1179" t="str">
            <v>L</v>
          </cell>
          <cell r="N1179" t="str">
            <v>261</v>
          </cell>
          <cell r="O1179" t="str">
            <v>LOFTIE</v>
          </cell>
          <cell r="P1179" t="str">
            <v>ST</v>
          </cell>
          <cell r="R1179" t="str">
            <v>BRIDGETOWN</v>
          </cell>
          <cell r="S1179" t="str">
            <v>6255</v>
          </cell>
        </row>
        <row r="1180">
          <cell r="B1180" t="str">
            <v>S8000517</v>
          </cell>
          <cell r="C1180" t="str">
            <v>SPS STH WEST HWY STH BRIDGETOWN</v>
          </cell>
          <cell r="D1180" t="str">
            <v>A- actual</v>
          </cell>
          <cell r="E1180" t="str">
            <v>PS- pump station</v>
          </cell>
          <cell r="F1180" t="str">
            <v>SOUTH WEST HWY SOUTH</v>
          </cell>
          <cell r="G1180" t="str">
            <v>2</v>
          </cell>
          <cell r="H1180" t="str">
            <v>W- water corporation</v>
          </cell>
          <cell r="J1180" t="str">
            <v>20000510</v>
          </cell>
          <cell r="K1180" t="str">
            <v>116.126776561</v>
          </cell>
          <cell r="L1180" t="str">
            <v>-33.9368006005</v>
          </cell>
          <cell r="M1180" t="str">
            <v>H</v>
          </cell>
          <cell r="N1180" t="str">
            <v>24004</v>
          </cell>
          <cell r="O1180" t="str">
            <v>SOUTH WESTERN</v>
          </cell>
          <cell r="P1180" t="str">
            <v>HWY</v>
          </cell>
          <cell r="R1180" t="str">
            <v>BRIDGETOWN</v>
          </cell>
          <cell r="S1180" t="str">
            <v>6255</v>
          </cell>
        </row>
        <row r="1181">
          <cell r="D1181" t="str">
            <v>A- actual</v>
          </cell>
          <cell r="E1181" t="str">
            <v>PS- pump station</v>
          </cell>
          <cell r="F1181" t="str">
            <v>CHICKEN TREAT</v>
          </cell>
          <cell r="H1181" t="str">
            <v>P- private</v>
          </cell>
          <cell r="J1181" t="str">
            <v>20001006</v>
          </cell>
          <cell r="K1181" t="str">
            <v>116.057012358</v>
          </cell>
          <cell r="L1181" t="str">
            <v>-31.970755329</v>
          </cell>
          <cell r="M1181" t="str">
            <v>H</v>
          </cell>
          <cell r="N1181" t="str">
            <v>3</v>
          </cell>
          <cell r="O1181" t="str">
            <v>CANNING</v>
          </cell>
          <cell r="P1181" t="str">
            <v>RD</v>
          </cell>
          <cell r="R1181" t="str">
            <v>KALAMUNDA</v>
          </cell>
          <cell r="S1181" t="str">
            <v>6076</v>
          </cell>
        </row>
        <row r="1182">
          <cell r="B1182" t="str">
            <v>S2003487</v>
          </cell>
          <cell r="C1182" t="str">
            <v>SPS SCENIC DR WANNEROO</v>
          </cell>
          <cell r="D1182" t="str">
            <v>A- actual</v>
          </cell>
          <cell r="E1182" t="str">
            <v>PS- pump station</v>
          </cell>
          <cell r="F1182" t="str">
            <v>SCENIC DR</v>
          </cell>
          <cell r="G1182" t="str">
            <v>160-02</v>
          </cell>
          <cell r="H1182" t="str">
            <v>W- water corporation</v>
          </cell>
          <cell r="J1182" t="str">
            <v>20020213</v>
          </cell>
          <cell r="K1182" t="str">
            <v>115.795015343</v>
          </cell>
          <cell r="L1182" t="str">
            <v>-31.742915459</v>
          </cell>
          <cell r="M1182" t="str">
            <v>H</v>
          </cell>
          <cell r="N1182" t="str">
            <v>15</v>
          </cell>
          <cell r="O1182" t="str">
            <v>NEVILLE</v>
          </cell>
          <cell r="P1182" t="str">
            <v>DR</v>
          </cell>
          <cell r="R1182" t="str">
            <v>WANNEROO</v>
          </cell>
          <cell r="S1182" t="str">
            <v>6065</v>
          </cell>
        </row>
        <row r="1183">
          <cell r="B1183" t="str">
            <v>S8000907</v>
          </cell>
          <cell r="C1183" t="str">
            <v>SPS BUSSELL HWY STH MARGARET RIVER</v>
          </cell>
          <cell r="D1183" t="str">
            <v>A- actual</v>
          </cell>
          <cell r="E1183" t="str">
            <v>PS- pump station</v>
          </cell>
          <cell r="F1183" t="str">
            <v>BUSSELL HWY SOUTH</v>
          </cell>
          <cell r="G1183" t="str">
            <v>5</v>
          </cell>
          <cell r="H1183" t="str">
            <v>W- water corporation</v>
          </cell>
          <cell r="J1183" t="str">
            <v>20010918</v>
          </cell>
          <cell r="K1183" t="str">
            <v>115.073659574</v>
          </cell>
          <cell r="L1183" t="str">
            <v>-33.9472546221</v>
          </cell>
          <cell r="M1183" t="str">
            <v>L</v>
          </cell>
          <cell r="N1183" t="str">
            <v>282</v>
          </cell>
          <cell r="O1183" t="str">
            <v>BUSSELL</v>
          </cell>
          <cell r="P1183" t="str">
            <v>HWY</v>
          </cell>
          <cell r="R1183" t="str">
            <v>MARGARET RIVER</v>
          </cell>
          <cell r="S1183" t="str">
            <v>6285</v>
          </cell>
        </row>
        <row r="1184">
          <cell r="D1184" t="str">
            <v>N- not in use</v>
          </cell>
          <cell r="E1184" t="str">
            <v>PS- pump station</v>
          </cell>
          <cell r="F1184" t="str">
            <v>KENT ST</v>
          </cell>
          <cell r="G1184" t="str">
            <v>1</v>
          </cell>
          <cell r="H1184" t="str">
            <v>W- water corporation</v>
          </cell>
          <cell r="J1184" t="str">
            <v>19800101</v>
          </cell>
          <cell r="K1184" t="str">
            <v>115.343816398</v>
          </cell>
          <cell r="L1184" t="str">
            <v>-33.6506121871</v>
          </cell>
          <cell r="M1184" t="str">
            <v>L</v>
          </cell>
          <cell r="N1184" t="str">
            <v>376</v>
          </cell>
          <cell r="O1184" t="str">
            <v>KENT</v>
          </cell>
          <cell r="P1184" t="str">
            <v>ST</v>
          </cell>
          <cell r="R1184" t="str">
            <v>BUSSELTON</v>
          </cell>
          <cell r="S1184" t="str">
            <v>6280</v>
          </cell>
        </row>
        <row r="1185">
          <cell r="B1185" t="str">
            <v>S8000516</v>
          </cell>
          <cell r="C1185" t="str">
            <v>SPS STH WEST HWY NTH HESTER BK</v>
          </cell>
          <cell r="D1185" t="str">
            <v>A- actual</v>
          </cell>
          <cell r="E1185" t="str">
            <v>PS- pump station</v>
          </cell>
          <cell r="F1185" t="str">
            <v>SOUTH WEST HWY NORTH</v>
          </cell>
          <cell r="G1185" t="str">
            <v>3</v>
          </cell>
          <cell r="H1185" t="str">
            <v>W- water corporation</v>
          </cell>
          <cell r="J1185" t="str">
            <v>20000510</v>
          </cell>
          <cell r="K1185" t="str">
            <v>116.124282826</v>
          </cell>
          <cell r="L1185" t="str">
            <v>-33.926132287</v>
          </cell>
          <cell r="M1185" t="str">
            <v>H</v>
          </cell>
          <cell r="N1185" t="str">
            <v>3</v>
          </cell>
          <cell r="O1185" t="str">
            <v>WILKINS</v>
          </cell>
          <cell r="P1185" t="str">
            <v>RD</v>
          </cell>
          <cell r="R1185" t="str">
            <v>BRIDGETOWN</v>
          </cell>
          <cell r="S1185" t="str">
            <v>6255</v>
          </cell>
        </row>
        <row r="1186">
          <cell r="B1186" t="str">
            <v>S0002039</v>
          </cell>
          <cell r="C1186" t="str">
            <v>OLD FINAL EFFLUENT PUMP STATION</v>
          </cell>
          <cell r="D1186" t="str">
            <v>A- actual</v>
          </cell>
          <cell r="E1186" t="str">
            <v>EPS- effluent re-use pump station</v>
          </cell>
          <cell r="F1186" t="str">
            <v>BROCKWAY RD FINAL EFFLUENT</v>
          </cell>
          <cell r="H1186" t="str">
            <v>W- water corporation</v>
          </cell>
          <cell r="J1186" t="str">
            <v>19960101</v>
          </cell>
          <cell r="K1186" t="str">
            <v>115.791574567</v>
          </cell>
          <cell r="L1186" t="str">
            <v>-31.956237047</v>
          </cell>
          <cell r="M1186" t="str">
            <v>L</v>
          </cell>
          <cell r="N1186" t="str">
            <v>6815</v>
          </cell>
          <cell r="O1186" t="str">
            <v>BROCKWAY</v>
          </cell>
          <cell r="P1186" t="str">
            <v>RD</v>
          </cell>
          <cell r="R1186" t="str">
            <v>SHENTON PARK</v>
          </cell>
          <cell r="S1186" t="str">
            <v>6008</v>
          </cell>
        </row>
        <row r="1187">
          <cell r="B1187" t="str">
            <v>S2007287</v>
          </cell>
          <cell r="C1187" t="str">
            <v>SPS SOLAS RD MORLEY</v>
          </cell>
          <cell r="D1187" t="str">
            <v>A- actual</v>
          </cell>
          <cell r="E1187" t="str">
            <v>PS- pump station</v>
          </cell>
          <cell r="F1187" t="str">
            <v>SOLAS RD</v>
          </cell>
          <cell r="G1187" t="str">
            <v>024-07</v>
          </cell>
          <cell r="H1187" t="str">
            <v>W- water corporation</v>
          </cell>
          <cell r="J1187" t="str">
            <v>20020701</v>
          </cell>
          <cell r="K1187" t="str">
            <v>115.929141674</v>
          </cell>
          <cell r="L1187" t="str">
            <v>-31.887308347</v>
          </cell>
          <cell r="M1187" t="str">
            <v>H</v>
          </cell>
          <cell r="N1187" t="str">
            <v>9</v>
          </cell>
          <cell r="O1187" t="str">
            <v>SOLAS</v>
          </cell>
          <cell r="P1187" t="str">
            <v>RD</v>
          </cell>
          <cell r="R1187" t="str">
            <v>MORLEY</v>
          </cell>
          <cell r="S1187" t="str">
            <v>6062</v>
          </cell>
        </row>
        <row r="1188">
          <cell r="B1188" t="str">
            <v>S2004868</v>
          </cell>
          <cell r="C1188" t="str">
            <v>SPS FOXTON BVD HIGH WYCOMBE</v>
          </cell>
          <cell r="D1188" t="str">
            <v>A- actual</v>
          </cell>
          <cell r="E1188" t="str">
            <v>PS- pump station</v>
          </cell>
          <cell r="F1188" t="str">
            <v>FOXTON BVD</v>
          </cell>
          <cell r="G1188" t="str">
            <v>2</v>
          </cell>
          <cell r="H1188" t="str">
            <v>W- water corporation</v>
          </cell>
          <cell r="J1188" t="str">
            <v>20020327</v>
          </cell>
          <cell r="K1188" t="str">
            <v>116.004994213</v>
          </cell>
          <cell r="L1188" t="str">
            <v>-31.9323897067</v>
          </cell>
          <cell r="M1188" t="str">
            <v>H</v>
          </cell>
          <cell r="N1188" t="str">
            <v>3</v>
          </cell>
          <cell r="O1188" t="str">
            <v>BOWDEN</v>
          </cell>
          <cell r="P1188" t="str">
            <v>DR</v>
          </cell>
          <cell r="R1188" t="str">
            <v>HIGH WYCOMBE</v>
          </cell>
          <cell r="S1188" t="str">
            <v>6057</v>
          </cell>
        </row>
        <row r="1189">
          <cell r="B1189" t="str">
            <v>S2004013</v>
          </cell>
          <cell r="C1189" t="str">
            <v>SPS KOOLBARDI LOOP BYFORD</v>
          </cell>
          <cell r="D1189" t="str">
            <v>A- actual</v>
          </cell>
          <cell r="E1189" t="str">
            <v>PS- pump station</v>
          </cell>
          <cell r="F1189" t="str">
            <v>KOOLBARDI LOOP</v>
          </cell>
          <cell r="G1189" t="str">
            <v>1</v>
          </cell>
          <cell r="H1189" t="str">
            <v>W- water corporation</v>
          </cell>
          <cell r="J1189" t="str">
            <v>20010524</v>
          </cell>
          <cell r="K1189" t="str">
            <v>115.974495807</v>
          </cell>
          <cell r="L1189" t="str">
            <v>-32.2129356335</v>
          </cell>
          <cell r="M1189" t="str">
            <v>H</v>
          </cell>
          <cell r="N1189" t="str">
            <v>37</v>
          </cell>
          <cell r="O1189" t="str">
            <v>KOOLBARDI</v>
          </cell>
          <cell r="P1189" t="str">
            <v>LOOP</v>
          </cell>
          <cell r="R1189" t="str">
            <v>BYFORD</v>
          </cell>
          <cell r="S1189" t="str">
            <v>6122</v>
          </cell>
        </row>
        <row r="1190">
          <cell r="D1190" t="str">
            <v>A- actual</v>
          </cell>
          <cell r="E1190" t="str">
            <v>PS- pump station</v>
          </cell>
          <cell r="F1190" t="str">
            <v>LOT 2 KING EDWARD RD</v>
          </cell>
          <cell r="H1190" t="str">
            <v>P- private</v>
          </cell>
          <cell r="J1190" t="str">
            <v>20000518</v>
          </cell>
          <cell r="K1190" t="str">
            <v>115.803938301</v>
          </cell>
          <cell r="L1190" t="str">
            <v>-31.902557424</v>
          </cell>
          <cell r="M1190" t="str">
            <v>H</v>
          </cell>
          <cell r="N1190" t="str">
            <v>7</v>
          </cell>
          <cell r="O1190" t="str">
            <v>KING EDWARD</v>
          </cell>
          <cell r="P1190" t="str">
            <v>RD</v>
          </cell>
          <cell r="R1190" t="str">
            <v>OSBORNE PARK</v>
          </cell>
          <cell r="S1190" t="str">
            <v>6017</v>
          </cell>
        </row>
        <row r="1191">
          <cell r="B1191" t="str">
            <v>S8000822</v>
          </cell>
          <cell r="C1191" t="str">
            <v>SPS DARWIN TCE DUDLEY PARK</v>
          </cell>
          <cell r="D1191" t="str">
            <v>A- actual</v>
          </cell>
          <cell r="E1191" t="str">
            <v>PS- pump station</v>
          </cell>
          <cell r="F1191" t="str">
            <v>DARWIN TCE</v>
          </cell>
          <cell r="G1191" t="str">
            <v>30</v>
          </cell>
          <cell r="H1191" t="str">
            <v>W- water corporation</v>
          </cell>
          <cell r="J1191" t="str">
            <v>20011031</v>
          </cell>
          <cell r="K1191" t="str">
            <v>115.735347057</v>
          </cell>
          <cell r="L1191" t="str">
            <v>-32.5551561829</v>
          </cell>
          <cell r="M1191" t="str">
            <v>H</v>
          </cell>
          <cell r="N1191" t="str">
            <v>76</v>
          </cell>
          <cell r="O1191" t="str">
            <v>DARWIN</v>
          </cell>
          <cell r="P1191" t="str">
            <v>TCE</v>
          </cell>
          <cell r="R1191" t="str">
            <v>DUDLEY PARK</v>
          </cell>
          <cell r="S1191" t="str">
            <v>6210</v>
          </cell>
        </row>
        <row r="1192">
          <cell r="D1192" t="str">
            <v>A- actual</v>
          </cell>
          <cell r="E1192" t="str">
            <v>PS- pump station</v>
          </cell>
          <cell r="H1192" t="str">
            <v>P- private</v>
          </cell>
          <cell r="J1192" t="str">
            <v>20020503</v>
          </cell>
          <cell r="K1192" t="str">
            <v>115.03835424</v>
          </cell>
          <cell r="L1192" t="str">
            <v>-30.307358966</v>
          </cell>
          <cell r="M1192" t="str">
            <v>H</v>
          </cell>
          <cell r="N1192" t="str">
            <v>38</v>
          </cell>
          <cell r="O1192" t="str">
            <v>HAMERSLEY</v>
          </cell>
          <cell r="P1192" t="str">
            <v>ST</v>
          </cell>
          <cell r="R1192" t="str">
            <v>JURIEN BAY</v>
          </cell>
          <cell r="S1192" t="str">
            <v>6516</v>
          </cell>
        </row>
        <row r="1193">
          <cell r="B1193" t="str">
            <v>S7000158</v>
          </cell>
          <cell r="C1193" t="str">
            <v>SPS BARRY CT EMU POINT</v>
          </cell>
          <cell r="D1193" t="str">
            <v>A- actual</v>
          </cell>
          <cell r="E1193" t="str">
            <v>PS- pump station</v>
          </cell>
          <cell r="F1193" t="str">
            <v>BARRY CT</v>
          </cell>
          <cell r="H1193" t="str">
            <v>W- water corporation</v>
          </cell>
          <cell r="J1193" t="str">
            <v>20000115</v>
          </cell>
          <cell r="K1193" t="str">
            <v>117.92568967</v>
          </cell>
          <cell r="L1193" t="str">
            <v>-35.00656464</v>
          </cell>
          <cell r="M1193" t="str">
            <v>H</v>
          </cell>
          <cell r="N1193" t="str">
            <v>4</v>
          </cell>
          <cell r="O1193" t="str">
            <v>BARRY</v>
          </cell>
          <cell r="P1193" t="str">
            <v>CT</v>
          </cell>
          <cell r="R1193" t="str">
            <v>COLLINGWOOD PARK</v>
          </cell>
          <cell r="S1193" t="str">
            <v>6330</v>
          </cell>
        </row>
        <row r="1194">
          <cell r="B1194" t="str">
            <v>S2003429</v>
          </cell>
          <cell r="C1194" t="str">
            <v>SPS BARTLETT CR KARRINYUP</v>
          </cell>
          <cell r="D1194" t="str">
            <v>A- actual</v>
          </cell>
          <cell r="E1194" t="str">
            <v>PS- pump station</v>
          </cell>
          <cell r="F1194" t="str">
            <v>BARTLETT CR</v>
          </cell>
          <cell r="G1194" t="str">
            <v>14</v>
          </cell>
          <cell r="H1194" t="str">
            <v>W- water corporation</v>
          </cell>
          <cell r="J1194" t="str">
            <v>20000814</v>
          </cell>
          <cell r="K1194" t="str">
            <v>115.785462441</v>
          </cell>
          <cell r="L1194" t="str">
            <v>-31.8793159081</v>
          </cell>
          <cell r="M1194" t="str">
            <v>H</v>
          </cell>
          <cell r="N1194" t="str">
            <v>45</v>
          </cell>
          <cell r="O1194" t="str">
            <v>BARTLETT</v>
          </cell>
          <cell r="P1194" t="str">
            <v>CR</v>
          </cell>
          <cell r="R1194" t="str">
            <v>KARRINYUP</v>
          </cell>
          <cell r="S1194" t="str">
            <v>6018</v>
          </cell>
        </row>
        <row r="1195">
          <cell r="B1195" t="str">
            <v>S0025924</v>
          </cell>
          <cell r="C1195" t="str">
            <v>SPS REUSE WWTP WYNDHAM</v>
          </cell>
          <cell r="D1195" t="str">
            <v>A- actual</v>
          </cell>
          <cell r="E1195" t="str">
            <v>PS- pump station</v>
          </cell>
          <cell r="F1195" t="str">
            <v>WYNDHAM WWTP</v>
          </cell>
          <cell r="G1195" t="str">
            <v>4</v>
          </cell>
          <cell r="H1195" t="str">
            <v>W- water corporation</v>
          </cell>
          <cell r="J1195" t="str">
            <v>19860130</v>
          </cell>
          <cell r="K1195" t="str">
            <v>128.114760789</v>
          </cell>
          <cell r="L1195" t="str">
            <v>-15.488100249</v>
          </cell>
          <cell r="M1195" t="str">
            <v>H</v>
          </cell>
          <cell r="N1195" t="str">
            <v>41</v>
          </cell>
          <cell r="O1195" t="str">
            <v>DURACK</v>
          </cell>
          <cell r="P1195" t="str">
            <v>RD</v>
          </cell>
          <cell r="R1195" t="str">
            <v>WYNDHAM</v>
          </cell>
          <cell r="S1195" t="str">
            <v>6740</v>
          </cell>
        </row>
        <row r="1196">
          <cell r="B1196" t="str">
            <v>S0025734</v>
          </cell>
          <cell r="C1196" t="str">
            <v>SPS 5 IVANHOE RD KUNUNURRA</v>
          </cell>
          <cell r="D1196" t="str">
            <v>A- actual</v>
          </cell>
          <cell r="E1196" t="str">
            <v>PS- pump station</v>
          </cell>
          <cell r="F1196" t="str">
            <v>IVANHOE RD</v>
          </cell>
          <cell r="G1196" t="str">
            <v>5</v>
          </cell>
          <cell r="H1196" t="str">
            <v>W- water corporation</v>
          </cell>
          <cell r="J1196" t="str">
            <v>19990427</v>
          </cell>
          <cell r="K1196" t="str">
            <v>128.731839984</v>
          </cell>
          <cell r="L1196" t="str">
            <v>-15.783441556</v>
          </cell>
          <cell r="M1196" t="str">
            <v>H</v>
          </cell>
          <cell r="N1196" t="str">
            <v>1</v>
          </cell>
          <cell r="O1196" t="str">
            <v>BANDICOOT</v>
          </cell>
          <cell r="P1196" t="str">
            <v>DR</v>
          </cell>
          <cell r="R1196" t="str">
            <v>KUNUNURRA</v>
          </cell>
          <cell r="S1196" t="str">
            <v>6743</v>
          </cell>
        </row>
        <row r="1197">
          <cell r="B1197" t="str">
            <v>S8000973</v>
          </cell>
          <cell r="C1197" t="str">
            <v>SPS SOUTH WEST HWY GLEN IRIS</v>
          </cell>
          <cell r="D1197" t="str">
            <v>A- actual</v>
          </cell>
          <cell r="E1197" t="str">
            <v>PS- pump station</v>
          </cell>
          <cell r="F1197" t="str">
            <v>SOUTH WEST HWY GLEN IRIS</v>
          </cell>
          <cell r="G1197" t="str">
            <v>36</v>
          </cell>
          <cell r="H1197" t="str">
            <v>W- water corporation</v>
          </cell>
          <cell r="J1197" t="str">
            <v>20020204</v>
          </cell>
          <cell r="K1197" t="str">
            <v>115.672101119</v>
          </cell>
          <cell r="L1197" t="str">
            <v>-33.3504633924</v>
          </cell>
          <cell r="M1197" t="str">
            <v>H</v>
          </cell>
          <cell r="N1197" t="str">
            <v>108</v>
          </cell>
          <cell r="O1197" t="str">
            <v>SOUTH WESTERN</v>
          </cell>
          <cell r="P1197" t="str">
            <v>HWY</v>
          </cell>
          <cell r="R1197" t="str">
            <v>GLEN IRIS</v>
          </cell>
          <cell r="S1197" t="str">
            <v>6230</v>
          </cell>
        </row>
        <row r="1198">
          <cell r="B1198" t="str">
            <v>S2008275</v>
          </cell>
          <cell r="C1198" t="str">
            <v>SPS SEBASTIAN CR COOLBELLUP</v>
          </cell>
          <cell r="D1198" t="str">
            <v>A- actual</v>
          </cell>
          <cell r="E1198" t="str">
            <v>PS- pump station</v>
          </cell>
          <cell r="F1198" t="str">
            <v>SEBASTIAN CR</v>
          </cell>
          <cell r="G1198" t="str">
            <v>5</v>
          </cell>
          <cell r="H1198" t="str">
            <v>W- water corporation</v>
          </cell>
          <cell r="J1198" t="str">
            <v>20020624</v>
          </cell>
          <cell r="K1198" t="str">
            <v>115.798903044</v>
          </cell>
          <cell r="L1198" t="str">
            <v>-32.0855188968</v>
          </cell>
          <cell r="M1198" t="str">
            <v>L</v>
          </cell>
          <cell r="N1198" t="str">
            <v>2159</v>
          </cell>
          <cell r="O1198" t="str">
            <v>CORDELIA</v>
          </cell>
          <cell r="P1198" t="str">
            <v>AV</v>
          </cell>
          <cell r="R1198" t="str">
            <v>COOLBELLUP</v>
          </cell>
          <cell r="S1198" t="str">
            <v>6163</v>
          </cell>
        </row>
        <row r="1199">
          <cell r="D1199" t="str">
            <v>N- not in use</v>
          </cell>
          <cell r="E1199" t="str">
            <v>PS- pump station</v>
          </cell>
          <cell r="F1199" t="str">
            <v>LOGUE RD CAMPSITE</v>
          </cell>
          <cell r="H1199" t="str">
            <v>P- private</v>
          </cell>
          <cell r="J1199" t="str">
            <v>20000101</v>
          </cell>
          <cell r="K1199" t="str">
            <v>115.899526676</v>
          </cell>
          <cell r="L1199" t="str">
            <v>-33.096663973</v>
          </cell>
          <cell r="M1199" t="str">
            <v>L</v>
          </cell>
          <cell r="N1199" t="str">
            <v>500</v>
          </cell>
          <cell r="O1199" t="str">
            <v>LOGUE</v>
          </cell>
          <cell r="P1199" t="str">
            <v>RD</v>
          </cell>
          <cell r="R1199" t="str">
            <v>HARVEY</v>
          </cell>
          <cell r="S1199" t="str">
            <v>6220</v>
          </cell>
        </row>
        <row r="1200">
          <cell r="D1200" t="str">
            <v>A- actual</v>
          </cell>
          <cell r="E1200" t="str">
            <v>PS- pump station</v>
          </cell>
          <cell r="F1200" t="str">
            <v>COLLIE ITALIAN CLUB</v>
          </cell>
          <cell r="H1200" t="str">
            <v>P- private</v>
          </cell>
          <cell r="J1200" t="str">
            <v>19940101</v>
          </cell>
          <cell r="K1200" t="str">
            <v>116.160092288</v>
          </cell>
          <cell r="L1200" t="str">
            <v>-33.3414964893</v>
          </cell>
          <cell r="M1200" t="str">
            <v>H</v>
          </cell>
          <cell r="N1200" t="str">
            <v>19</v>
          </cell>
          <cell r="O1200" t="str">
            <v>EWING</v>
          </cell>
          <cell r="P1200" t="str">
            <v>ST</v>
          </cell>
          <cell r="R1200" t="str">
            <v>COLLIE</v>
          </cell>
          <cell r="S1200" t="str">
            <v>6225</v>
          </cell>
        </row>
        <row r="1201">
          <cell r="D1201" t="str">
            <v>A- actual</v>
          </cell>
          <cell r="E1201" t="str">
            <v>PS- pump station</v>
          </cell>
          <cell r="F1201" t="str">
            <v>MCKENZIE PLUMBING</v>
          </cell>
          <cell r="H1201" t="str">
            <v>P- private</v>
          </cell>
          <cell r="J1201" t="str">
            <v>20000901</v>
          </cell>
          <cell r="K1201" t="str">
            <v>116.1422555</v>
          </cell>
          <cell r="L1201" t="str">
            <v>-34.248435367</v>
          </cell>
          <cell r="M1201" t="str">
            <v>H</v>
          </cell>
          <cell r="N1201" t="str">
            <v>2</v>
          </cell>
          <cell r="O1201" t="str">
            <v>PRITCHARD</v>
          </cell>
          <cell r="P1201" t="str">
            <v>ST</v>
          </cell>
          <cell r="R1201" t="str">
            <v>MANJIMUP</v>
          </cell>
          <cell r="S1201" t="str">
            <v>6258</v>
          </cell>
        </row>
        <row r="1202">
          <cell r="D1202" t="str">
            <v>A- actual</v>
          </cell>
          <cell r="E1202" t="str">
            <v>PS- pump station</v>
          </cell>
          <cell r="F1202" t="str">
            <v>LEEUWIN LODGE</v>
          </cell>
          <cell r="H1202" t="str">
            <v>P- private</v>
          </cell>
          <cell r="J1202" t="str">
            <v>20010719</v>
          </cell>
          <cell r="K1202" t="str">
            <v>115.157392455</v>
          </cell>
          <cell r="L1202" t="str">
            <v>-34.3039161754</v>
          </cell>
          <cell r="M1202" t="str">
            <v>L</v>
          </cell>
          <cell r="N1202" t="str">
            <v>502</v>
          </cell>
          <cell r="O1202" t="str">
            <v>BLACKWOOD</v>
          </cell>
          <cell r="P1202" t="str">
            <v>AV</v>
          </cell>
          <cell r="R1202" t="str">
            <v>AUGUSTA</v>
          </cell>
          <cell r="S1202" t="str">
            <v>6290</v>
          </cell>
        </row>
        <row r="1203">
          <cell r="D1203" t="str">
            <v>A- actual</v>
          </cell>
          <cell r="E1203" t="str">
            <v>PS- pump station</v>
          </cell>
          <cell r="F1203" t="str">
            <v>BRUNSWICK CARAVAN PARK</v>
          </cell>
          <cell r="H1203" t="str">
            <v>P- private</v>
          </cell>
          <cell r="J1203" t="str">
            <v>19950217</v>
          </cell>
          <cell r="K1203" t="str">
            <v>115.841847579</v>
          </cell>
          <cell r="L1203" t="str">
            <v>-33.250163253</v>
          </cell>
          <cell r="M1203" t="str">
            <v>H</v>
          </cell>
          <cell r="N1203" t="str">
            <v>13107</v>
          </cell>
          <cell r="O1203" t="str">
            <v>SOUTH WESTERN</v>
          </cell>
          <cell r="P1203" t="str">
            <v>HWY</v>
          </cell>
          <cell r="R1203" t="str">
            <v>BRUNSWICK</v>
          </cell>
          <cell r="S1203" t="str">
            <v>6224</v>
          </cell>
        </row>
        <row r="1204">
          <cell r="D1204" t="str">
            <v>A- actual</v>
          </cell>
          <cell r="E1204" t="str">
            <v>PS- pump station</v>
          </cell>
          <cell r="F1204" t="str">
            <v>MARGARET RIVER CARAVAN PARK</v>
          </cell>
          <cell r="H1204" t="str">
            <v>P- private</v>
          </cell>
          <cell r="J1204" t="str">
            <v>19950217</v>
          </cell>
          <cell r="K1204" t="str">
            <v>115.068954181</v>
          </cell>
          <cell r="L1204" t="str">
            <v>-33.96000965</v>
          </cell>
          <cell r="M1204" t="str">
            <v>H</v>
          </cell>
          <cell r="N1204" t="str">
            <v>56</v>
          </cell>
          <cell r="O1204" t="str">
            <v>STATION</v>
          </cell>
          <cell r="P1204" t="str">
            <v>RD</v>
          </cell>
          <cell r="R1204" t="str">
            <v>MARGARET RIVER</v>
          </cell>
          <cell r="S1204" t="str">
            <v>6285</v>
          </cell>
        </row>
        <row r="1205">
          <cell r="D1205" t="str">
            <v>A- actual</v>
          </cell>
          <cell r="E1205" t="str">
            <v>PS- pump station</v>
          </cell>
          <cell r="F1205" t="str">
            <v>NOVACARE VILLAGE</v>
          </cell>
          <cell r="H1205" t="str">
            <v>P- private</v>
          </cell>
          <cell r="J1205" t="str">
            <v>20010814</v>
          </cell>
          <cell r="K1205" t="str">
            <v>115.28255833</v>
          </cell>
          <cell r="L1205" t="str">
            <v>-33.661371265</v>
          </cell>
          <cell r="M1205" t="str">
            <v>H</v>
          </cell>
          <cell r="N1205" t="str">
            <v>502</v>
          </cell>
          <cell r="O1205" t="str">
            <v>BUSSELL</v>
          </cell>
          <cell r="P1205" t="str">
            <v>HWY</v>
          </cell>
          <cell r="R1205" t="str">
            <v>BROADWATER</v>
          </cell>
          <cell r="S1205" t="str">
            <v>6280</v>
          </cell>
        </row>
        <row r="1206">
          <cell r="B1206" t="str">
            <v>S2003221</v>
          </cell>
          <cell r="C1206" t="str">
            <v>SPS BROOKTON HWY KELMSCOTT</v>
          </cell>
          <cell r="D1206" t="str">
            <v>A- actual</v>
          </cell>
          <cell r="E1206" t="str">
            <v>PS- pump station</v>
          </cell>
          <cell r="F1206" t="str">
            <v>BROOKTON HWY</v>
          </cell>
          <cell r="G1206" t="str">
            <v>901-78</v>
          </cell>
          <cell r="H1206" t="str">
            <v>W- water corporation</v>
          </cell>
          <cell r="J1206" t="str">
            <v>20001015</v>
          </cell>
          <cell r="K1206" t="str">
            <v>116.024973931</v>
          </cell>
          <cell r="L1206" t="str">
            <v>-32.1297484697</v>
          </cell>
          <cell r="M1206" t="str">
            <v>H</v>
          </cell>
          <cell r="N1206" t="str">
            <v>70</v>
          </cell>
          <cell r="O1206" t="str">
            <v>BROOKTON</v>
          </cell>
          <cell r="P1206" t="str">
            <v>HWY</v>
          </cell>
          <cell r="R1206" t="str">
            <v>KELMSCOTT</v>
          </cell>
          <cell r="S1206" t="str">
            <v>6111</v>
          </cell>
        </row>
        <row r="1207">
          <cell r="D1207" t="str">
            <v>A- actual</v>
          </cell>
          <cell r="E1207" t="str">
            <v>PS- pump station</v>
          </cell>
          <cell r="F1207" t="str">
            <v>JURIEN HOTEL</v>
          </cell>
          <cell r="G1207" t="str">
            <v>1</v>
          </cell>
          <cell r="H1207" t="str">
            <v>P- private</v>
          </cell>
          <cell r="J1207" t="str">
            <v>20020701</v>
          </cell>
          <cell r="K1207" t="str">
            <v>115.037508465</v>
          </cell>
          <cell r="L1207" t="str">
            <v>-30.3051813006</v>
          </cell>
          <cell r="M1207" t="str">
            <v>H</v>
          </cell>
          <cell r="N1207" t="str">
            <v>5</v>
          </cell>
          <cell r="O1207" t="str">
            <v>WHITE</v>
          </cell>
          <cell r="P1207" t="str">
            <v>ST</v>
          </cell>
          <cell r="R1207" t="str">
            <v>JURIEN BAY</v>
          </cell>
          <cell r="S1207" t="str">
            <v>6516</v>
          </cell>
        </row>
        <row r="1208">
          <cell r="D1208" t="str">
            <v>A- actual</v>
          </cell>
          <cell r="E1208" t="str">
            <v>PS- pump station</v>
          </cell>
          <cell r="F1208" t="str">
            <v>JURIEN HOTEL</v>
          </cell>
          <cell r="G1208" t="str">
            <v>2</v>
          </cell>
          <cell r="H1208" t="str">
            <v>P- private</v>
          </cell>
          <cell r="J1208" t="str">
            <v>20020701</v>
          </cell>
          <cell r="K1208" t="str">
            <v>115.037862241</v>
          </cell>
          <cell r="L1208" t="str">
            <v>-30.3055165518</v>
          </cell>
          <cell r="M1208" t="str">
            <v>H</v>
          </cell>
          <cell r="N1208" t="str">
            <v>1</v>
          </cell>
          <cell r="O1208" t="str">
            <v>WHITE</v>
          </cell>
          <cell r="P1208" t="str">
            <v>ST</v>
          </cell>
          <cell r="R1208" t="str">
            <v>JURIEN BAY</v>
          </cell>
          <cell r="S1208" t="str">
            <v>6516</v>
          </cell>
        </row>
        <row r="1209">
          <cell r="B1209" t="str">
            <v>S2008770</v>
          </cell>
          <cell r="C1209" t="str">
            <v>SPS ROCKINGHAM BEACH RD ROCKINGHAM</v>
          </cell>
          <cell r="D1209" t="str">
            <v>A- actual</v>
          </cell>
          <cell r="E1209" t="str">
            <v>PS- pump station</v>
          </cell>
          <cell r="F1209" t="str">
            <v>ROCKINGHAM BCH RD</v>
          </cell>
          <cell r="G1209" t="str">
            <v>4</v>
          </cell>
          <cell r="H1209" t="str">
            <v>W- water corporation</v>
          </cell>
          <cell r="J1209" t="str">
            <v>20020801</v>
          </cell>
          <cell r="K1209" t="str">
            <v>115.742455492</v>
          </cell>
          <cell r="L1209" t="str">
            <v>-32.2669330296</v>
          </cell>
          <cell r="M1209" t="str">
            <v>H</v>
          </cell>
          <cell r="N1209" t="str">
            <v>137</v>
          </cell>
          <cell r="O1209" t="str">
            <v>ROCKINGHAM BEACH</v>
          </cell>
          <cell r="P1209" t="str">
            <v>RD</v>
          </cell>
          <cell r="R1209" t="str">
            <v>ROCKINGHAM</v>
          </cell>
          <cell r="S1209" t="str">
            <v>6168</v>
          </cell>
        </row>
        <row r="1210">
          <cell r="B1210" t="str">
            <v>S8003706</v>
          </cell>
          <cell r="C1210" t="str">
            <v>SPS SEAGRASS PL GNARABUP</v>
          </cell>
          <cell r="D1210" t="str">
            <v>A- actual</v>
          </cell>
          <cell r="E1210" t="str">
            <v>PS- pump station</v>
          </cell>
          <cell r="F1210" t="str">
            <v>SEAGRASS PL</v>
          </cell>
          <cell r="H1210" t="str">
            <v>W- water corporation</v>
          </cell>
          <cell r="J1210" t="str">
            <v>20020308</v>
          </cell>
          <cell r="K1210" t="str">
            <v>114.99374172</v>
          </cell>
          <cell r="L1210" t="str">
            <v>-33.995794468</v>
          </cell>
          <cell r="M1210" t="str">
            <v>L</v>
          </cell>
          <cell r="N1210" t="str">
            <v>702</v>
          </cell>
          <cell r="O1210" t="str">
            <v>SEAGRASS</v>
          </cell>
          <cell r="P1210" t="str">
            <v>PL</v>
          </cell>
          <cell r="R1210" t="str">
            <v>GNARABUP</v>
          </cell>
          <cell r="S1210" t="str">
            <v>6285</v>
          </cell>
        </row>
        <row r="1211">
          <cell r="D1211" t="str">
            <v>A- actual</v>
          </cell>
          <cell r="E1211" t="str">
            <v>PS- pump station</v>
          </cell>
          <cell r="F1211" t="str">
            <v>MIDLAND SOBERING UP SHELTER</v>
          </cell>
          <cell r="H1211" t="str">
            <v>P- private</v>
          </cell>
          <cell r="J1211" t="str">
            <v>20000501</v>
          </cell>
          <cell r="K1211" t="str">
            <v>116.005455497</v>
          </cell>
          <cell r="L1211" t="str">
            <v>-31.874594282</v>
          </cell>
          <cell r="M1211" t="str">
            <v>H</v>
          </cell>
          <cell r="N1211" t="str">
            <v>41</v>
          </cell>
          <cell r="O1211" t="str">
            <v>EVELINE</v>
          </cell>
          <cell r="P1211" t="str">
            <v>RD</v>
          </cell>
          <cell r="R1211" t="str">
            <v>MIDDLE SWAN</v>
          </cell>
          <cell r="S1211" t="str">
            <v>6056</v>
          </cell>
        </row>
        <row r="1212">
          <cell r="B1212" t="str">
            <v>S400838</v>
          </cell>
          <cell r="C1212" t="str">
            <v>VPS AUGUSTUS ST BEACHLANDS</v>
          </cell>
          <cell r="D1212" t="str">
            <v>A- actual</v>
          </cell>
          <cell r="E1212" t="str">
            <v>VPS- vacuum pump station</v>
          </cell>
          <cell r="F1212" t="str">
            <v>AUGUSTUS ST</v>
          </cell>
          <cell r="H1212" t="str">
            <v>W- water corporation</v>
          </cell>
          <cell r="J1212" t="str">
            <v>20020213</v>
          </cell>
          <cell r="K1212" t="str">
            <v>114.602778045</v>
          </cell>
          <cell r="L1212" t="str">
            <v>-28.7822872786</v>
          </cell>
          <cell r="M1212" t="str">
            <v>H</v>
          </cell>
          <cell r="N1212" t="str">
            <v>176</v>
          </cell>
          <cell r="O1212" t="str">
            <v>SHENTON</v>
          </cell>
          <cell r="P1212" t="str">
            <v>ST</v>
          </cell>
          <cell r="R1212" t="str">
            <v>BEACHLANDS</v>
          </cell>
          <cell r="S1212" t="str">
            <v>6530</v>
          </cell>
        </row>
        <row r="1213">
          <cell r="B1213" t="str">
            <v>S2014219</v>
          </cell>
          <cell r="C1213" t="str">
            <v>LPPS H04 MACCABEAN AV DIANELLA</v>
          </cell>
          <cell r="D1213" t="str">
            <v>A- actual</v>
          </cell>
          <cell r="E1213" t="str">
            <v>LPPS- low pressure pump station</v>
          </cell>
          <cell r="F1213" t="str">
            <v>MACCABEAN AVE</v>
          </cell>
          <cell r="G1213" t="str">
            <v>1</v>
          </cell>
          <cell r="H1213" t="str">
            <v>W- water corporation</v>
          </cell>
          <cell r="J1213" t="str">
            <v>20020829</v>
          </cell>
          <cell r="K1213" t="str">
            <v>115.857413262</v>
          </cell>
          <cell r="L1213" t="str">
            <v>-31.893851387</v>
          </cell>
          <cell r="M1213" t="str">
            <v>H</v>
          </cell>
          <cell r="N1213" t="str">
            <v>4</v>
          </cell>
          <cell r="O1213" t="str">
            <v>MACCABEAN</v>
          </cell>
          <cell r="P1213" t="str">
            <v>AV</v>
          </cell>
          <cell r="R1213" t="str">
            <v>DIANELLA</v>
          </cell>
          <cell r="S1213" t="str">
            <v>6059</v>
          </cell>
        </row>
        <row r="1214">
          <cell r="B1214" t="str">
            <v>S2014220</v>
          </cell>
          <cell r="C1214" t="str">
            <v>LPPS H06 MACCABEAN AV DIANELLA</v>
          </cell>
          <cell r="D1214" t="str">
            <v>A- actual</v>
          </cell>
          <cell r="E1214" t="str">
            <v>LPPS- low pressure pump station</v>
          </cell>
          <cell r="F1214" t="str">
            <v>MACCABEAN AVE</v>
          </cell>
          <cell r="G1214" t="str">
            <v>2</v>
          </cell>
          <cell r="H1214" t="str">
            <v>W- water corporation</v>
          </cell>
          <cell r="J1214" t="str">
            <v>20020829</v>
          </cell>
          <cell r="K1214" t="str">
            <v>115.857841258</v>
          </cell>
          <cell r="L1214" t="str">
            <v>-31.8939624381</v>
          </cell>
          <cell r="M1214" t="str">
            <v>H</v>
          </cell>
          <cell r="N1214" t="str">
            <v>7</v>
          </cell>
          <cell r="O1214" t="str">
            <v>SEYMOUR</v>
          </cell>
          <cell r="P1214" t="str">
            <v>AV</v>
          </cell>
          <cell r="R1214" t="str">
            <v>DIANELLA</v>
          </cell>
          <cell r="S1214" t="str">
            <v>6059</v>
          </cell>
        </row>
        <row r="1215">
          <cell r="B1215" t="str">
            <v>S2014221</v>
          </cell>
          <cell r="C1215" t="str">
            <v>LPPS H08 MACCABEAN AV DIANELLA</v>
          </cell>
          <cell r="D1215" t="str">
            <v>A- actual</v>
          </cell>
          <cell r="E1215" t="str">
            <v>LPPS- low pressure pump station</v>
          </cell>
          <cell r="F1215" t="str">
            <v>MACCABEAN AVE</v>
          </cell>
          <cell r="G1215" t="str">
            <v>3</v>
          </cell>
          <cell r="H1215" t="str">
            <v>W- water corporation</v>
          </cell>
          <cell r="J1215" t="str">
            <v>20020829</v>
          </cell>
          <cell r="K1215" t="str">
            <v>115.857904427</v>
          </cell>
          <cell r="L1215" t="str">
            <v>-31.8934341837</v>
          </cell>
          <cell r="M1215" t="str">
            <v>H</v>
          </cell>
          <cell r="N1215" t="str">
            <v>10</v>
          </cell>
          <cell r="O1215" t="str">
            <v>MACCABEAN</v>
          </cell>
          <cell r="P1215" t="str">
            <v>AV</v>
          </cell>
          <cell r="R1215" t="str">
            <v>DIANELLA</v>
          </cell>
          <cell r="S1215" t="str">
            <v>6059</v>
          </cell>
        </row>
        <row r="1216">
          <cell r="B1216" t="str">
            <v>S2014222</v>
          </cell>
          <cell r="C1216" t="str">
            <v>LPPS H10 MACCABEAN AV DIANELLA</v>
          </cell>
          <cell r="D1216" t="str">
            <v>A- actual</v>
          </cell>
          <cell r="E1216" t="str">
            <v>LPPS- low pressure pump station</v>
          </cell>
          <cell r="F1216" t="str">
            <v>MACCABEAN AVE</v>
          </cell>
          <cell r="G1216" t="str">
            <v>4</v>
          </cell>
          <cell r="H1216" t="str">
            <v>W- water corporation</v>
          </cell>
          <cell r="J1216" t="str">
            <v>20020829</v>
          </cell>
          <cell r="K1216" t="str">
            <v>115.858060453</v>
          </cell>
          <cell r="L1216" t="str">
            <v>-31.8933015382</v>
          </cell>
          <cell r="M1216" t="str">
            <v>H</v>
          </cell>
          <cell r="N1216" t="str">
            <v>12</v>
          </cell>
          <cell r="O1216" t="str">
            <v>MACCABEAN</v>
          </cell>
          <cell r="P1216" t="str">
            <v>AV</v>
          </cell>
          <cell r="R1216" t="str">
            <v>DIANELLA</v>
          </cell>
          <cell r="S1216" t="str">
            <v>6059</v>
          </cell>
        </row>
        <row r="1217">
          <cell r="B1217" t="str">
            <v>S2014223</v>
          </cell>
          <cell r="C1217" t="str">
            <v>LPPS H14 MACCABEAN AV DIANELLA</v>
          </cell>
          <cell r="D1217" t="str">
            <v>A- actual</v>
          </cell>
          <cell r="E1217" t="str">
            <v>LPPS- low pressure pump station</v>
          </cell>
          <cell r="F1217" t="str">
            <v>MACCABEAN AVE</v>
          </cell>
          <cell r="G1217" t="str">
            <v>5</v>
          </cell>
          <cell r="H1217" t="str">
            <v>W- water corporation</v>
          </cell>
          <cell r="J1217" t="str">
            <v>20020829</v>
          </cell>
          <cell r="K1217" t="str">
            <v>115.85821648</v>
          </cell>
          <cell r="L1217" t="str">
            <v>-31.8931688884</v>
          </cell>
          <cell r="M1217" t="str">
            <v>H</v>
          </cell>
          <cell r="N1217" t="str">
            <v>14</v>
          </cell>
          <cell r="O1217" t="str">
            <v>MACCABEAN</v>
          </cell>
          <cell r="P1217" t="str">
            <v>AV</v>
          </cell>
          <cell r="R1217" t="str">
            <v>DIANELLA</v>
          </cell>
          <cell r="S1217" t="str">
            <v>6059</v>
          </cell>
        </row>
        <row r="1218">
          <cell r="B1218" t="str">
            <v>S2014224</v>
          </cell>
          <cell r="C1218" t="str">
            <v>LPPS H16 MACCABEAN AV DIANELLA</v>
          </cell>
          <cell r="D1218" t="str">
            <v>A- actual</v>
          </cell>
          <cell r="E1218" t="str">
            <v>LPPS- low pressure pump station</v>
          </cell>
          <cell r="F1218" t="str">
            <v>MACCABEAN AVE</v>
          </cell>
          <cell r="G1218" t="str">
            <v>6</v>
          </cell>
          <cell r="H1218" t="str">
            <v>W- water corporation</v>
          </cell>
          <cell r="J1218" t="str">
            <v>20020829</v>
          </cell>
          <cell r="K1218" t="str">
            <v>115.858372488</v>
          </cell>
          <cell r="L1218" t="str">
            <v>-31.8930362508</v>
          </cell>
          <cell r="M1218" t="str">
            <v>H</v>
          </cell>
          <cell r="N1218" t="str">
            <v>16</v>
          </cell>
          <cell r="O1218" t="str">
            <v>MACCABEAN</v>
          </cell>
          <cell r="P1218" t="str">
            <v>AV</v>
          </cell>
          <cell r="R1218" t="str">
            <v>DIANELLA</v>
          </cell>
          <cell r="S1218" t="str">
            <v>6059</v>
          </cell>
        </row>
        <row r="1219">
          <cell r="B1219" t="str">
            <v>S2007296</v>
          </cell>
          <cell r="C1219" t="str">
            <v>SPS RINALDI CR KARRINYUP</v>
          </cell>
          <cell r="D1219" t="str">
            <v>A- actual</v>
          </cell>
          <cell r="E1219" t="str">
            <v>PS- pump station</v>
          </cell>
          <cell r="F1219" t="str">
            <v>RINALDI CR</v>
          </cell>
          <cell r="G1219" t="str">
            <v>8</v>
          </cell>
          <cell r="H1219" t="str">
            <v>W- water corporation</v>
          </cell>
          <cell r="J1219" t="str">
            <v>20020919</v>
          </cell>
          <cell r="K1219" t="str">
            <v>115.765156387</v>
          </cell>
          <cell r="L1219" t="str">
            <v>-31.882479012</v>
          </cell>
          <cell r="M1219" t="str">
            <v>H</v>
          </cell>
          <cell r="N1219" t="str">
            <v>27</v>
          </cell>
          <cell r="O1219" t="str">
            <v>RINALDI</v>
          </cell>
          <cell r="P1219" t="str">
            <v>CR</v>
          </cell>
          <cell r="R1219" t="str">
            <v>KARRINYUP</v>
          </cell>
          <cell r="S1219" t="str">
            <v>6018</v>
          </cell>
        </row>
        <row r="1220">
          <cell r="D1220" t="str">
            <v>A- actual</v>
          </cell>
          <cell r="E1220" t="str">
            <v>PS- pump station</v>
          </cell>
          <cell r="F1220" t="str">
            <v>STANLEY ST</v>
          </cell>
          <cell r="H1220" t="str">
            <v>P- private</v>
          </cell>
          <cell r="J1220" t="str">
            <v>20021004</v>
          </cell>
          <cell r="K1220" t="str">
            <v>123.649943638</v>
          </cell>
          <cell r="L1220" t="str">
            <v>-17.30825302</v>
          </cell>
          <cell r="M1220" t="str">
            <v>H</v>
          </cell>
          <cell r="N1220" t="str">
            <v>72</v>
          </cell>
          <cell r="O1220" t="str">
            <v>STANLEY</v>
          </cell>
          <cell r="P1220" t="str">
            <v>ST</v>
          </cell>
          <cell r="R1220" t="str">
            <v>DERBY</v>
          </cell>
          <cell r="S1220" t="str">
            <v>6728</v>
          </cell>
        </row>
        <row r="1221">
          <cell r="D1221" t="str">
            <v>A- actual</v>
          </cell>
          <cell r="E1221" t="str">
            <v>PS- pump station</v>
          </cell>
          <cell r="F1221" t="str">
            <v>MOTORPLEX</v>
          </cell>
          <cell r="H1221" t="str">
            <v>P- private</v>
          </cell>
          <cell r="J1221" t="str">
            <v>20001212</v>
          </cell>
          <cell r="K1221" t="str">
            <v>115.797183371</v>
          </cell>
          <cell r="L1221" t="str">
            <v>-32.223547586</v>
          </cell>
          <cell r="M1221" t="str">
            <v>H</v>
          </cell>
          <cell r="N1221" t="str">
            <v>175</v>
          </cell>
          <cell r="O1221" t="str">
            <v>THOMAS</v>
          </cell>
          <cell r="P1221" t="str">
            <v>RD</v>
          </cell>
          <cell r="R1221" t="str">
            <v>KWINANA BEACH</v>
          </cell>
          <cell r="S1221" t="str">
            <v>6167</v>
          </cell>
        </row>
        <row r="1222">
          <cell r="B1222" t="str">
            <v>S8003705</v>
          </cell>
          <cell r="C1222" t="str">
            <v>SPS PEBBLE BEACH BVD MEADOW SPRINGS</v>
          </cell>
          <cell r="D1222" t="str">
            <v>A- actual</v>
          </cell>
          <cell r="E1222" t="str">
            <v>PS- pump station</v>
          </cell>
          <cell r="F1222" t="str">
            <v>PEBBLE BEACH BVD</v>
          </cell>
          <cell r="G1222" t="str">
            <v>4</v>
          </cell>
          <cell r="H1222" t="str">
            <v>W- water corporation</v>
          </cell>
          <cell r="J1222" t="str">
            <v>20020814</v>
          </cell>
          <cell r="K1222" t="str">
            <v>115.749222689</v>
          </cell>
          <cell r="L1222" t="str">
            <v>-32.492789629</v>
          </cell>
          <cell r="M1222" t="str">
            <v>H</v>
          </cell>
          <cell r="N1222" t="str">
            <v>35</v>
          </cell>
          <cell r="O1222" t="str">
            <v>PEBBLE BEACH</v>
          </cell>
          <cell r="P1222" t="str">
            <v>BVD</v>
          </cell>
          <cell r="R1222" t="str">
            <v>MEADOW SPRINGS</v>
          </cell>
          <cell r="S1222" t="str">
            <v>6210</v>
          </cell>
        </row>
        <row r="1223">
          <cell r="B1223" t="str">
            <v>S2008270</v>
          </cell>
          <cell r="C1223" t="str">
            <v>SPS GNANGARA RD HENLEY BROOK</v>
          </cell>
          <cell r="D1223" t="str">
            <v>A- actual</v>
          </cell>
          <cell r="E1223" t="str">
            <v>PS- pump station</v>
          </cell>
          <cell r="F1223" t="str">
            <v>GNANGARA RD INTERIM 902-11</v>
          </cell>
          <cell r="H1223" t="str">
            <v>W- water corporation</v>
          </cell>
          <cell r="J1223" t="str">
            <v>20021010</v>
          </cell>
          <cell r="K1223" t="str">
            <v>115.980311159</v>
          </cell>
          <cell r="L1223" t="str">
            <v>-31.7950152503</v>
          </cell>
          <cell r="M1223" t="str">
            <v>H</v>
          </cell>
          <cell r="N1223" t="str">
            <v>1549</v>
          </cell>
          <cell r="O1223" t="str">
            <v>GNANGARA</v>
          </cell>
          <cell r="P1223" t="str">
            <v>RD</v>
          </cell>
          <cell r="R1223" t="str">
            <v>AVELEY</v>
          </cell>
          <cell r="S1223" t="str">
            <v>6069</v>
          </cell>
        </row>
        <row r="1224">
          <cell r="B1224" t="str">
            <v>S7001165</v>
          </cell>
          <cell r="C1224" t="str">
            <v>SPS RANGE RD YAKAMIA</v>
          </cell>
          <cell r="D1224" t="str">
            <v>A- actual</v>
          </cell>
          <cell r="E1224" t="str">
            <v>PS- pump station</v>
          </cell>
          <cell r="F1224" t="str">
            <v>RANGE RD YAKAMIA</v>
          </cell>
          <cell r="G1224" t="str">
            <v>27</v>
          </cell>
          <cell r="H1224" t="str">
            <v>W- water corporation</v>
          </cell>
          <cell r="J1224" t="str">
            <v>20021031</v>
          </cell>
          <cell r="K1224" t="str">
            <v>117.885762185</v>
          </cell>
          <cell r="L1224" t="str">
            <v>-34.9976131755</v>
          </cell>
          <cell r="M1224" t="str">
            <v>L</v>
          </cell>
          <cell r="N1224" t="str">
            <v>1000</v>
          </cell>
          <cell r="O1224" t="str">
            <v>CALLISTEMON</v>
          </cell>
          <cell r="P1224" t="str">
            <v>VIEW</v>
          </cell>
          <cell r="R1224" t="str">
            <v>YAKAMIA</v>
          </cell>
          <cell r="S1224" t="str">
            <v>6330</v>
          </cell>
        </row>
        <row r="1225">
          <cell r="D1225" t="str">
            <v>A- actual</v>
          </cell>
          <cell r="E1225" t="str">
            <v>PS- pump station</v>
          </cell>
          <cell r="F1225" t="str">
            <v>DERBY WHARF AREA</v>
          </cell>
          <cell r="H1225" t="str">
            <v>P- private</v>
          </cell>
          <cell r="J1225" t="str">
            <v>20010115</v>
          </cell>
          <cell r="K1225" t="str">
            <v>123.616034414</v>
          </cell>
          <cell r="L1225" t="str">
            <v>-17.2965811606</v>
          </cell>
          <cell r="M1225" t="str">
            <v>H</v>
          </cell>
          <cell r="N1225" t="str">
            <v>2</v>
          </cell>
          <cell r="O1225" t="str">
            <v>ELDER</v>
          </cell>
          <cell r="P1225" t="str">
            <v>ST</v>
          </cell>
          <cell r="R1225" t="str">
            <v>DERBY</v>
          </cell>
          <cell r="S1225" t="str">
            <v>6728</v>
          </cell>
        </row>
        <row r="1226">
          <cell r="B1226" t="str">
            <v>S2009290</v>
          </cell>
          <cell r="C1226" t="str">
            <v>SPS STUART DR HENDERSON</v>
          </cell>
          <cell r="D1226" t="str">
            <v>A- actual</v>
          </cell>
          <cell r="E1226" t="str">
            <v>PS- pump station</v>
          </cell>
          <cell r="F1226" t="str">
            <v>STUART DR</v>
          </cell>
          <cell r="G1226" t="str">
            <v>4</v>
          </cell>
          <cell r="H1226" t="str">
            <v>W- water corporation</v>
          </cell>
          <cell r="J1226" t="str">
            <v>20021208</v>
          </cell>
          <cell r="K1226" t="str">
            <v>115.77631488</v>
          </cell>
          <cell r="L1226" t="str">
            <v>-32.16381291</v>
          </cell>
          <cell r="M1226" t="str">
            <v>L</v>
          </cell>
          <cell r="N1226" t="str">
            <v>22002</v>
          </cell>
          <cell r="O1226" t="str">
            <v>STUART</v>
          </cell>
          <cell r="P1226" t="str">
            <v>DR</v>
          </cell>
          <cell r="R1226" t="str">
            <v>HENDERSON</v>
          </cell>
          <cell r="S1226" t="str">
            <v>6166</v>
          </cell>
        </row>
        <row r="1227">
          <cell r="D1227" t="str">
            <v>A- actual</v>
          </cell>
          <cell r="E1227" t="str">
            <v>PS- pump station</v>
          </cell>
          <cell r="F1227" t="str">
            <v>BCG AUSTRALIA</v>
          </cell>
          <cell r="H1227" t="str">
            <v>P- private</v>
          </cell>
          <cell r="J1227" t="str">
            <v>20020612</v>
          </cell>
          <cell r="K1227" t="str">
            <v>115.999784129</v>
          </cell>
          <cell r="L1227" t="str">
            <v>-31.907945932</v>
          </cell>
          <cell r="M1227" t="str">
            <v>H</v>
          </cell>
          <cell r="N1227" t="str">
            <v>290</v>
          </cell>
          <cell r="O1227" t="str">
            <v>BUSHMEAD</v>
          </cell>
          <cell r="P1227" t="str">
            <v>RD</v>
          </cell>
          <cell r="R1227" t="str">
            <v>HAZELMERE</v>
          </cell>
          <cell r="S1227" t="str">
            <v>6055</v>
          </cell>
        </row>
        <row r="1228">
          <cell r="B1228" t="str">
            <v>S8003821</v>
          </cell>
          <cell r="C1228" t="str">
            <v>SPS ADAM ST NANNUP</v>
          </cell>
          <cell r="D1228" t="str">
            <v>A- actual</v>
          </cell>
          <cell r="E1228" t="str">
            <v>PS- pump station</v>
          </cell>
          <cell r="F1228" t="str">
            <v>ADAM ST</v>
          </cell>
          <cell r="G1228" t="str">
            <v>1</v>
          </cell>
          <cell r="H1228" t="str">
            <v>W- water corporation</v>
          </cell>
          <cell r="J1228" t="str">
            <v>20011201</v>
          </cell>
          <cell r="K1228" t="str">
            <v>115.765605277</v>
          </cell>
          <cell r="L1228" t="str">
            <v>-33.9787001117</v>
          </cell>
          <cell r="M1228" t="str">
            <v>L</v>
          </cell>
          <cell r="N1228" t="str">
            <v>253</v>
          </cell>
          <cell r="O1228" t="str">
            <v>GRANGE</v>
          </cell>
          <cell r="P1228" t="str">
            <v>RD</v>
          </cell>
          <cell r="R1228" t="str">
            <v>NANNUP</v>
          </cell>
          <cell r="S1228" t="str">
            <v>6275</v>
          </cell>
        </row>
        <row r="1229">
          <cell r="B1229" t="str">
            <v>S2016013</v>
          </cell>
          <cell r="C1229" t="str">
            <v>SPS PELICAN PT KIOSK CRAWLEY</v>
          </cell>
          <cell r="D1229" t="str">
            <v>A- actual</v>
          </cell>
          <cell r="E1229" t="str">
            <v>PS- pump station</v>
          </cell>
          <cell r="F1229" t="str">
            <v>PELICAN PT KIOSK</v>
          </cell>
          <cell r="H1229" t="str">
            <v>W- water corporation</v>
          </cell>
          <cell r="J1229" t="str">
            <v>19880328</v>
          </cell>
          <cell r="K1229" t="str">
            <v>115.821093743</v>
          </cell>
          <cell r="L1229" t="str">
            <v>-31.9821795207</v>
          </cell>
          <cell r="M1229" t="str">
            <v>H</v>
          </cell>
          <cell r="N1229" t="str">
            <v>5</v>
          </cell>
          <cell r="O1229" t="str">
            <v>HACKETT</v>
          </cell>
          <cell r="P1229" t="str">
            <v>DR</v>
          </cell>
          <cell r="R1229" t="str">
            <v>CRAWLEY</v>
          </cell>
          <cell r="S1229" t="str">
            <v>6009</v>
          </cell>
        </row>
        <row r="1230">
          <cell r="B1230" t="str">
            <v>S2004018</v>
          </cell>
          <cell r="C1230" t="str">
            <v>SPS PADBURY CIR SORRENTO</v>
          </cell>
          <cell r="D1230" t="str">
            <v>A- actual</v>
          </cell>
          <cell r="E1230" t="str">
            <v>PS- pump station</v>
          </cell>
          <cell r="F1230" t="str">
            <v>PADBURY CIR</v>
          </cell>
          <cell r="G1230" t="str">
            <v>18</v>
          </cell>
          <cell r="H1230" t="str">
            <v>W- water corporation</v>
          </cell>
          <cell r="J1230" t="str">
            <v>20030501</v>
          </cell>
          <cell r="K1230" t="str">
            <v>115.750047546</v>
          </cell>
          <cell r="L1230" t="str">
            <v>-31.8304115975</v>
          </cell>
          <cell r="M1230" t="str">
            <v>H</v>
          </cell>
          <cell r="N1230" t="str">
            <v>1</v>
          </cell>
          <cell r="O1230" t="str">
            <v>FROBISHER</v>
          </cell>
          <cell r="P1230" t="str">
            <v>AV</v>
          </cell>
          <cell r="R1230" t="str">
            <v>SORRENTO</v>
          </cell>
          <cell r="S1230" t="str">
            <v>6020</v>
          </cell>
        </row>
        <row r="1231">
          <cell r="D1231" t="str">
            <v>A- actual</v>
          </cell>
          <cell r="E1231" t="str">
            <v>PS- pump station</v>
          </cell>
          <cell r="F1231" t="str">
            <v>PT LOT 5 DROVERS PL</v>
          </cell>
          <cell r="H1231" t="str">
            <v>P- private</v>
          </cell>
          <cell r="J1231" t="str">
            <v>20021210</v>
          </cell>
          <cell r="K1231" t="str">
            <v>115.777601848</v>
          </cell>
          <cell r="L1231" t="str">
            <v>-31.7201175017</v>
          </cell>
          <cell r="M1231" t="str">
            <v>H</v>
          </cell>
          <cell r="N1231" t="str">
            <v>33</v>
          </cell>
          <cell r="O1231" t="str">
            <v>DROVERS</v>
          </cell>
          <cell r="P1231" t="str">
            <v>PL</v>
          </cell>
          <cell r="R1231" t="str">
            <v>WANNEROO</v>
          </cell>
          <cell r="S1231" t="str">
            <v>6065</v>
          </cell>
        </row>
        <row r="1232">
          <cell r="B1232" t="str">
            <v>S4000971</v>
          </cell>
          <cell r="C1232" t="str">
            <v>SPS WHITWORTH ST W2 SUNSET BEACH</v>
          </cell>
          <cell r="D1232" t="str">
            <v>A- actual</v>
          </cell>
          <cell r="E1232" t="str">
            <v>PS- pump station</v>
          </cell>
          <cell r="F1232" t="str">
            <v>WHITWORTH ST</v>
          </cell>
          <cell r="H1232" t="str">
            <v>W- water corporation</v>
          </cell>
          <cell r="J1232" t="str">
            <v>20020416</v>
          </cell>
          <cell r="K1232" t="str">
            <v>114.62223964</v>
          </cell>
          <cell r="L1232" t="str">
            <v>-28.718403769</v>
          </cell>
          <cell r="M1232" t="str">
            <v>H</v>
          </cell>
          <cell r="N1232" t="str">
            <v>75</v>
          </cell>
          <cell r="O1232" t="str">
            <v>MOORINGS</v>
          </cell>
          <cell r="P1232" t="str">
            <v>LOOP</v>
          </cell>
          <cell r="R1232" t="str">
            <v>SUNSET BEACH</v>
          </cell>
          <cell r="S1232" t="str">
            <v>6530</v>
          </cell>
        </row>
        <row r="1233">
          <cell r="B1233" t="str">
            <v>S8000842</v>
          </cell>
          <cell r="C1233" t="str">
            <v>SPS WESTVIEW PDE WANNANUP</v>
          </cell>
          <cell r="D1233" t="str">
            <v>A- actual</v>
          </cell>
          <cell r="E1233" t="str">
            <v>PS- pump station</v>
          </cell>
          <cell r="F1233" t="str">
            <v>WESTVIEW PDE</v>
          </cell>
          <cell r="G1233" t="str">
            <v>7</v>
          </cell>
          <cell r="H1233" t="str">
            <v>W- water corporation</v>
          </cell>
          <cell r="J1233" t="str">
            <v>20000713</v>
          </cell>
          <cell r="K1233" t="str">
            <v>115.639374877</v>
          </cell>
          <cell r="L1233" t="str">
            <v>-32.595700101</v>
          </cell>
          <cell r="M1233" t="str">
            <v>H</v>
          </cell>
          <cell r="N1233" t="str">
            <v>13</v>
          </cell>
          <cell r="O1233" t="str">
            <v>WESTVIEW</v>
          </cell>
          <cell r="P1233" t="str">
            <v>PDE</v>
          </cell>
          <cell r="R1233" t="str">
            <v>WANNANUP</v>
          </cell>
          <cell r="S1233" t="str">
            <v>6210</v>
          </cell>
        </row>
        <row r="1234">
          <cell r="B1234" t="str">
            <v>S2008775</v>
          </cell>
          <cell r="C1234" t="str">
            <v>SPS CHARTHOUSE RD SAFETY BAY</v>
          </cell>
          <cell r="D1234" t="str">
            <v>A- actual</v>
          </cell>
          <cell r="E1234" t="str">
            <v>PS- pump station</v>
          </cell>
          <cell r="F1234" t="str">
            <v>CHARTHOUSE RD</v>
          </cell>
          <cell r="G1234" t="str">
            <v>19</v>
          </cell>
          <cell r="H1234" t="str">
            <v>W- water corporation</v>
          </cell>
          <cell r="J1234" t="str">
            <v>20020830</v>
          </cell>
          <cell r="K1234" t="str">
            <v>115.738760716</v>
          </cell>
          <cell r="L1234" t="str">
            <v>-32.308258862</v>
          </cell>
          <cell r="M1234" t="str">
            <v>H</v>
          </cell>
          <cell r="N1234" t="str">
            <v>24</v>
          </cell>
          <cell r="O1234" t="str">
            <v>CHARTHOUSE</v>
          </cell>
          <cell r="P1234" t="str">
            <v>RD</v>
          </cell>
          <cell r="R1234" t="str">
            <v>SAFETY BAY</v>
          </cell>
          <cell r="S1234" t="str">
            <v>6169</v>
          </cell>
        </row>
        <row r="1235">
          <cell r="B1235" t="str">
            <v>S2003216</v>
          </cell>
          <cell r="C1235" t="str">
            <v>SPS CHANDLER RMBL BALDIVIS</v>
          </cell>
          <cell r="D1235" t="str">
            <v>A- actual</v>
          </cell>
          <cell r="E1235" t="str">
            <v>PS- pump station</v>
          </cell>
          <cell r="F1235" t="str">
            <v>CHANDLER RMBL</v>
          </cell>
          <cell r="G1235" t="str">
            <v>3</v>
          </cell>
          <cell r="H1235" t="str">
            <v>W- water corporation</v>
          </cell>
          <cell r="J1235" t="str">
            <v>20010619</v>
          </cell>
          <cell r="K1235" t="str">
            <v>115.797233859</v>
          </cell>
          <cell r="L1235" t="str">
            <v>-32.330108176</v>
          </cell>
          <cell r="M1235" t="str">
            <v>H</v>
          </cell>
          <cell r="N1235" t="str">
            <v>46</v>
          </cell>
          <cell r="O1235" t="str">
            <v>CHANDLER</v>
          </cell>
          <cell r="P1235" t="str">
            <v>RMBL</v>
          </cell>
          <cell r="R1235" t="str">
            <v>BALDIVIS</v>
          </cell>
          <cell r="S1235" t="str">
            <v>6171</v>
          </cell>
        </row>
        <row r="1236">
          <cell r="B1236" t="str">
            <v>S2004007</v>
          </cell>
          <cell r="C1236" t="str">
            <v>SPS BANDYUP PRISON WEST SWAN</v>
          </cell>
          <cell r="D1236" t="str">
            <v>A- actual</v>
          </cell>
          <cell r="E1236" t="str">
            <v>PS- pump station</v>
          </cell>
          <cell r="F1236" t="str">
            <v>BANDYUP WOMENS PRISON</v>
          </cell>
          <cell r="H1236" t="str">
            <v>P- private</v>
          </cell>
          <cell r="J1236" t="str">
            <v>20010726</v>
          </cell>
          <cell r="K1236" t="str">
            <v>115.99926066</v>
          </cell>
          <cell r="L1236" t="str">
            <v>-31.862312319</v>
          </cell>
          <cell r="M1236" t="str">
            <v>L</v>
          </cell>
          <cell r="N1236" t="str">
            <v>99</v>
          </cell>
          <cell r="O1236" t="str">
            <v>MIDDLE SWAN</v>
          </cell>
          <cell r="P1236" t="str">
            <v>RD</v>
          </cell>
          <cell r="R1236" t="str">
            <v>WEST SWAN</v>
          </cell>
          <cell r="S1236" t="str">
            <v>6055</v>
          </cell>
        </row>
        <row r="1237">
          <cell r="B1237" t="str">
            <v>S8005430</v>
          </cell>
          <cell r="C1237" t="str">
            <v>SPS MARCO POLO DR MANDURAH</v>
          </cell>
          <cell r="D1237" t="str">
            <v>A- actual</v>
          </cell>
          <cell r="E1237" t="str">
            <v>PS- pump station</v>
          </cell>
          <cell r="F1237" t="str">
            <v>MARCO POLO DR</v>
          </cell>
          <cell r="G1237" t="str">
            <v>36</v>
          </cell>
          <cell r="H1237" t="str">
            <v>W- water corporation</v>
          </cell>
          <cell r="J1237" t="str">
            <v>20030528</v>
          </cell>
          <cell r="K1237" t="str">
            <v>115.717347407</v>
          </cell>
          <cell r="L1237" t="str">
            <v>-32.5273691678</v>
          </cell>
          <cell r="M1237" t="str">
            <v>H</v>
          </cell>
          <cell r="N1237" t="str">
            <v>4</v>
          </cell>
          <cell r="O1237" t="str">
            <v>MARCO POLO</v>
          </cell>
          <cell r="P1237" t="str">
            <v>DR</v>
          </cell>
          <cell r="R1237" t="str">
            <v>MANDURAH</v>
          </cell>
          <cell r="S1237" t="str">
            <v>6210</v>
          </cell>
        </row>
        <row r="1238">
          <cell r="B1238" t="str">
            <v>S0029135</v>
          </cell>
          <cell r="C1238" t="str">
            <v>SPS QUINNS RD MINDARIE</v>
          </cell>
          <cell r="D1238" t="str">
            <v>A- actual</v>
          </cell>
          <cell r="E1238" t="str">
            <v>PS- pump station</v>
          </cell>
          <cell r="F1238" t="str">
            <v>QUINNS RD</v>
          </cell>
          <cell r="G1238" t="str">
            <v>060-04</v>
          </cell>
          <cell r="H1238" t="str">
            <v>W- water corporation</v>
          </cell>
          <cell r="J1238" t="str">
            <v>20031028</v>
          </cell>
          <cell r="K1238" t="str">
            <v>115.698457859</v>
          </cell>
          <cell r="L1238" t="str">
            <v>-31.676880884</v>
          </cell>
          <cell r="M1238" t="str">
            <v>H</v>
          </cell>
          <cell r="N1238" t="str">
            <v>30</v>
          </cell>
          <cell r="O1238" t="str">
            <v>QUINNS</v>
          </cell>
          <cell r="P1238" t="str">
            <v>RD</v>
          </cell>
          <cell r="R1238" t="str">
            <v>MINDARIE</v>
          </cell>
          <cell r="S1238" t="str">
            <v>6030</v>
          </cell>
        </row>
        <row r="1239">
          <cell r="B1239" t="str">
            <v>S2013763</v>
          </cell>
          <cell r="C1239" t="str">
            <v>SPS LADY LINDSAY CE YANCHEP</v>
          </cell>
          <cell r="D1239" t="str">
            <v>A- actual</v>
          </cell>
          <cell r="E1239" t="str">
            <v>PS- pump station</v>
          </cell>
          <cell r="F1239" t="str">
            <v>LADY LINDSAY COVE TEMP</v>
          </cell>
          <cell r="G1239" t="str">
            <v>18</v>
          </cell>
          <cell r="H1239" t="str">
            <v>W- water corporation</v>
          </cell>
          <cell r="J1239" t="str">
            <v>20021108</v>
          </cell>
          <cell r="K1239" t="str">
            <v>115.635247661</v>
          </cell>
          <cell r="L1239" t="str">
            <v>-31.548345302</v>
          </cell>
          <cell r="M1239" t="str">
            <v>H</v>
          </cell>
          <cell r="N1239" t="str">
            <v>17</v>
          </cell>
          <cell r="O1239" t="str">
            <v>LUGGER</v>
          </cell>
          <cell r="P1239" t="str">
            <v>PL</v>
          </cell>
          <cell r="R1239" t="str">
            <v>YANCHEP</v>
          </cell>
          <cell r="S1239" t="str">
            <v>6035</v>
          </cell>
        </row>
        <row r="1240">
          <cell r="B1240" t="str">
            <v>S2003384</v>
          </cell>
          <cell r="C1240" t="str">
            <v>SPS VERDE DR JANDAKOT</v>
          </cell>
          <cell r="D1240" t="str">
            <v>A- actual</v>
          </cell>
          <cell r="E1240" t="str">
            <v>PS- pump station</v>
          </cell>
          <cell r="F1240" t="str">
            <v>VERDE DR TEMP</v>
          </cell>
          <cell r="G1240" t="str">
            <v>1</v>
          </cell>
          <cell r="H1240" t="str">
            <v>W- water corporation</v>
          </cell>
          <cell r="J1240" t="str">
            <v>20030409</v>
          </cell>
          <cell r="K1240" t="str">
            <v>115.86527679</v>
          </cell>
          <cell r="L1240" t="str">
            <v>-32.1219136538</v>
          </cell>
          <cell r="M1240" t="str">
            <v>H</v>
          </cell>
          <cell r="N1240" t="str">
            <v>64</v>
          </cell>
          <cell r="O1240" t="str">
            <v>VERDE</v>
          </cell>
          <cell r="P1240" t="str">
            <v>DR</v>
          </cell>
          <cell r="R1240" t="str">
            <v>JANDAKOT</v>
          </cell>
          <cell r="S1240" t="str">
            <v>6164</v>
          </cell>
        </row>
        <row r="1241">
          <cell r="B1241" t="str">
            <v>S8006981</v>
          </cell>
          <cell r="C1241" t="str">
            <v>SPS TURNER ST BOYANUP</v>
          </cell>
          <cell r="D1241" t="str">
            <v>A- actual</v>
          </cell>
          <cell r="E1241" t="str">
            <v>PS- pump station</v>
          </cell>
          <cell r="F1241" t="str">
            <v>TURNER ST</v>
          </cell>
          <cell r="G1241" t="str">
            <v>1</v>
          </cell>
          <cell r="H1241" t="str">
            <v>W- water corporation</v>
          </cell>
          <cell r="J1241" t="str">
            <v>20031006</v>
          </cell>
          <cell r="K1241" t="str">
            <v>115.72796219</v>
          </cell>
          <cell r="L1241" t="str">
            <v>-33.48127441</v>
          </cell>
          <cell r="M1241" t="str">
            <v>L</v>
          </cell>
          <cell r="N1241" t="str">
            <v>500</v>
          </cell>
          <cell r="O1241" t="str">
            <v>SOUTH WESTERN</v>
          </cell>
          <cell r="P1241" t="str">
            <v>HWY</v>
          </cell>
          <cell r="R1241" t="str">
            <v>BOYANUP</v>
          </cell>
          <cell r="S1241" t="str">
            <v>6237</v>
          </cell>
        </row>
        <row r="1242">
          <cell r="B1242" t="str">
            <v>S2008785</v>
          </cell>
          <cell r="C1242" t="str">
            <v>SPS PEARL PDE SCARBOROUGH</v>
          </cell>
          <cell r="D1242" t="str">
            <v>A- actual</v>
          </cell>
          <cell r="E1242" t="str">
            <v>PS- pump station</v>
          </cell>
          <cell r="F1242" t="str">
            <v>PEARL PDE</v>
          </cell>
          <cell r="G1242" t="str">
            <v>9</v>
          </cell>
          <cell r="H1242" t="str">
            <v>W- water corporation</v>
          </cell>
          <cell r="J1242" t="str">
            <v>20021204</v>
          </cell>
          <cell r="K1242" t="str">
            <v>115.758783582</v>
          </cell>
          <cell r="L1242" t="str">
            <v>-31.8878270839</v>
          </cell>
          <cell r="M1242" t="str">
            <v>H</v>
          </cell>
          <cell r="N1242" t="str">
            <v>10</v>
          </cell>
          <cell r="O1242" t="str">
            <v>PEARL</v>
          </cell>
          <cell r="P1242" t="str">
            <v>PDE</v>
          </cell>
          <cell r="R1242" t="str">
            <v>SCARBOROUGH</v>
          </cell>
          <cell r="S1242" t="str">
            <v>6019</v>
          </cell>
        </row>
        <row r="1243">
          <cell r="B1243" t="str">
            <v>S2003451</v>
          </cell>
          <cell r="C1243" t="str">
            <v>SPS CANDELLA SQ STIRLING</v>
          </cell>
          <cell r="D1243" t="str">
            <v>A- actual</v>
          </cell>
          <cell r="E1243" t="str">
            <v>PS- pump station</v>
          </cell>
          <cell r="F1243" t="str">
            <v>CANDELLA SQ</v>
          </cell>
          <cell r="G1243" t="str">
            <v>8</v>
          </cell>
          <cell r="H1243" t="str">
            <v>W- water corporation</v>
          </cell>
          <cell r="J1243" t="str">
            <v>20030701</v>
          </cell>
          <cell r="K1243" t="str">
            <v>115.820212826</v>
          </cell>
          <cell r="L1243" t="str">
            <v>-31.8923746484</v>
          </cell>
          <cell r="M1243" t="str">
            <v>H</v>
          </cell>
          <cell r="N1243" t="str">
            <v>2</v>
          </cell>
          <cell r="O1243" t="str">
            <v>CANDELLA</v>
          </cell>
          <cell r="P1243" t="str">
            <v>SQ</v>
          </cell>
          <cell r="R1243" t="str">
            <v>STIRLING</v>
          </cell>
          <cell r="S1243" t="str">
            <v>6021</v>
          </cell>
        </row>
        <row r="1244">
          <cell r="B1244" t="str">
            <v>S2015120</v>
          </cell>
          <cell r="C1244" t="str">
            <v>SPS O'MALLEY ST OSBORNE PARK</v>
          </cell>
          <cell r="D1244" t="str">
            <v>A- actual</v>
          </cell>
          <cell r="E1244" t="str">
            <v>TPS- temporary pump station</v>
          </cell>
          <cell r="F1244" t="str">
            <v>O'MALLEY ST</v>
          </cell>
          <cell r="H1244" t="str">
            <v>W- water corporation</v>
          </cell>
          <cell r="J1244" t="str">
            <v>20030714</v>
          </cell>
          <cell r="K1244" t="str">
            <v>115.813002022</v>
          </cell>
          <cell r="L1244" t="str">
            <v>-31.9009975155</v>
          </cell>
          <cell r="M1244" t="str">
            <v>H</v>
          </cell>
          <cell r="N1244" t="str">
            <v>44</v>
          </cell>
          <cell r="O1244" t="str">
            <v>O'MALLEY</v>
          </cell>
          <cell r="P1244" t="str">
            <v>ST</v>
          </cell>
          <cell r="R1244" t="str">
            <v>OSBORNE PARK</v>
          </cell>
          <cell r="S1244" t="str">
            <v>6017</v>
          </cell>
        </row>
        <row r="1245">
          <cell r="B1245" t="str">
            <v>S2004021</v>
          </cell>
          <cell r="C1245" t="str">
            <v>SPS SHEFFIELD RD STH WATTLE GROVE</v>
          </cell>
          <cell r="D1245" t="str">
            <v>A- actual</v>
          </cell>
          <cell r="E1245" t="str">
            <v>PS- pump station</v>
          </cell>
          <cell r="F1245" t="str">
            <v>SHEFFIELD RD INTERIM</v>
          </cell>
          <cell r="H1245" t="str">
            <v>W- water corporation</v>
          </cell>
          <cell r="J1245" t="str">
            <v>20020426</v>
          </cell>
          <cell r="K1245" t="str">
            <v>115.982268821</v>
          </cell>
          <cell r="L1245" t="str">
            <v>-32.002361823</v>
          </cell>
          <cell r="M1245" t="str">
            <v>H</v>
          </cell>
          <cell r="N1245" t="str">
            <v>67</v>
          </cell>
          <cell r="O1245" t="str">
            <v>SHEFFIELD</v>
          </cell>
          <cell r="P1245" t="str">
            <v>RD</v>
          </cell>
          <cell r="R1245" t="str">
            <v>WATTLE GROVE</v>
          </cell>
          <cell r="S1245" t="str">
            <v>6107</v>
          </cell>
        </row>
        <row r="1246">
          <cell r="B1246" t="str">
            <v>S8000593</v>
          </cell>
          <cell r="C1246" t="str">
            <v>SPS HOWE CT WALPOLE</v>
          </cell>
          <cell r="D1246" t="str">
            <v>A- actual</v>
          </cell>
          <cell r="E1246" t="str">
            <v>PS- pump station</v>
          </cell>
          <cell r="F1246" t="str">
            <v>HOWE CT/SHEOAK ST</v>
          </cell>
          <cell r="H1246" t="str">
            <v>W- water corporation</v>
          </cell>
          <cell r="J1246" t="str">
            <v>20000101</v>
          </cell>
          <cell r="K1246" t="str">
            <v>116.721477412</v>
          </cell>
          <cell r="L1246" t="str">
            <v>-34.977457833</v>
          </cell>
          <cell r="M1246" t="str">
            <v>H</v>
          </cell>
          <cell r="N1246" t="str">
            <v>21</v>
          </cell>
          <cell r="O1246" t="str">
            <v>HOWE</v>
          </cell>
          <cell r="P1246" t="str">
            <v>CT</v>
          </cell>
          <cell r="R1246" t="str">
            <v>WALPOLE</v>
          </cell>
          <cell r="S1246" t="str">
            <v>6398</v>
          </cell>
        </row>
        <row r="1247">
          <cell r="B1247" t="str">
            <v>S2003571</v>
          </cell>
          <cell r="C1247" t="str">
            <v>SPS MUNSTER 3 MUNSTER</v>
          </cell>
          <cell r="D1247" t="str">
            <v>A- actual</v>
          </cell>
          <cell r="E1247" t="str">
            <v>PS- pump station</v>
          </cell>
          <cell r="F1247" t="str">
            <v>MUNSTER</v>
          </cell>
          <cell r="G1247" t="str">
            <v>3</v>
          </cell>
          <cell r="H1247" t="str">
            <v>W- water corporation</v>
          </cell>
          <cell r="J1247" t="str">
            <v>20020520</v>
          </cell>
          <cell r="K1247" t="str">
            <v>115.770553059</v>
          </cell>
          <cell r="L1247" t="str">
            <v>-32.13437481</v>
          </cell>
          <cell r="M1247" t="str">
            <v>L</v>
          </cell>
          <cell r="N1247" t="str">
            <v>20</v>
          </cell>
          <cell r="O1247" t="str">
            <v>MAYOR</v>
          </cell>
          <cell r="P1247" t="str">
            <v>RD</v>
          </cell>
          <cell r="R1247" t="str">
            <v>MUNSTER</v>
          </cell>
          <cell r="S1247" t="str">
            <v>6166</v>
          </cell>
        </row>
        <row r="1248">
          <cell r="B1248" t="str">
            <v>S2009295</v>
          </cell>
          <cell r="C1248" t="str">
            <v>SPS MORISOT CR ASHBY</v>
          </cell>
          <cell r="D1248" t="str">
            <v>A- actual</v>
          </cell>
          <cell r="E1248" t="str">
            <v>PS- pump station</v>
          </cell>
          <cell r="F1248" t="str">
            <v>MORISOT CR TEMP</v>
          </cell>
          <cell r="G1248" t="str">
            <v>14</v>
          </cell>
          <cell r="H1248" t="str">
            <v>W- water corporation</v>
          </cell>
          <cell r="J1248" t="str">
            <v>20030731</v>
          </cell>
          <cell r="K1248" t="str">
            <v>115.794943445</v>
          </cell>
          <cell r="L1248" t="str">
            <v>-31.732969093</v>
          </cell>
          <cell r="M1248" t="str">
            <v>H</v>
          </cell>
          <cell r="N1248" t="str">
            <v>6</v>
          </cell>
          <cell r="O1248" t="str">
            <v>MORISOT</v>
          </cell>
          <cell r="P1248" t="str">
            <v>CR</v>
          </cell>
          <cell r="R1248" t="str">
            <v>ASHBY</v>
          </cell>
          <cell r="S1248" t="str">
            <v>6065</v>
          </cell>
        </row>
        <row r="1249">
          <cell r="B1249" t="str">
            <v>S8003823</v>
          </cell>
          <cell r="C1249" t="str">
            <v>SPS OPAL DR AUSTRALIND</v>
          </cell>
          <cell r="D1249" t="str">
            <v>A- actual</v>
          </cell>
          <cell r="E1249" t="str">
            <v>PS- pump station</v>
          </cell>
          <cell r="F1249" t="str">
            <v>OPAL DR</v>
          </cell>
          <cell r="G1249" t="str">
            <v>11</v>
          </cell>
          <cell r="H1249" t="str">
            <v>W- water corporation</v>
          </cell>
          <cell r="J1249" t="str">
            <v>20030501</v>
          </cell>
          <cell r="K1249" t="str">
            <v>115.735558946</v>
          </cell>
          <cell r="L1249" t="str">
            <v>-33.2819466167</v>
          </cell>
          <cell r="M1249" t="str">
            <v>H</v>
          </cell>
          <cell r="N1249" t="str">
            <v>19</v>
          </cell>
          <cell r="O1249" t="str">
            <v>OPAL</v>
          </cell>
          <cell r="P1249" t="str">
            <v>DR</v>
          </cell>
          <cell r="R1249" t="str">
            <v>AUSTRALIND</v>
          </cell>
          <cell r="S1249" t="str">
            <v>6233</v>
          </cell>
        </row>
        <row r="1250">
          <cell r="B1250" t="str">
            <v>S2013768</v>
          </cell>
          <cell r="C1250" t="str">
            <v>SPS JARVIS ST O'CONNOR</v>
          </cell>
          <cell r="D1250" t="str">
            <v>A- actual</v>
          </cell>
          <cell r="E1250" t="str">
            <v>PS- pump station</v>
          </cell>
          <cell r="F1250" t="str">
            <v>JARVIS ST</v>
          </cell>
          <cell r="G1250" t="str">
            <v>20</v>
          </cell>
          <cell r="H1250" t="str">
            <v>W- water corporation</v>
          </cell>
          <cell r="J1250" t="str">
            <v>20030911</v>
          </cell>
          <cell r="K1250" t="str">
            <v>115.790137672</v>
          </cell>
          <cell r="L1250" t="str">
            <v>-32.0629669578</v>
          </cell>
          <cell r="M1250" t="str">
            <v>H</v>
          </cell>
          <cell r="N1250" t="str">
            <v>30</v>
          </cell>
          <cell r="O1250" t="str">
            <v>JARVIS</v>
          </cell>
          <cell r="P1250" t="str">
            <v>ST</v>
          </cell>
          <cell r="R1250" t="str">
            <v>O'CONNOR</v>
          </cell>
          <cell r="S1250" t="str">
            <v>6163</v>
          </cell>
        </row>
        <row r="1251">
          <cell r="B1251" t="str">
            <v>S8006459</v>
          </cell>
          <cell r="C1251" t="str">
            <v>SPS HALL RD COWARAMUP</v>
          </cell>
          <cell r="D1251" t="str">
            <v>A- actual</v>
          </cell>
          <cell r="E1251" t="str">
            <v>TPS- temporary pump station</v>
          </cell>
          <cell r="F1251" t="str">
            <v>HALL RD</v>
          </cell>
          <cell r="H1251" t="str">
            <v>W- water corporation</v>
          </cell>
          <cell r="J1251" t="str">
            <v>20031001</v>
          </cell>
          <cell r="K1251" t="str">
            <v>115.103552372</v>
          </cell>
          <cell r="L1251" t="str">
            <v>-33.852330602</v>
          </cell>
          <cell r="M1251" t="str">
            <v>H</v>
          </cell>
          <cell r="N1251" t="str">
            <v>2</v>
          </cell>
          <cell r="O1251" t="str">
            <v>GRANNY JAMES</v>
          </cell>
          <cell r="P1251" t="str">
            <v>PL</v>
          </cell>
          <cell r="R1251" t="str">
            <v>COWARAMUP</v>
          </cell>
          <cell r="S1251" t="str">
            <v>6284</v>
          </cell>
        </row>
        <row r="1252">
          <cell r="D1252" t="str">
            <v>A- actual</v>
          </cell>
          <cell r="E1252" t="str">
            <v>PS- pump station</v>
          </cell>
          <cell r="F1252" t="str">
            <v>HOUGHTONS WINERY</v>
          </cell>
          <cell r="H1252" t="str">
            <v>P- private</v>
          </cell>
          <cell r="J1252" t="str">
            <v>20031027</v>
          </cell>
          <cell r="K1252" t="str">
            <v>115.76514751</v>
          </cell>
          <cell r="L1252" t="str">
            <v>-34.001166981</v>
          </cell>
          <cell r="M1252" t="str">
            <v>L</v>
          </cell>
          <cell r="N1252" t="str">
            <v>100</v>
          </cell>
          <cell r="O1252" t="str">
            <v>EAST NANNUP</v>
          </cell>
          <cell r="P1252" t="str">
            <v>RD</v>
          </cell>
          <cell r="R1252" t="str">
            <v>NANNUP</v>
          </cell>
          <cell r="S1252" t="str">
            <v>6275</v>
          </cell>
        </row>
        <row r="1253">
          <cell r="B1253" t="str">
            <v>S2008280</v>
          </cell>
          <cell r="C1253" t="str">
            <v>SPS BANCOURA PWY SECRET HARBOUR</v>
          </cell>
          <cell r="D1253" t="str">
            <v>A- actual</v>
          </cell>
          <cell r="E1253" t="str">
            <v>PS- pump station</v>
          </cell>
          <cell r="F1253" t="str">
            <v>BANCOURA PWY</v>
          </cell>
          <cell r="G1253" t="str">
            <v>5</v>
          </cell>
          <cell r="H1253" t="str">
            <v>W- water corporation</v>
          </cell>
          <cell r="J1253" t="str">
            <v>20031006</v>
          </cell>
          <cell r="K1253" t="str">
            <v>115.752015092</v>
          </cell>
          <cell r="L1253" t="str">
            <v>-32.412824841</v>
          </cell>
          <cell r="M1253" t="str">
            <v>H</v>
          </cell>
          <cell r="N1253" t="str">
            <v>31</v>
          </cell>
          <cell r="O1253" t="str">
            <v>BANCOURA</v>
          </cell>
          <cell r="P1253" t="str">
            <v>PWY</v>
          </cell>
          <cell r="R1253" t="str">
            <v>SECRET HARBOUR</v>
          </cell>
          <cell r="S1253" t="str">
            <v>6173</v>
          </cell>
        </row>
        <row r="1254">
          <cell r="B1254" t="str">
            <v>S7001186</v>
          </cell>
          <cell r="C1254" t="str">
            <v>SPS ULSTER RD YAKAMIA</v>
          </cell>
          <cell r="D1254" t="str">
            <v>A- actual</v>
          </cell>
          <cell r="E1254" t="str">
            <v>PS- pump station</v>
          </cell>
          <cell r="F1254" t="str">
            <v>ULSTER RD YAKAMIA</v>
          </cell>
          <cell r="G1254" t="str">
            <v>17</v>
          </cell>
          <cell r="H1254" t="str">
            <v>W- water corporation</v>
          </cell>
          <cell r="J1254" t="str">
            <v>20030601</v>
          </cell>
          <cell r="K1254" t="str">
            <v>117.903547708</v>
          </cell>
          <cell r="L1254" t="str">
            <v>-34.996333377</v>
          </cell>
          <cell r="M1254" t="str">
            <v>H</v>
          </cell>
          <cell r="N1254" t="str">
            <v>213</v>
          </cell>
          <cell r="O1254" t="str">
            <v>ULSTER</v>
          </cell>
          <cell r="P1254" t="str">
            <v>RD</v>
          </cell>
          <cell r="R1254" t="str">
            <v>YAKAMIA</v>
          </cell>
          <cell r="S1254" t="str">
            <v>6330</v>
          </cell>
        </row>
        <row r="1255">
          <cell r="B1255" t="str">
            <v>S2013758</v>
          </cell>
          <cell r="C1255" t="str">
            <v>SPS NORTH BEACH RD NORTH BEACH</v>
          </cell>
          <cell r="D1255" t="str">
            <v>A- actual</v>
          </cell>
          <cell r="E1255" t="str">
            <v>PS- pump station</v>
          </cell>
          <cell r="F1255" t="str">
            <v>NTH BEACH RD</v>
          </cell>
          <cell r="G1255" t="str">
            <v>20</v>
          </cell>
          <cell r="H1255" t="str">
            <v>W- water corporation</v>
          </cell>
          <cell r="J1255" t="str">
            <v>20030401</v>
          </cell>
          <cell r="K1255" t="str">
            <v>115.76196578</v>
          </cell>
          <cell r="L1255" t="str">
            <v>-31.860993867</v>
          </cell>
          <cell r="M1255" t="str">
            <v>H</v>
          </cell>
          <cell r="N1255" t="str">
            <v>86</v>
          </cell>
          <cell r="O1255" t="str">
            <v>NORTH BEACH</v>
          </cell>
          <cell r="P1255" t="str">
            <v>RD</v>
          </cell>
          <cell r="R1255" t="str">
            <v>NORTH BEACH</v>
          </cell>
          <cell r="S1255" t="str">
            <v>6020</v>
          </cell>
        </row>
        <row r="1256">
          <cell r="D1256" t="str">
            <v>A- actual</v>
          </cell>
          <cell r="E1256" t="str">
            <v>PS- pump station</v>
          </cell>
          <cell r="F1256" t="str">
            <v>WINTHROP BAPTIST COLLEGE</v>
          </cell>
          <cell r="H1256" t="str">
            <v>P- private</v>
          </cell>
          <cell r="J1256" t="str">
            <v>18000101</v>
          </cell>
          <cell r="K1256" t="str">
            <v>115.824273846</v>
          </cell>
          <cell r="L1256" t="str">
            <v>-32.073361478</v>
          </cell>
          <cell r="M1256" t="str">
            <v>H</v>
          </cell>
          <cell r="N1256" t="str">
            <v>60</v>
          </cell>
          <cell r="O1256" t="str">
            <v>FARRINGTON</v>
          </cell>
          <cell r="P1256" t="str">
            <v>RD</v>
          </cell>
          <cell r="R1256" t="str">
            <v>MURDOCH</v>
          </cell>
          <cell r="S1256" t="str">
            <v>6150</v>
          </cell>
        </row>
        <row r="1257">
          <cell r="D1257" t="str">
            <v>A- actual</v>
          </cell>
          <cell r="E1257" t="str">
            <v>PS- pump station</v>
          </cell>
          <cell r="F1257" t="str">
            <v>MADELEY RETIREMENT VILLAGE</v>
          </cell>
          <cell r="H1257" t="str">
            <v>P- private</v>
          </cell>
          <cell r="J1257" t="str">
            <v>20030917</v>
          </cell>
          <cell r="K1257" t="str">
            <v>115.83511266</v>
          </cell>
          <cell r="L1257" t="str">
            <v>-31.80996831</v>
          </cell>
          <cell r="M1257" t="str">
            <v>H</v>
          </cell>
          <cell r="N1257" t="str">
            <v>33</v>
          </cell>
          <cell r="O1257" t="str">
            <v>BRAMLEY</v>
          </cell>
          <cell r="P1257" t="str">
            <v>LOOP</v>
          </cell>
          <cell r="R1257" t="str">
            <v>MADELEY</v>
          </cell>
          <cell r="S1257" t="str">
            <v>6065</v>
          </cell>
        </row>
        <row r="1258">
          <cell r="B1258" t="str">
            <v>S8006156</v>
          </cell>
          <cell r="C1258" t="str">
            <v>VPS MILLBRIDGE BVD MILLBRIDGE</v>
          </cell>
          <cell r="D1258" t="str">
            <v>A- actual</v>
          </cell>
          <cell r="E1258" t="str">
            <v>VPS- vacuum pump station</v>
          </cell>
          <cell r="F1258" t="str">
            <v>MILLBRIDGE BVD</v>
          </cell>
          <cell r="G1258" t="str">
            <v>1</v>
          </cell>
          <cell r="H1258" t="str">
            <v>W- water corporation</v>
          </cell>
          <cell r="J1258" t="str">
            <v>20030829</v>
          </cell>
          <cell r="K1258" t="str">
            <v>115.731733031</v>
          </cell>
          <cell r="L1258" t="str">
            <v>-33.3079128903</v>
          </cell>
          <cell r="M1258" t="str">
            <v>H</v>
          </cell>
          <cell r="N1258" t="str">
            <v>17</v>
          </cell>
          <cell r="O1258" t="str">
            <v>MILLBRIDGE</v>
          </cell>
          <cell r="P1258" t="str">
            <v>BVD</v>
          </cell>
          <cell r="R1258" t="str">
            <v>MILLBRIDGE</v>
          </cell>
          <cell r="S1258" t="str">
            <v>6232</v>
          </cell>
        </row>
        <row r="1259">
          <cell r="B1259" t="str">
            <v>S2011272</v>
          </cell>
          <cell r="C1259" t="str">
            <v>SPS DUNDEBAR RD WANNEROO</v>
          </cell>
          <cell r="D1259" t="str">
            <v>A- actual</v>
          </cell>
          <cell r="E1259" t="str">
            <v>PS- pump station</v>
          </cell>
          <cell r="F1259" t="str">
            <v>DUNDEBAR RD TEMP</v>
          </cell>
          <cell r="H1259" t="str">
            <v>W- water corporation</v>
          </cell>
          <cell r="J1259" t="str">
            <v>20030107</v>
          </cell>
          <cell r="K1259" t="str">
            <v>115.814532833</v>
          </cell>
          <cell r="L1259" t="str">
            <v>-31.7484261317</v>
          </cell>
          <cell r="M1259" t="str">
            <v>H</v>
          </cell>
          <cell r="N1259" t="str">
            <v>2</v>
          </cell>
          <cell r="O1259" t="str">
            <v>KURNALPI</v>
          </cell>
          <cell r="P1259" t="str">
            <v>TURN</v>
          </cell>
          <cell r="R1259" t="str">
            <v>WANNEROO</v>
          </cell>
          <cell r="S1259" t="str">
            <v>6065</v>
          </cell>
        </row>
        <row r="1260">
          <cell r="D1260" t="str">
            <v>A- actual</v>
          </cell>
          <cell r="E1260" t="str">
            <v>PS- pump station</v>
          </cell>
          <cell r="F1260" t="str">
            <v>LOT 1 HECTOR ST</v>
          </cell>
          <cell r="H1260" t="str">
            <v>P- private</v>
          </cell>
          <cell r="J1260" t="str">
            <v>20031201</v>
          </cell>
          <cell r="K1260" t="str">
            <v>115.814011448</v>
          </cell>
          <cell r="L1260" t="str">
            <v>-31.8996250444</v>
          </cell>
          <cell r="M1260" t="str">
            <v>H</v>
          </cell>
          <cell r="N1260" t="str">
            <v>37</v>
          </cell>
          <cell r="O1260" t="str">
            <v>O'MALLEY</v>
          </cell>
          <cell r="P1260" t="str">
            <v>ST</v>
          </cell>
          <cell r="R1260" t="str">
            <v>OSBORNE PARK</v>
          </cell>
          <cell r="S1260" t="str">
            <v>6017</v>
          </cell>
        </row>
        <row r="1261">
          <cell r="D1261" t="str">
            <v>N- not in use</v>
          </cell>
          <cell r="E1261" t="str">
            <v>PS- pump station</v>
          </cell>
          <cell r="F1261" t="str">
            <v>BRITTANIA PDE</v>
          </cell>
          <cell r="H1261" t="str">
            <v>W- water corporation</v>
          </cell>
          <cell r="J1261" t="str">
            <v>20030801</v>
          </cell>
          <cell r="K1261" t="str">
            <v>114.63478212</v>
          </cell>
          <cell r="L1261" t="str">
            <v>-28.8181189338</v>
          </cell>
          <cell r="M1261" t="str">
            <v>H</v>
          </cell>
          <cell r="N1261" t="str">
            <v>22</v>
          </cell>
          <cell r="O1261" t="str">
            <v>BRITTANIA</v>
          </cell>
          <cell r="P1261" t="str">
            <v>PDE</v>
          </cell>
          <cell r="R1261" t="str">
            <v>WANDINA</v>
          </cell>
          <cell r="S1261" t="str">
            <v>6530</v>
          </cell>
        </row>
        <row r="1262">
          <cell r="B1262" t="str">
            <v>S8006744</v>
          </cell>
          <cell r="C1262" t="str">
            <v>SPS PALMER WY MANDURAH</v>
          </cell>
          <cell r="D1262" t="str">
            <v>A- actual</v>
          </cell>
          <cell r="E1262" t="str">
            <v>PS- pump station</v>
          </cell>
          <cell r="F1262" t="str">
            <v>PALMER WY</v>
          </cell>
          <cell r="G1262" t="str">
            <v>33</v>
          </cell>
          <cell r="H1262" t="str">
            <v>W- water corporation</v>
          </cell>
          <cell r="J1262" t="str">
            <v>20031121</v>
          </cell>
          <cell r="K1262" t="str">
            <v>115.744695198</v>
          </cell>
          <cell r="L1262" t="str">
            <v>-32.522289269</v>
          </cell>
          <cell r="M1262" t="str">
            <v>H</v>
          </cell>
          <cell r="N1262" t="str">
            <v>2</v>
          </cell>
          <cell r="O1262" t="str">
            <v>PALMER</v>
          </cell>
          <cell r="P1262" t="str">
            <v>WAY</v>
          </cell>
          <cell r="R1262" t="str">
            <v>MANDURAH</v>
          </cell>
          <cell r="S1262" t="str">
            <v>6210</v>
          </cell>
        </row>
        <row r="1263">
          <cell r="D1263" t="str">
            <v>A- actual</v>
          </cell>
          <cell r="E1263" t="str">
            <v>PS- pump station</v>
          </cell>
          <cell r="F1263" t="str">
            <v>LOT 10 WEST COAST HIGHWAY</v>
          </cell>
          <cell r="H1263" t="str">
            <v>P- private</v>
          </cell>
          <cell r="J1263" t="str">
            <v>20031218</v>
          </cell>
          <cell r="K1263" t="str">
            <v>115.757947415</v>
          </cell>
          <cell r="L1263" t="str">
            <v>-31.8986521701</v>
          </cell>
          <cell r="M1263" t="str">
            <v>H</v>
          </cell>
          <cell r="N1263" t="str">
            <v>269</v>
          </cell>
          <cell r="O1263" t="str">
            <v>WEST COAST</v>
          </cell>
          <cell r="P1263" t="str">
            <v>HWY</v>
          </cell>
          <cell r="R1263" t="str">
            <v>SCARBOROUGH</v>
          </cell>
          <cell r="S1263" t="str">
            <v>6019</v>
          </cell>
        </row>
        <row r="1264">
          <cell r="D1264" t="str">
            <v>N- not in use</v>
          </cell>
          <cell r="E1264" t="str">
            <v>PS- pump station</v>
          </cell>
          <cell r="F1264" t="str">
            <v>TOLLESBURY AVE INTERIM</v>
          </cell>
          <cell r="H1264" t="str">
            <v>W- water corporation</v>
          </cell>
          <cell r="J1264" t="str">
            <v>20031120</v>
          </cell>
          <cell r="K1264" t="str">
            <v>115.70378022</v>
          </cell>
          <cell r="L1264" t="str">
            <v>-31.6454187056</v>
          </cell>
          <cell r="M1264" t="str">
            <v>H</v>
          </cell>
          <cell r="N1264" t="str">
            <v>46</v>
          </cell>
          <cell r="O1264" t="str">
            <v>TOLLESBURY</v>
          </cell>
          <cell r="P1264" t="str">
            <v>AV</v>
          </cell>
          <cell r="R1264" t="str">
            <v>BUTLER</v>
          </cell>
          <cell r="S1264" t="str">
            <v>6036</v>
          </cell>
        </row>
        <row r="1265">
          <cell r="D1265" t="str">
            <v>A- actual</v>
          </cell>
          <cell r="E1265" t="str">
            <v>PS- pump station</v>
          </cell>
          <cell r="F1265" t="str">
            <v>LOT 5 ORRONG RD</v>
          </cell>
          <cell r="H1265" t="str">
            <v>P- private</v>
          </cell>
          <cell r="J1265" t="str">
            <v>20031210</v>
          </cell>
          <cell r="K1265" t="str">
            <v>115.939613473</v>
          </cell>
          <cell r="L1265" t="str">
            <v>-31.9883006475</v>
          </cell>
          <cell r="M1265" t="str">
            <v>H</v>
          </cell>
          <cell r="N1265" t="str">
            <v>453</v>
          </cell>
          <cell r="O1265" t="str">
            <v>ORRONG</v>
          </cell>
          <cell r="P1265" t="str">
            <v>RD</v>
          </cell>
          <cell r="R1265" t="str">
            <v>WELSHPOOL</v>
          </cell>
          <cell r="S1265" t="str">
            <v>6106</v>
          </cell>
        </row>
        <row r="1266">
          <cell r="B1266" t="str">
            <v>S7001190</v>
          </cell>
          <cell r="C1266" t="str">
            <v>SPS THE OUTLOOK  BAYONET HEAD</v>
          </cell>
          <cell r="D1266" t="str">
            <v>A- actual</v>
          </cell>
          <cell r="E1266" t="str">
            <v>PS- pump station</v>
          </cell>
          <cell r="F1266" t="str">
            <v>THE OUTLOOK</v>
          </cell>
          <cell r="G1266" t="str">
            <v>29</v>
          </cell>
          <cell r="H1266" t="str">
            <v>W- water corporation</v>
          </cell>
          <cell r="J1266" t="str">
            <v>20031216</v>
          </cell>
          <cell r="K1266" t="str">
            <v>117.942152026</v>
          </cell>
          <cell r="L1266" t="str">
            <v>-34.9802522338</v>
          </cell>
          <cell r="M1266" t="str">
            <v>H</v>
          </cell>
          <cell r="N1266" t="str">
            <v>42</v>
          </cell>
          <cell r="O1266" t="str">
            <v>THE OUTLOOK</v>
          </cell>
          <cell r="R1266" t="str">
            <v>BAYONET HEAD</v>
          </cell>
          <cell r="S1266" t="str">
            <v>6330</v>
          </cell>
        </row>
        <row r="1267">
          <cell r="B1267" t="str">
            <v>S2013252</v>
          </cell>
          <cell r="C1267" t="str">
            <v>SPS ALUMINA RD EAST ROCKINGHAM</v>
          </cell>
          <cell r="D1267" t="str">
            <v>A- actual</v>
          </cell>
          <cell r="E1267" t="str">
            <v>PS- pump station</v>
          </cell>
          <cell r="F1267" t="str">
            <v>ALUMINA RD TEMPORARY</v>
          </cell>
          <cell r="H1267" t="str">
            <v>W- water corporation</v>
          </cell>
          <cell r="J1267" t="str">
            <v>20040201</v>
          </cell>
          <cell r="K1267" t="str">
            <v>115.764379427</v>
          </cell>
          <cell r="L1267" t="str">
            <v>-32.265746443</v>
          </cell>
          <cell r="M1267" t="str">
            <v>H</v>
          </cell>
          <cell r="N1267" t="str">
            <v>4</v>
          </cell>
          <cell r="O1267" t="str">
            <v>ALUMINA</v>
          </cell>
          <cell r="P1267" t="str">
            <v>RD</v>
          </cell>
          <cell r="R1267" t="str">
            <v>EAST ROCKINGHAM</v>
          </cell>
          <cell r="S1267" t="str">
            <v>6168</v>
          </cell>
        </row>
        <row r="1268">
          <cell r="B1268" t="str">
            <v>S2015121</v>
          </cell>
          <cell r="C1268" t="str">
            <v>SPS KINGSWAY LANDSDALE</v>
          </cell>
          <cell r="D1268" t="str">
            <v>A- actual</v>
          </cell>
          <cell r="E1268" t="str">
            <v>PS- pump station</v>
          </cell>
          <cell r="F1268" t="str">
            <v>KINGSWAY</v>
          </cell>
          <cell r="H1268" t="str">
            <v>W- water corporation</v>
          </cell>
          <cell r="J1268" t="str">
            <v>20041026</v>
          </cell>
          <cell r="K1268" t="str">
            <v>115.866604008</v>
          </cell>
          <cell r="L1268" t="str">
            <v>-31.8130392196</v>
          </cell>
          <cell r="M1268" t="str">
            <v>H</v>
          </cell>
          <cell r="N1268" t="str">
            <v>437</v>
          </cell>
          <cell r="O1268" t="str">
            <v>KINGSWAY</v>
          </cell>
          <cell r="R1268" t="str">
            <v>LANDSDALE</v>
          </cell>
          <cell r="S1268" t="str">
            <v>6065</v>
          </cell>
        </row>
        <row r="1269">
          <cell r="B1269" t="str">
            <v>S3000468</v>
          </cell>
          <cell r="C1269" t="str">
            <v>SPS 7 FAIRWAY DR BROOME</v>
          </cell>
          <cell r="D1269" t="str">
            <v>A- actual</v>
          </cell>
          <cell r="E1269" t="str">
            <v>PS- pump station</v>
          </cell>
          <cell r="F1269" t="str">
            <v>FAIRWAY DR</v>
          </cell>
          <cell r="G1269" t="str">
            <v>7</v>
          </cell>
          <cell r="H1269" t="str">
            <v>W- water corporation</v>
          </cell>
          <cell r="J1269" t="str">
            <v>20031001</v>
          </cell>
          <cell r="K1269" t="str">
            <v>122.224869</v>
          </cell>
          <cell r="L1269" t="str">
            <v>-17.93096663</v>
          </cell>
          <cell r="M1269" t="str">
            <v>H</v>
          </cell>
          <cell r="N1269" t="str">
            <v>15</v>
          </cell>
          <cell r="O1269" t="str">
            <v>FAIRWAY</v>
          </cell>
          <cell r="P1269" t="str">
            <v>DR</v>
          </cell>
          <cell r="R1269" t="str">
            <v>CABLE BEACH</v>
          </cell>
          <cell r="S1269" t="str">
            <v>6726</v>
          </cell>
        </row>
        <row r="1270">
          <cell r="B1270" t="str">
            <v>S1003089</v>
          </cell>
          <cell r="C1270" t="str">
            <v>TRANSFER PUMP STATION - TO IRRIGATION</v>
          </cell>
          <cell r="D1270" t="str">
            <v>A- actual</v>
          </cell>
          <cell r="E1270" t="str">
            <v>EPS- effluent re-use pump station</v>
          </cell>
          <cell r="F1270" t="str">
            <v>SUBIACO WWTP</v>
          </cell>
          <cell r="H1270" t="str">
            <v>W- water corporation</v>
          </cell>
          <cell r="J1270" t="str">
            <v>20031006</v>
          </cell>
          <cell r="K1270" t="str">
            <v>115.791574567</v>
          </cell>
          <cell r="L1270" t="str">
            <v>-31.956237047</v>
          </cell>
          <cell r="M1270" t="str">
            <v>L</v>
          </cell>
          <cell r="N1270" t="str">
            <v>6815</v>
          </cell>
          <cell r="O1270" t="str">
            <v>BROCKWAY</v>
          </cell>
          <cell r="P1270" t="str">
            <v>RD</v>
          </cell>
          <cell r="R1270" t="str">
            <v>SHENTON PARK</v>
          </cell>
          <cell r="S1270" t="str">
            <v>6008</v>
          </cell>
        </row>
        <row r="1271">
          <cell r="B1271" t="str">
            <v>S2015574</v>
          </cell>
          <cell r="C1271" t="str">
            <v>SPS AMBERLEY WY HAMILTON HILL</v>
          </cell>
          <cell r="D1271" t="str">
            <v>A- actual</v>
          </cell>
          <cell r="E1271" t="str">
            <v>PS- pump station</v>
          </cell>
          <cell r="F1271" t="str">
            <v>AMBERLEY WY</v>
          </cell>
          <cell r="G1271" t="str">
            <v>2</v>
          </cell>
          <cell r="H1271" t="str">
            <v>W- water corporation</v>
          </cell>
          <cell r="J1271" t="str">
            <v>20030925</v>
          </cell>
          <cell r="K1271" t="str">
            <v>115.781135524</v>
          </cell>
          <cell r="L1271" t="str">
            <v>-32.090810289</v>
          </cell>
          <cell r="M1271" t="str">
            <v>L</v>
          </cell>
          <cell r="N1271" t="str">
            <v>33</v>
          </cell>
          <cell r="O1271" t="str">
            <v>AMBERLEY</v>
          </cell>
          <cell r="P1271" t="str">
            <v>WAY</v>
          </cell>
          <cell r="R1271" t="str">
            <v>HAMILTON HILL</v>
          </cell>
          <cell r="S1271" t="str">
            <v>6163</v>
          </cell>
        </row>
        <row r="1272">
          <cell r="B1272" t="str">
            <v>S2009790</v>
          </cell>
          <cell r="C1272" t="str">
            <v>SPS HAMERSLEY ST NORTH BEACH</v>
          </cell>
          <cell r="D1272" t="str">
            <v>A- actual</v>
          </cell>
          <cell r="E1272" t="str">
            <v>PS- pump station</v>
          </cell>
          <cell r="F1272" t="str">
            <v>HAMERSLEY ST</v>
          </cell>
          <cell r="G1272" t="str">
            <v>10</v>
          </cell>
          <cell r="H1272" t="str">
            <v>W- water corporation</v>
          </cell>
          <cell r="J1272" t="str">
            <v>20040401</v>
          </cell>
          <cell r="K1272" t="str">
            <v>115.755797067</v>
          </cell>
          <cell r="L1272" t="str">
            <v>-31.863397808</v>
          </cell>
          <cell r="M1272" t="str">
            <v>H</v>
          </cell>
          <cell r="N1272" t="str">
            <v>40</v>
          </cell>
          <cell r="O1272" t="str">
            <v>HAMERSLEY</v>
          </cell>
          <cell r="P1272" t="str">
            <v>ST</v>
          </cell>
          <cell r="R1272" t="str">
            <v>NORTH BEACH</v>
          </cell>
          <cell r="S1272" t="str">
            <v>6020</v>
          </cell>
        </row>
        <row r="1273">
          <cell r="B1273" t="str">
            <v>S2015122</v>
          </cell>
          <cell r="C1273" t="str">
            <v>SPS SHREEVE RD CANNING VALE</v>
          </cell>
          <cell r="D1273" t="str">
            <v>A- actual</v>
          </cell>
          <cell r="E1273" t="str">
            <v>PS- pump station</v>
          </cell>
          <cell r="F1273" t="str">
            <v>SHREEVE RD</v>
          </cell>
          <cell r="G1273" t="str">
            <v>3</v>
          </cell>
          <cell r="H1273" t="str">
            <v>W- water corporation</v>
          </cell>
          <cell r="J1273" t="str">
            <v>20040119</v>
          </cell>
          <cell r="K1273" t="str">
            <v>115.937092136</v>
          </cell>
          <cell r="L1273" t="str">
            <v>-32.0766178497</v>
          </cell>
          <cell r="M1273" t="str">
            <v>H</v>
          </cell>
          <cell r="N1273" t="str">
            <v>167</v>
          </cell>
          <cell r="O1273" t="str">
            <v>SHREEVE</v>
          </cell>
          <cell r="P1273" t="str">
            <v>RD</v>
          </cell>
          <cell r="R1273" t="str">
            <v>CANNING VALE</v>
          </cell>
          <cell r="S1273" t="str">
            <v>6155</v>
          </cell>
        </row>
        <row r="1274">
          <cell r="D1274" t="str">
            <v>A- actual</v>
          </cell>
          <cell r="E1274" t="str">
            <v>PS- pump station</v>
          </cell>
          <cell r="F1274" t="str">
            <v>LOT 143 MANGLES &amp; STANBURY RDS</v>
          </cell>
          <cell r="H1274" t="str">
            <v>P- private</v>
          </cell>
          <cell r="J1274" t="str">
            <v>19930915</v>
          </cell>
          <cell r="K1274" t="str">
            <v>115.622408556</v>
          </cell>
          <cell r="L1274" t="str">
            <v>-33.348101751</v>
          </cell>
          <cell r="M1274" t="str">
            <v>L</v>
          </cell>
          <cell r="N1274" t="str">
            <v>832</v>
          </cell>
          <cell r="O1274" t="str">
            <v>OCEAN</v>
          </cell>
          <cell r="P1274" t="str">
            <v>DR</v>
          </cell>
          <cell r="R1274" t="str">
            <v>SOUTH BUNBURY</v>
          </cell>
          <cell r="S1274" t="str">
            <v>6230</v>
          </cell>
        </row>
        <row r="1275">
          <cell r="D1275" t="str">
            <v>A- actual</v>
          </cell>
          <cell r="E1275" t="str">
            <v>PS- pump station</v>
          </cell>
          <cell r="F1275" t="str">
            <v>LOTS 27-39 ERICA ENT</v>
          </cell>
          <cell r="H1275" t="str">
            <v>P- private</v>
          </cell>
          <cell r="J1275" t="str">
            <v>20021219</v>
          </cell>
          <cell r="K1275" t="str">
            <v>115.682131057</v>
          </cell>
          <cell r="L1275" t="str">
            <v>-33.3471142535</v>
          </cell>
          <cell r="M1275" t="str">
            <v>H</v>
          </cell>
          <cell r="N1275" t="str">
            <v>20</v>
          </cell>
          <cell r="O1275" t="str">
            <v>SALVIA</v>
          </cell>
          <cell r="P1275" t="str">
            <v>LINK</v>
          </cell>
          <cell r="R1275" t="str">
            <v>GLEN IRIS</v>
          </cell>
          <cell r="S1275" t="str">
            <v>6230</v>
          </cell>
        </row>
        <row r="1276">
          <cell r="D1276" t="str">
            <v>A- actual</v>
          </cell>
          <cell r="E1276" t="str">
            <v>PS- pump station</v>
          </cell>
          <cell r="F1276" t="str">
            <v>CARAVAN PARK</v>
          </cell>
          <cell r="H1276" t="str">
            <v>P- private</v>
          </cell>
          <cell r="J1276" t="str">
            <v>19770726</v>
          </cell>
          <cell r="K1276" t="str">
            <v>114.976766777</v>
          </cell>
          <cell r="L1276" t="str">
            <v>-29.952683647</v>
          </cell>
          <cell r="M1276" t="str">
            <v>H</v>
          </cell>
          <cell r="N1276" t="str">
            <v>43</v>
          </cell>
          <cell r="O1276" t="str">
            <v>THOMAS</v>
          </cell>
          <cell r="P1276" t="str">
            <v>ST</v>
          </cell>
          <cell r="R1276" t="str">
            <v>LEEMAN</v>
          </cell>
          <cell r="S1276" t="str">
            <v>6514</v>
          </cell>
        </row>
        <row r="1277">
          <cell r="B1277" t="str">
            <v>S2005320</v>
          </cell>
          <cell r="C1277" t="str">
            <v>SPS DRIVER RD DARCH</v>
          </cell>
          <cell r="D1277" t="str">
            <v>A- actual</v>
          </cell>
          <cell r="E1277" t="str">
            <v>PS- pump station</v>
          </cell>
          <cell r="F1277" t="str">
            <v>DRIVER RD</v>
          </cell>
          <cell r="G1277" t="str">
            <v>4</v>
          </cell>
          <cell r="H1277" t="str">
            <v>W- water corporation</v>
          </cell>
          <cell r="J1277" t="str">
            <v>20030801</v>
          </cell>
          <cell r="K1277" t="str">
            <v>115.848919647</v>
          </cell>
          <cell r="L1277" t="str">
            <v>-31.8105539389</v>
          </cell>
          <cell r="M1277" t="str">
            <v>H</v>
          </cell>
          <cell r="N1277" t="str">
            <v>31</v>
          </cell>
          <cell r="O1277" t="str">
            <v>DRIVER</v>
          </cell>
          <cell r="P1277" t="str">
            <v>RD</v>
          </cell>
          <cell r="R1277" t="str">
            <v>DARCH</v>
          </cell>
          <cell r="S1277" t="str">
            <v>6065</v>
          </cell>
        </row>
        <row r="1278">
          <cell r="B1278" t="str">
            <v>S108-002-002</v>
          </cell>
          <cell r="C1278" t="str">
            <v>SPS PIESSE ST WILLIAMS</v>
          </cell>
          <cell r="D1278" t="str">
            <v>A- actual</v>
          </cell>
          <cell r="E1278" t="str">
            <v>PS- pump station</v>
          </cell>
          <cell r="F1278" t="str">
            <v>PIESSE ST</v>
          </cell>
          <cell r="G1278" t="str">
            <v>2</v>
          </cell>
          <cell r="H1278" t="str">
            <v>W- water corporation</v>
          </cell>
          <cell r="J1278" t="str">
            <v>19771101</v>
          </cell>
          <cell r="K1278" t="str">
            <v>116.878685271</v>
          </cell>
          <cell r="L1278" t="str">
            <v>-33.0221768707</v>
          </cell>
          <cell r="M1278" t="str">
            <v>H</v>
          </cell>
          <cell r="N1278" t="str">
            <v>3</v>
          </cell>
          <cell r="O1278" t="str">
            <v>PIESSE</v>
          </cell>
          <cell r="P1278" t="str">
            <v>ST</v>
          </cell>
          <cell r="R1278" t="str">
            <v>WILLIAMS</v>
          </cell>
          <cell r="S1278" t="str">
            <v>6391</v>
          </cell>
        </row>
        <row r="1279">
          <cell r="B1279" t="str">
            <v>S108-002-001</v>
          </cell>
          <cell r="C1279" t="str">
            <v>SPS ALBANY HWY WILLIAMS</v>
          </cell>
          <cell r="D1279" t="str">
            <v>N- not in use</v>
          </cell>
          <cell r="E1279" t="str">
            <v>PS- pump station</v>
          </cell>
          <cell r="F1279" t="str">
            <v>ALBANY HWY WILLIAMS</v>
          </cell>
          <cell r="G1279" t="str">
            <v>1</v>
          </cell>
          <cell r="H1279" t="str">
            <v>W- water corporation</v>
          </cell>
          <cell r="J1279" t="str">
            <v>19771101</v>
          </cell>
          <cell r="K1279" t="str">
            <v>116.879999546</v>
          </cell>
          <cell r="L1279" t="str">
            <v>-33.0282318571</v>
          </cell>
          <cell r="M1279" t="str">
            <v>L</v>
          </cell>
          <cell r="N1279" t="str">
            <v>21</v>
          </cell>
          <cell r="O1279" t="str">
            <v>ALBANY</v>
          </cell>
          <cell r="P1279" t="str">
            <v>HWY</v>
          </cell>
          <cell r="R1279" t="str">
            <v>WILLIAMS</v>
          </cell>
          <cell r="S1279" t="str">
            <v>6391</v>
          </cell>
        </row>
        <row r="1280">
          <cell r="B1280" t="str">
            <v>S108-002-003</v>
          </cell>
          <cell r="C1280" t="str">
            <v>SPS WILLIAM ST WILLIAMS</v>
          </cell>
          <cell r="D1280" t="str">
            <v>N- not in use</v>
          </cell>
          <cell r="E1280" t="str">
            <v>PS- pump station</v>
          </cell>
          <cell r="F1280" t="str">
            <v>WILLIAM ST</v>
          </cell>
          <cell r="G1280" t="str">
            <v>3</v>
          </cell>
          <cell r="H1280" t="str">
            <v>W- water corporation</v>
          </cell>
          <cell r="J1280" t="str">
            <v>19771101</v>
          </cell>
          <cell r="K1280" t="str">
            <v>116.880461318</v>
          </cell>
          <cell r="L1280" t="str">
            <v>-33.0321499741</v>
          </cell>
          <cell r="M1280" t="str">
            <v>H</v>
          </cell>
          <cell r="N1280" t="str">
            <v>4</v>
          </cell>
          <cell r="O1280" t="str">
            <v>WILLIAM</v>
          </cell>
          <cell r="P1280" t="str">
            <v>ST</v>
          </cell>
          <cell r="R1280" t="str">
            <v>WILLIAMS</v>
          </cell>
          <cell r="S1280" t="str">
            <v>6391</v>
          </cell>
        </row>
        <row r="1281">
          <cell r="D1281" t="str">
            <v>A- actual</v>
          </cell>
          <cell r="E1281" t="str">
            <v>PS- pump station</v>
          </cell>
          <cell r="F1281" t="str">
            <v>MUNGULLAH VILLAGE</v>
          </cell>
          <cell r="H1281" t="str">
            <v>P- private</v>
          </cell>
          <cell r="J1281" t="str">
            <v>20021212</v>
          </cell>
          <cell r="K1281" t="str">
            <v>113.694450694</v>
          </cell>
          <cell r="L1281" t="str">
            <v>-24.873307279</v>
          </cell>
          <cell r="M1281" t="str">
            <v>H</v>
          </cell>
          <cell r="N1281" t="str">
            <v>65</v>
          </cell>
          <cell r="O1281" t="str">
            <v>BOOR</v>
          </cell>
          <cell r="P1281" t="str">
            <v>ST</v>
          </cell>
          <cell r="R1281" t="str">
            <v>KINGSFORD</v>
          </cell>
          <cell r="S1281" t="str">
            <v>6701</v>
          </cell>
        </row>
        <row r="1282">
          <cell r="D1282" t="str">
            <v>A- actual</v>
          </cell>
          <cell r="E1282" t="str">
            <v>PS- pump station</v>
          </cell>
          <cell r="F1282" t="str">
            <v>JURIEN HOTEL</v>
          </cell>
          <cell r="G1282" t="str">
            <v>3</v>
          </cell>
          <cell r="H1282" t="str">
            <v>P- private</v>
          </cell>
          <cell r="J1282" t="str">
            <v>20020701</v>
          </cell>
          <cell r="K1282" t="str">
            <v>115.037226491</v>
          </cell>
          <cell r="L1282" t="str">
            <v>-30.305926507</v>
          </cell>
          <cell r="M1282" t="str">
            <v>H</v>
          </cell>
          <cell r="N1282" t="str">
            <v>72</v>
          </cell>
          <cell r="O1282" t="str">
            <v>BASHFORD</v>
          </cell>
          <cell r="P1282" t="str">
            <v>ST</v>
          </cell>
          <cell r="R1282" t="str">
            <v>JURIEN BAY</v>
          </cell>
          <cell r="S1282" t="str">
            <v>6516</v>
          </cell>
        </row>
        <row r="1283">
          <cell r="B1283" t="str">
            <v>S0037173</v>
          </cell>
          <cell r="C1283" t="str">
            <v>SPS 1 KINTORE ST MOORA SHIRE</v>
          </cell>
          <cell r="D1283" t="str">
            <v>A- actual</v>
          </cell>
          <cell r="E1283" t="str">
            <v>PS- pump station</v>
          </cell>
          <cell r="F1283" t="str">
            <v>MOORA</v>
          </cell>
          <cell r="G1283" t="str">
            <v>1</v>
          </cell>
          <cell r="H1283" t="str">
            <v>P- private</v>
          </cell>
          <cell r="J1283" t="str">
            <v>19771118</v>
          </cell>
          <cell r="K1283" t="str">
            <v>116.002602495</v>
          </cell>
          <cell r="L1283" t="str">
            <v>-30.644699406</v>
          </cell>
          <cell r="M1283" t="str">
            <v>H</v>
          </cell>
          <cell r="N1283" t="str">
            <v>14</v>
          </cell>
          <cell r="O1283" t="str">
            <v>KINTORE</v>
          </cell>
          <cell r="P1283" t="str">
            <v>ST</v>
          </cell>
          <cell r="R1283" t="str">
            <v>MOORA</v>
          </cell>
          <cell r="S1283" t="str">
            <v>6510</v>
          </cell>
        </row>
        <row r="1284">
          <cell r="D1284" t="str">
            <v>A- actual</v>
          </cell>
          <cell r="E1284" t="str">
            <v>PS- pump station</v>
          </cell>
          <cell r="F1284" t="str">
            <v>WILLIAMS SPORTS GROUND</v>
          </cell>
          <cell r="H1284" t="str">
            <v>P- private</v>
          </cell>
          <cell r="J1284" t="str">
            <v>20020427</v>
          </cell>
          <cell r="K1284" t="str">
            <v>116.876269478</v>
          </cell>
          <cell r="L1284" t="str">
            <v>-33.0312786849</v>
          </cell>
          <cell r="M1284" t="str">
            <v>L</v>
          </cell>
          <cell r="N1284" t="str">
            <v>13277</v>
          </cell>
          <cell r="O1284" t="str">
            <v>ALBANY</v>
          </cell>
          <cell r="P1284" t="str">
            <v>HWY</v>
          </cell>
          <cell r="R1284" t="str">
            <v>WILLIAMS</v>
          </cell>
          <cell r="S1284" t="str">
            <v>6391</v>
          </cell>
        </row>
        <row r="1285">
          <cell r="B1285" t="str">
            <v>S2013748</v>
          </cell>
          <cell r="C1285" t="str">
            <v>SPS HOPE ST NORTH BEACH</v>
          </cell>
          <cell r="D1285" t="str">
            <v>A- actual</v>
          </cell>
          <cell r="E1285" t="str">
            <v>PS- pump station</v>
          </cell>
          <cell r="F1285" t="str">
            <v>HOPE ST</v>
          </cell>
          <cell r="G1285" t="str">
            <v>21</v>
          </cell>
          <cell r="H1285" t="str">
            <v>W- water corporation</v>
          </cell>
          <cell r="J1285" t="str">
            <v>20030703</v>
          </cell>
          <cell r="K1285" t="str">
            <v>115.757662208</v>
          </cell>
          <cell r="L1285" t="str">
            <v>-31.8544808016</v>
          </cell>
          <cell r="M1285" t="str">
            <v>H</v>
          </cell>
          <cell r="N1285" t="str">
            <v>60</v>
          </cell>
          <cell r="O1285" t="str">
            <v>HOPE</v>
          </cell>
          <cell r="P1285" t="str">
            <v>ST</v>
          </cell>
          <cell r="R1285" t="str">
            <v>NORTH BEACH</v>
          </cell>
          <cell r="S1285" t="str">
            <v>6020</v>
          </cell>
        </row>
        <row r="1286">
          <cell r="B1286" t="str">
            <v>S8007005</v>
          </cell>
          <cell r="C1286" t="str">
            <v>SPS OLD COAST RD DAWESVILLE</v>
          </cell>
          <cell r="D1286" t="str">
            <v>A- actual</v>
          </cell>
          <cell r="E1286" t="str">
            <v>PS- pump station</v>
          </cell>
          <cell r="F1286" t="str">
            <v>OLD COAST RD TEMP</v>
          </cell>
          <cell r="H1286" t="str">
            <v>W- water corporation</v>
          </cell>
          <cell r="J1286" t="str">
            <v>20031113</v>
          </cell>
          <cell r="K1286" t="str">
            <v>115.638933425</v>
          </cell>
          <cell r="L1286" t="str">
            <v>-32.626921814</v>
          </cell>
          <cell r="M1286" t="str">
            <v>H</v>
          </cell>
          <cell r="N1286" t="str">
            <v>30</v>
          </cell>
          <cell r="O1286" t="str">
            <v>NANNUP</v>
          </cell>
          <cell r="P1286" t="str">
            <v>CL</v>
          </cell>
          <cell r="R1286" t="str">
            <v>DAWESVILLE</v>
          </cell>
          <cell r="S1286" t="str">
            <v>6211</v>
          </cell>
        </row>
        <row r="1287">
          <cell r="D1287" t="str">
            <v>A- actual</v>
          </cell>
          <cell r="E1287" t="str">
            <v>PS- pump station</v>
          </cell>
          <cell r="F1287" t="str">
            <v>LOT 222 COCKBURN RD</v>
          </cell>
          <cell r="H1287" t="str">
            <v>P- private</v>
          </cell>
          <cell r="J1287" t="str">
            <v>19970310</v>
          </cell>
          <cell r="K1287" t="str">
            <v>115.761211146</v>
          </cell>
          <cell r="L1287" t="str">
            <v>-32.093093205</v>
          </cell>
          <cell r="M1287" t="str">
            <v>L</v>
          </cell>
          <cell r="N1287" t="str">
            <v>1598</v>
          </cell>
          <cell r="O1287" t="str">
            <v>COCKBURN</v>
          </cell>
          <cell r="P1287" t="str">
            <v>RD</v>
          </cell>
          <cell r="R1287" t="str">
            <v>NORTH COOGEE</v>
          </cell>
          <cell r="S1287" t="str">
            <v>6163</v>
          </cell>
        </row>
        <row r="1288">
          <cell r="B1288" t="str">
            <v>S4000023</v>
          </cell>
          <cell r="C1288" t="str">
            <v>VPS MURAT RD EXMOUTH</v>
          </cell>
          <cell r="D1288" t="str">
            <v>A- actual</v>
          </cell>
          <cell r="E1288" t="str">
            <v>VPS- vacuum pump station</v>
          </cell>
          <cell r="F1288" t="str">
            <v>EXMOUTH MURAT RD</v>
          </cell>
          <cell r="H1288" t="str">
            <v>W- water corporation</v>
          </cell>
          <cell r="J1288" t="str">
            <v>20040301</v>
          </cell>
          <cell r="K1288" t="str">
            <v>114.131860577</v>
          </cell>
          <cell r="L1288" t="str">
            <v>-21.9532671646</v>
          </cell>
          <cell r="M1288" t="str">
            <v>L</v>
          </cell>
          <cell r="N1288" t="str">
            <v>1457</v>
          </cell>
          <cell r="O1288" t="str">
            <v>MURAT</v>
          </cell>
          <cell r="P1288" t="str">
            <v>RD</v>
          </cell>
          <cell r="R1288" t="str">
            <v>EXMOUTH</v>
          </cell>
          <cell r="S1288" t="str">
            <v>6707</v>
          </cell>
        </row>
        <row r="1289">
          <cell r="D1289" t="str">
            <v>A- actual</v>
          </cell>
          <cell r="E1289" t="str">
            <v>PS- pump station</v>
          </cell>
          <cell r="F1289" t="str">
            <v>BALMORAL RD CARAVAN PARK</v>
          </cell>
          <cell r="H1289" t="str">
            <v>P- private</v>
          </cell>
          <cell r="J1289" t="str">
            <v>20040525</v>
          </cell>
          <cell r="K1289" t="str">
            <v>116.809642216</v>
          </cell>
          <cell r="L1289" t="str">
            <v>-20.7311570991</v>
          </cell>
          <cell r="M1289" t="str">
            <v>L</v>
          </cell>
          <cell r="N1289" t="str">
            <v>4689</v>
          </cell>
          <cell r="O1289" t="str">
            <v>BALMORAL</v>
          </cell>
          <cell r="P1289" t="str">
            <v>RD</v>
          </cell>
          <cell r="R1289" t="str">
            <v>GAP RIDGE</v>
          </cell>
          <cell r="S1289" t="str">
            <v>6714</v>
          </cell>
        </row>
        <row r="1290">
          <cell r="B1290" t="str">
            <v>S0037183</v>
          </cell>
          <cell r="C1290" t="str">
            <v>SPS 2 PENSIONER UNIT MOORA SHIRE</v>
          </cell>
          <cell r="D1290" t="str">
            <v>A- actual</v>
          </cell>
          <cell r="E1290" t="str">
            <v>PS- pump station</v>
          </cell>
          <cell r="F1290" t="str">
            <v>MOORA</v>
          </cell>
          <cell r="G1290" t="str">
            <v>2</v>
          </cell>
          <cell r="H1290" t="str">
            <v>P- private</v>
          </cell>
          <cell r="J1290" t="str">
            <v>19771118</v>
          </cell>
          <cell r="K1290" t="str">
            <v>116.001943479</v>
          </cell>
          <cell r="L1290" t="str">
            <v>-30.639301942</v>
          </cell>
          <cell r="M1290" t="str">
            <v>L</v>
          </cell>
          <cell r="N1290" t="str">
            <v>394</v>
          </cell>
          <cell r="O1290" t="str">
            <v>DANDARAGAN</v>
          </cell>
          <cell r="P1290" t="str">
            <v>ST</v>
          </cell>
          <cell r="R1290" t="str">
            <v>MOORA</v>
          </cell>
          <cell r="S1290" t="str">
            <v>6510</v>
          </cell>
        </row>
        <row r="1291">
          <cell r="B1291" t="str">
            <v>S0037192</v>
          </cell>
          <cell r="C1291" t="str">
            <v>SPS 3 SHIRE YARD MOORA SHIRE</v>
          </cell>
          <cell r="D1291" t="str">
            <v>A- actual</v>
          </cell>
          <cell r="E1291" t="str">
            <v>PS- pump station</v>
          </cell>
          <cell r="F1291" t="str">
            <v>MOORA</v>
          </cell>
          <cell r="G1291" t="str">
            <v>3</v>
          </cell>
          <cell r="H1291" t="str">
            <v>P- private</v>
          </cell>
          <cell r="J1291" t="str">
            <v>19771118</v>
          </cell>
          <cell r="K1291" t="str">
            <v>116.006780465</v>
          </cell>
          <cell r="L1291" t="str">
            <v>-30.643061995</v>
          </cell>
          <cell r="M1291" t="str">
            <v>H</v>
          </cell>
          <cell r="N1291" t="str">
            <v>21</v>
          </cell>
          <cell r="O1291" t="str">
            <v>ROBERTS</v>
          </cell>
          <cell r="P1291" t="str">
            <v>ST</v>
          </cell>
          <cell r="R1291" t="str">
            <v>MOORA</v>
          </cell>
          <cell r="S1291" t="str">
            <v>6510</v>
          </cell>
        </row>
        <row r="1292">
          <cell r="B1292" t="str">
            <v>S0037201</v>
          </cell>
          <cell r="C1292" t="str">
            <v>SPS 4 SWIMMING POOL MOORA SHIRE</v>
          </cell>
          <cell r="D1292" t="str">
            <v>A- actual</v>
          </cell>
          <cell r="E1292" t="str">
            <v>PS- pump station</v>
          </cell>
          <cell r="F1292" t="str">
            <v>MOORA</v>
          </cell>
          <cell r="G1292" t="str">
            <v>4</v>
          </cell>
          <cell r="H1292" t="str">
            <v>P- private</v>
          </cell>
          <cell r="J1292" t="str">
            <v>18000101</v>
          </cell>
          <cell r="K1292" t="str">
            <v>116.00588123</v>
          </cell>
          <cell r="L1292" t="str">
            <v>-30.638938278</v>
          </cell>
          <cell r="M1292" t="str">
            <v>H</v>
          </cell>
          <cell r="N1292" t="str">
            <v>20</v>
          </cell>
          <cell r="O1292" t="str">
            <v>DANDARAGAN</v>
          </cell>
          <cell r="P1292" t="str">
            <v>ST</v>
          </cell>
          <cell r="R1292" t="str">
            <v>MOORA</v>
          </cell>
          <cell r="S1292" t="str">
            <v>6510</v>
          </cell>
        </row>
        <row r="1293">
          <cell r="B1293" t="str">
            <v>S0037210</v>
          </cell>
          <cell r="C1293" t="str">
            <v>SPS 5 GOURMET CAFE MOORA SHIRE</v>
          </cell>
          <cell r="D1293" t="str">
            <v>A- actual</v>
          </cell>
          <cell r="E1293" t="str">
            <v>PS- pump station</v>
          </cell>
          <cell r="F1293" t="str">
            <v>MOORA</v>
          </cell>
          <cell r="G1293" t="str">
            <v>5</v>
          </cell>
          <cell r="H1293" t="str">
            <v>P- private</v>
          </cell>
          <cell r="J1293" t="str">
            <v>18000101</v>
          </cell>
          <cell r="K1293" t="str">
            <v>116.010635149</v>
          </cell>
          <cell r="L1293" t="str">
            <v>-30.640089931</v>
          </cell>
          <cell r="M1293" t="str">
            <v>L</v>
          </cell>
          <cell r="N1293" t="str">
            <v>310</v>
          </cell>
          <cell r="O1293" t="str">
            <v>MELBOURNE</v>
          </cell>
          <cell r="P1293" t="str">
            <v>ST</v>
          </cell>
          <cell r="R1293" t="str">
            <v>MOORA</v>
          </cell>
          <cell r="S1293" t="str">
            <v>6510</v>
          </cell>
        </row>
        <row r="1294">
          <cell r="B1294" t="str">
            <v>S0037219</v>
          </cell>
          <cell r="C1294" t="str">
            <v>SPS 6 PRIVATE MOORA SHIRE</v>
          </cell>
          <cell r="D1294" t="str">
            <v>A- actual</v>
          </cell>
          <cell r="E1294" t="str">
            <v>PS- pump station</v>
          </cell>
          <cell r="F1294" t="str">
            <v>MOORA</v>
          </cell>
          <cell r="G1294" t="str">
            <v>6</v>
          </cell>
          <cell r="H1294" t="str">
            <v>P- private</v>
          </cell>
          <cell r="J1294" t="str">
            <v>18000101</v>
          </cell>
          <cell r="K1294" t="str">
            <v>116.011706175</v>
          </cell>
          <cell r="L1294" t="str">
            <v>-30.6463744775</v>
          </cell>
          <cell r="M1294" t="str">
            <v>L</v>
          </cell>
          <cell r="N1294" t="str">
            <v>365</v>
          </cell>
          <cell r="O1294" t="str">
            <v>LEE STEERE</v>
          </cell>
          <cell r="P1294" t="str">
            <v>ST</v>
          </cell>
          <cell r="R1294" t="str">
            <v>MOORA</v>
          </cell>
          <cell r="S1294" t="str">
            <v>6510</v>
          </cell>
        </row>
        <row r="1295">
          <cell r="B1295" t="str">
            <v>S0037228</v>
          </cell>
          <cell r="C1295" t="str">
            <v>SPS 7 STAFFORD RD MOORA SHIRE</v>
          </cell>
          <cell r="D1295" t="str">
            <v>A- actual</v>
          </cell>
          <cell r="E1295" t="str">
            <v>PS- pump station</v>
          </cell>
          <cell r="F1295" t="str">
            <v>MOORA</v>
          </cell>
          <cell r="G1295" t="str">
            <v>7</v>
          </cell>
          <cell r="H1295" t="str">
            <v>P- private</v>
          </cell>
          <cell r="J1295" t="str">
            <v>18000101</v>
          </cell>
          <cell r="K1295" t="str">
            <v>116.002057213</v>
          </cell>
          <cell r="L1295" t="str">
            <v>-30.6356535769</v>
          </cell>
          <cell r="M1295" t="str">
            <v>L</v>
          </cell>
          <cell r="N1295" t="str">
            <v>383</v>
          </cell>
          <cell r="O1295" t="str">
            <v>STAFFORD</v>
          </cell>
          <cell r="P1295" t="str">
            <v>ST</v>
          </cell>
          <cell r="R1295" t="str">
            <v>MOORA</v>
          </cell>
          <cell r="S1295" t="str">
            <v>6510</v>
          </cell>
        </row>
        <row r="1296">
          <cell r="B1296" t="str">
            <v>S8007115</v>
          </cell>
          <cell r="C1296" t="str">
            <v>SPS SOUTHPORT BVD DAWESVILLE</v>
          </cell>
          <cell r="D1296" t="str">
            <v>A- actual</v>
          </cell>
          <cell r="E1296" t="str">
            <v>PS- pump station</v>
          </cell>
          <cell r="F1296" t="str">
            <v>SOUTHPORT BLVD</v>
          </cell>
          <cell r="G1296" t="str">
            <v>10</v>
          </cell>
          <cell r="H1296" t="str">
            <v>W- water corporation</v>
          </cell>
          <cell r="J1296" t="str">
            <v>20050502</v>
          </cell>
          <cell r="K1296" t="str">
            <v>115.633038394</v>
          </cell>
          <cell r="L1296" t="str">
            <v>-32.6057351964</v>
          </cell>
          <cell r="M1296" t="str">
            <v>L</v>
          </cell>
          <cell r="N1296" t="str">
            <v>8006</v>
          </cell>
          <cell r="O1296" t="str">
            <v>SOUTHPORT</v>
          </cell>
          <cell r="P1296" t="str">
            <v>BVD</v>
          </cell>
          <cell r="R1296" t="str">
            <v>DAWESVILLE</v>
          </cell>
          <cell r="S1296" t="str">
            <v>6211</v>
          </cell>
        </row>
        <row r="1297">
          <cell r="B1297" t="str">
            <v>S8006155</v>
          </cell>
          <cell r="C1297" t="str">
            <v>SPS BUTTERCUP PWY HALLS HEAD</v>
          </cell>
          <cell r="D1297" t="str">
            <v>A- actual</v>
          </cell>
          <cell r="E1297" t="str">
            <v>PS- pump station</v>
          </cell>
          <cell r="F1297" t="str">
            <v>BUTTERCUP PWY</v>
          </cell>
          <cell r="G1297" t="str">
            <v>12</v>
          </cell>
          <cell r="H1297" t="str">
            <v>W- water corporation</v>
          </cell>
          <cell r="J1297" t="str">
            <v>20030911</v>
          </cell>
          <cell r="K1297" t="str">
            <v>115.68178724</v>
          </cell>
          <cell r="L1297" t="str">
            <v>-32.554048152</v>
          </cell>
          <cell r="M1297" t="str">
            <v>L</v>
          </cell>
          <cell r="N1297" t="str">
            <v>1062</v>
          </cell>
          <cell r="O1297" t="str">
            <v>BUTTERCUP</v>
          </cell>
          <cell r="P1297" t="str">
            <v>PWY</v>
          </cell>
          <cell r="R1297" t="str">
            <v>HALLS HEAD</v>
          </cell>
          <cell r="S1297" t="str">
            <v>6210</v>
          </cell>
        </row>
        <row r="1298">
          <cell r="B1298" t="str">
            <v>S2016971</v>
          </cell>
          <cell r="C1298" t="str">
            <v>SPS REDWOOD DR TAPPING</v>
          </cell>
          <cell r="D1298" t="str">
            <v>A- actual</v>
          </cell>
          <cell r="E1298" t="str">
            <v>PS- pump station</v>
          </cell>
          <cell r="F1298" t="str">
            <v>REDWOOD DR TEMP</v>
          </cell>
          <cell r="H1298" t="str">
            <v>W- water corporation</v>
          </cell>
          <cell r="J1298" t="str">
            <v>20040317</v>
          </cell>
          <cell r="K1298" t="str">
            <v>115.78812689</v>
          </cell>
          <cell r="L1298" t="str">
            <v>-31.72507691</v>
          </cell>
          <cell r="M1298" t="str">
            <v>H</v>
          </cell>
          <cell r="N1298" t="str">
            <v>28</v>
          </cell>
          <cell r="O1298" t="str">
            <v>EGRETTA</v>
          </cell>
          <cell r="P1298" t="str">
            <v>RD</v>
          </cell>
          <cell r="R1298" t="str">
            <v>TAPPING</v>
          </cell>
          <cell r="S1298" t="str">
            <v>6065</v>
          </cell>
        </row>
        <row r="1299">
          <cell r="B1299" t="str">
            <v>S8007064</v>
          </cell>
          <cell r="C1299" t="str">
            <v>SPS ABEONA PDE MADORA BAY</v>
          </cell>
          <cell r="D1299" t="str">
            <v>A- actual</v>
          </cell>
          <cell r="E1299" t="str">
            <v>PS- pump station</v>
          </cell>
          <cell r="F1299" t="str">
            <v>ABEONA PDE</v>
          </cell>
          <cell r="G1299" t="str">
            <v>6</v>
          </cell>
          <cell r="H1299" t="str">
            <v>W- water corporation</v>
          </cell>
          <cell r="J1299" t="str">
            <v>20040801</v>
          </cell>
          <cell r="K1299" t="str">
            <v>115.748996382</v>
          </cell>
          <cell r="L1299" t="str">
            <v>-32.47648083</v>
          </cell>
          <cell r="M1299" t="str">
            <v>H</v>
          </cell>
          <cell r="N1299" t="str">
            <v>7</v>
          </cell>
          <cell r="O1299" t="str">
            <v>TRANBY</v>
          </cell>
          <cell r="P1299" t="str">
            <v>ST</v>
          </cell>
          <cell r="R1299" t="str">
            <v>MADORA BAY</v>
          </cell>
          <cell r="S1299" t="str">
            <v>6210</v>
          </cell>
        </row>
        <row r="1300">
          <cell r="B1300" t="str">
            <v>S4001020</v>
          </cell>
          <cell r="C1300" t="str">
            <v>SPS ROBINSON ST CORAL BAY</v>
          </cell>
          <cell r="D1300" t="str">
            <v>A- actual</v>
          </cell>
          <cell r="E1300" t="str">
            <v>PS- pump station</v>
          </cell>
          <cell r="F1300" t="str">
            <v>ROBINSON ST</v>
          </cell>
          <cell r="H1300" t="str">
            <v>W- water corporation</v>
          </cell>
          <cell r="J1300" t="str">
            <v>20040806</v>
          </cell>
          <cell r="K1300" t="str">
            <v>113.768239114</v>
          </cell>
          <cell r="L1300" t="str">
            <v>-23.1436273783</v>
          </cell>
          <cell r="M1300" t="str">
            <v>H</v>
          </cell>
          <cell r="N1300" t="str">
            <v>2</v>
          </cell>
          <cell r="O1300" t="str">
            <v>ROBINSON</v>
          </cell>
          <cell r="P1300" t="str">
            <v>ST</v>
          </cell>
          <cell r="R1300" t="str">
            <v>CORAL BAY</v>
          </cell>
          <cell r="S1300" t="str">
            <v>6701</v>
          </cell>
        </row>
        <row r="1301">
          <cell r="D1301" t="str">
            <v>A- actual</v>
          </cell>
          <cell r="E1301" t="str">
            <v>PS- pump station</v>
          </cell>
          <cell r="H1301" t="str">
            <v>P- private</v>
          </cell>
          <cell r="J1301" t="str">
            <v>19780823</v>
          </cell>
          <cell r="K1301" t="str">
            <v>117.662311178</v>
          </cell>
          <cell r="L1301" t="str">
            <v>-34.6187426617</v>
          </cell>
          <cell r="M1301" t="str">
            <v>H</v>
          </cell>
          <cell r="N1301" t="str">
            <v>31751</v>
          </cell>
          <cell r="O1301" t="str">
            <v>ALBANY</v>
          </cell>
          <cell r="P1301" t="str">
            <v>HWY</v>
          </cell>
          <cell r="R1301" t="str">
            <v>MOUNT BARKER</v>
          </cell>
          <cell r="S1301" t="str">
            <v>6324</v>
          </cell>
        </row>
        <row r="1302">
          <cell r="B1302" t="str">
            <v>S109-002-001</v>
          </cell>
          <cell r="C1302" t="str">
            <v>SPS KONDININ RD KULIN</v>
          </cell>
          <cell r="D1302" t="str">
            <v>A- actual</v>
          </cell>
          <cell r="E1302" t="str">
            <v>PS- pump station</v>
          </cell>
          <cell r="F1302" t="str">
            <v>KULIN</v>
          </cell>
          <cell r="G1302" t="str">
            <v>1</v>
          </cell>
          <cell r="H1302" t="str">
            <v>W- water corporation</v>
          </cell>
          <cell r="J1302" t="str">
            <v>20040701</v>
          </cell>
          <cell r="K1302" t="str">
            <v>118.15911766</v>
          </cell>
          <cell r="L1302" t="str">
            <v>-32.66902736</v>
          </cell>
          <cell r="M1302" t="str">
            <v>L</v>
          </cell>
          <cell r="N1302" t="str">
            <v>2</v>
          </cell>
          <cell r="O1302" t="str">
            <v>CBH ACCESS</v>
          </cell>
          <cell r="P1302" t="str">
            <v>RD</v>
          </cell>
          <cell r="R1302" t="str">
            <v>KULIN</v>
          </cell>
          <cell r="S1302" t="str">
            <v>6365</v>
          </cell>
        </row>
        <row r="1303">
          <cell r="D1303" t="str">
            <v>A- actual</v>
          </cell>
          <cell r="E1303" t="str">
            <v>PS- pump station</v>
          </cell>
          <cell r="F1303" t="str">
            <v>FERTAL HOLDINGS</v>
          </cell>
          <cell r="H1303" t="str">
            <v>P- private</v>
          </cell>
          <cell r="J1303" t="str">
            <v>20041001</v>
          </cell>
          <cell r="K1303" t="str">
            <v>116.005286023</v>
          </cell>
          <cell r="L1303" t="str">
            <v>-31.91910994</v>
          </cell>
          <cell r="M1303" t="str">
            <v>L</v>
          </cell>
          <cell r="N1303" t="str">
            <v>141</v>
          </cell>
          <cell r="O1303" t="str">
            <v>TALBOT</v>
          </cell>
          <cell r="P1303" t="str">
            <v>RD</v>
          </cell>
          <cell r="R1303" t="str">
            <v>HAZELMERE</v>
          </cell>
          <cell r="S1303" t="str">
            <v>6055</v>
          </cell>
        </row>
        <row r="1304">
          <cell r="D1304" t="str">
            <v>A- actual</v>
          </cell>
          <cell r="E1304" t="str">
            <v>PS- pump station</v>
          </cell>
          <cell r="F1304" t="str">
            <v>TOM BATEMAN RESERVE</v>
          </cell>
          <cell r="H1304" t="str">
            <v>P- private</v>
          </cell>
          <cell r="J1304" t="str">
            <v>20041026</v>
          </cell>
          <cell r="K1304" t="str">
            <v>115.937193689</v>
          </cell>
          <cell r="L1304" t="str">
            <v>-32.059591213</v>
          </cell>
          <cell r="M1304" t="str">
            <v>H</v>
          </cell>
          <cell r="N1304" t="str">
            <v>45</v>
          </cell>
          <cell r="O1304" t="str">
            <v>NYANDI</v>
          </cell>
          <cell r="P1304" t="str">
            <v>CT</v>
          </cell>
          <cell r="R1304" t="str">
            <v>THORNLIE</v>
          </cell>
          <cell r="S1304" t="str">
            <v>6108</v>
          </cell>
        </row>
        <row r="1305">
          <cell r="D1305" t="str">
            <v>A- actual</v>
          </cell>
          <cell r="E1305" t="str">
            <v>PS- pump station</v>
          </cell>
          <cell r="F1305" t="str">
            <v>PARRNPAJINYA COMMUNITY</v>
          </cell>
          <cell r="H1305" t="str">
            <v>P- private</v>
          </cell>
          <cell r="J1305" t="str">
            <v>19800101</v>
          </cell>
          <cell r="K1305" t="str">
            <v>119.742826144</v>
          </cell>
          <cell r="L1305" t="str">
            <v>-23.3409793479</v>
          </cell>
          <cell r="M1305" t="str">
            <v>L</v>
          </cell>
          <cell r="N1305" t="str">
            <v>228</v>
          </cell>
          <cell r="O1305" t="str">
            <v>COLLEY</v>
          </cell>
          <cell r="P1305" t="str">
            <v>RD</v>
          </cell>
          <cell r="R1305" t="str">
            <v>NEWMAN</v>
          </cell>
          <cell r="S1305" t="str">
            <v>6753</v>
          </cell>
        </row>
        <row r="1306">
          <cell r="B1306" t="str">
            <v>S8007023</v>
          </cell>
          <cell r="C1306" t="str">
            <v>SPS WATSON ST EATON</v>
          </cell>
          <cell r="D1306" t="str">
            <v>A- actual</v>
          </cell>
          <cell r="E1306" t="str">
            <v>PS- pump station</v>
          </cell>
          <cell r="F1306" t="str">
            <v>WATSON ST</v>
          </cell>
          <cell r="G1306" t="str">
            <v>7</v>
          </cell>
          <cell r="H1306" t="str">
            <v>W- water corporation</v>
          </cell>
          <cell r="J1306" t="str">
            <v>20041104</v>
          </cell>
          <cell r="K1306" t="str">
            <v>115.717141927</v>
          </cell>
          <cell r="L1306" t="str">
            <v>-33.313807736</v>
          </cell>
          <cell r="M1306" t="str">
            <v>H</v>
          </cell>
          <cell r="N1306" t="str">
            <v>1</v>
          </cell>
          <cell r="O1306" t="str">
            <v>LENNARD</v>
          </cell>
          <cell r="P1306" t="str">
            <v>ST</v>
          </cell>
          <cell r="R1306" t="str">
            <v>EATON</v>
          </cell>
          <cell r="S1306" t="str">
            <v>6232</v>
          </cell>
        </row>
        <row r="1307">
          <cell r="B1307" t="str">
            <v>S2012269</v>
          </cell>
          <cell r="C1307" t="str">
            <v>SPS ELLIOTT RD TRIGG</v>
          </cell>
          <cell r="D1307" t="str">
            <v>A- actual</v>
          </cell>
          <cell r="E1307" t="str">
            <v>PS- pump station</v>
          </cell>
          <cell r="F1307" t="str">
            <v>ELLIOTT RD</v>
          </cell>
          <cell r="G1307" t="str">
            <v>11</v>
          </cell>
          <cell r="H1307" t="str">
            <v>W- water corporation</v>
          </cell>
          <cell r="J1307" t="str">
            <v>20040205</v>
          </cell>
          <cell r="K1307" t="str">
            <v>115.760438078</v>
          </cell>
          <cell r="L1307" t="str">
            <v>-31.8829373817</v>
          </cell>
          <cell r="M1307" t="str">
            <v>H</v>
          </cell>
          <cell r="N1307" t="str">
            <v>131</v>
          </cell>
          <cell r="O1307" t="str">
            <v>ELLIOTT</v>
          </cell>
          <cell r="P1307" t="str">
            <v>RD</v>
          </cell>
          <cell r="R1307" t="str">
            <v>KARRINYUP</v>
          </cell>
          <cell r="S1307" t="str">
            <v>6018</v>
          </cell>
        </row>
        <row r="1308">
          <cell r="B1308" t="str">
            <v>S8007097</v>
          </cell>
          <cell r="C1308" t="str">
            <v>SPS OAKLEIGH DR ERSKINE</v>
          </cell>
          <cell r="D1308" t="str">
            <v>A- actual</v>
          </cell>
          <cell r="E1308" t="str">
            <v>PS- pump station</v>
          </cell>
          <cell r="F1308" t="str">
            <v>OAKLEIGH DR</v>
          </cell>
          <cell r="G1308" t="str">
            <v>11</v>
          </cell>
          <cell r="H1308" t="str">
            <v>W- water corporation</v>
          </cell>
          <cell r="J1308" t="str">
            <v>20041119</v>
          </cell>
          <cell r="K1308" t="str">
            <v>115.695215512</v>
          </cell>
          <cell r="L1308" t="str">
            <v>-32.5591069209</v>
          </cell>
          <cell r="M1308" t="str">
            <v>L</v>
          </cell>
          <cell r="N1308" t="str">
            <v>2103</v>
          </cell>
          <cell r="O1308" t="str">
            <v>OAKLEIGH</v>
          </cell>
          <cell r="P1308" t="str">
            <v>DR</v>
          </cell>
          <cell r="R1308" t="str">
            <v>ERSKINE</v>
          </cell>
          <cell r="S1308" t="str">
            <v>6210</v>
          </cell>
        </row>
        <row r="1309">
          <cell r="B1309" t="str">
            <v>S8009183</v>
          </cell>
          <cell r="C1309" t="str">
            <v>SPS WARBURTON TRL LAKELANDS</v>
          </cell>
          <cell r="D1309" t="str">
            <v>A- actual</v>
          </cell>
          <cell r="E1309" t="str">
            <v>PS- pump station</v>
          </cell>
          <cell r="F1309" t="str">
            <v>WARBURTON TRAIL</v>
          </cell>
          <cell r="G1309" t="str">
            <v>7</v>
          </cell>
          <cell r="H1309" t="str">
            <v>W- water corporation</v>
          </cell>
          <cell r="J1309" t="str">
            <v>20050413</v>
          </cell>
          <cell r="K1309" t="str">
            <v>115.770417927</v>
          </cell>
          <cell r="L1309" t="str">
            <v>-32.4705909246</v>
          </cell>
          <cell r="M1309" t="str">
            <v>L</v>
          </cell>
          <cell r="N1309" t="str">
            <v>8004</v>
          </cell>
          <cell r="O1309" t="str">
            <v>WARBURTON</v>
          </cell>
          <cell r="P1309" t="str">
            <v>TRL</v>
          </cell>
          <cell r="R1309" t="str">
            <v>LAKELANDS</v>
          </cell>
          <cell r="S1309" t="str">
            <v>6180</v>
          </cell>
        </row>
        <row r="1310">
          <cell r="D1310" t="str">
            <v>A- actual</v>
          </cell>
          <cell r="E1310" t="str">
            <v>PS- pump station</v>
          </cell>
          <cell r="F1310" t="str">
            <v>PEPPERMINT PARK CARAVAN PARK</v>
          </cell>
          <cell r="H1310" t="str">
            <v>P- private</v>
          </cell>
          <cell r="J1310" t="str">
            <v>20041201</v>
          </cell>
          <cell r="K1310" t="str">
            <v>115.24878923</v>
          </cell>
          <cell r="L1310" t="str">
            <v>-33.662525691</v>
          </cell>
          <cell r="M1310" t="str">
            <v>H</v>
          </cell>
          <cell r="N1310" t="str">
            <v>97</v>
          </cell>
          <cell r="O1310" t="str">
            <v>CAVES</v>
          </cell>
          <cell r="P1310" t="str">
            <v>RD</v>
          </cell>
          <cell r="R1310" t="str">
            <v>ABBEY</v>
          </cell>
          <cell r="S1310" t="str">
            <v>6280</v>
          </cell>
        </row>
        <row r="1311">
          <cell r="D1311" t="str">
            <v>A- actual</v>
          </cell>
          <cell r="E1311" t="str">
            <v>PS- pump station</v>
          </cell>
          <cell r="F1311" t="str">
            <v>MEATH HEALTH CARE</v>
          </cell>
          <cell r="H1311" t="str">
            <v>P- private</v>
          </cell>
          <cell r="J1311" t="str">
            <v>20050119</v>
          </cell>
          <cell r="K1311" t="str">
            <v>115.814086945</v>
          </cell>
          <cell r="L1311" t="str">
            <v>-31.803246896</v>
          </cell>
          <cell r="M1311" t="str">
            <v>H</v>
          </cell>
          <cell r="N1311" t="str">
            <v>1</v>
          </cell>
          <cell r="O1311" t="str">
            <v>LAKEWAY</v>
          </cell>
          <cell r="P1311" t="str">
            <v>DR</v>
          </cell>
          <cell r="R1311" t="str">
            <v>KINGSLEY</v>
          </cell>
          <cell r="S1311" t="str">
            <v>6026</v>
          </cell>
        </row>
        <row r="1312">
          <cell r="D1312" t="str">
            <v>A- actual</v>
          </cell>
          <cell r="E1312" t="str">
            <v>PS- pump station</v>
          </cell>
          <cell r="F1312" t="str">
            <v>CHEROKEE VILLAGE</v>
          </cell>
          <cell r="H1312" t="str">
            <v>P- private</v>
          </cell>
          <cell r="J1312" t="str">
            <v>20050119</v>
          </cell>
          <cell r="K1312" t="str">
            <v>115.815423197</v>
          </cell>
          <cell r="L1312" t="str">
            <v>-31.802998919</v>
          </cell>
          <cell r="M1312" t="str">
            <v>H</v>
          </cell>
          <cell r="N1312" t="str">
            <v>7</v>
          </cell>
          <cell r="O1312" t="str">
            <v>PLOVER</v>
          </cell>
          <cell r="P1312" t="str">
            <v>WAY</v>
          </cell>
          <cell r="R1312" t="str">
            <v>KINGSLEY</v>
          </cell>
          <cell r="S1312" t="str">
            <v>6026</v>
          </cell>
        </row>
        <row r="1313">
          <cell r="B1313" t="str">
            <v>S6000701</v>
          </cell>
          <cell r="C1313" t="str">
            <v>SPS 1 ACACIA ST KAMBALDA EAST</v>
          </cell>
          <cell r="D1313" t="str">
            <v>A- actual</v>
          </cell>
          <cell r="E1313" t="str">
            <v>PS- pump station</v>
          </cell>
          <cell r="F1313" t="str">
            <v>ACACIA ST</v>
          </cell>
          <cell r="H1313" t="str">
            <v>W- water corporation</v>
          </cell>
          <cell r="J1313" t="str">
            <v>19700101</v>
          </cell>
          <cell r="K1313" t="str">
            <v>121.67395481</v>
          </cell>
          <cell r="L1313" t="str">
            <v>-31.20484872</v>
          </cell>
          <cell r="M1313" t="str">
            <v>H</v>
          </cell>
          <cell r="N1313" t="str">
            <v>77</v>
          </cell>
          <cell r="O1313" t="str">
            <v>GORDON ADAMS</v>
          </cell>
          <cell r="P1313" t="str">
            <v>RD</v>
          </cell>
          <cell r="R1313" t="str">
            <v>KAMBALDA EAST</v>
          </cell>
          <cell r="S1313" t="str">
            <v>6442</v>
          </cell>
        </row>
        <row r="1314">
          <cell r="B1314" t="str">
            <v>S4001006</v>
          </cell>
          <cell r="C1314" t="str">
            <v>SPS 7 OCEAN DR DONGARA</v>
          </cell>
          <cell r="D1314" t="str">
            <v>A- actual</v>
          </cell>
          <cell r="E1314" t="str">
            <v>PS- pump station</v>
          </cell>
          <cell r="F1314" t="str">
            <v>OCEAN DR</v>
          </cell>
          <cell r="G1314" t="str">
            <v>7</v>
          </cell>
          <cell r="H1314" t="str">
            <v>W- water corporation</v>
          </cell>
          <cell r="J1314" t="str">
            <v>20041215</v>
          </cell>
          <cell r="K1314" t="str">
            <v>114.92355809</v>
          </cell>
          <cell r="L1314" t="str">
            <v>-29.25808036</v>
          </cell>
          <cell r="M1314" t="str">
            <v>L</v>
          </cell>
          <cell r="N1314" t="str">
            <v>310</v>
          </cell>
          <cell r="O1314" t="str">
            <v>OCEAN</v>
          </cell>
          <cell r="P1314" t="str">
            <v>DR</v>
          </cell>
          <cell r="R1314" t="str">
            <v>PORT DENISON</v>
          </cell>
          <cell r="S1314" t="str">
            <v>6525</v>
          </cell>
        </row>
        <row r="1315">
          <cell r="D1315" t="str">
            <v>A- actual</v>
          </cell>
          <cell r="E1315" t="str">
            <v>PS- pump station</v>
          </cell>
          <cell r="F1315" t="str">
            <v>SOUTH PERTH</v>
          </cell>
          <cell r="H1315" t="str">
            <v>P- private</v>
          </cell>
          <cell r="J1315" t="str">
            <v>19000101</v>
          </cell>
          <cell r="K1315" t="str">
            <v>115.86540727</v>
          </cell>
          <cell r="L1315" t="str">
            <v>-31.9765322306</v>
          </cell>
          <cell r="M1315" t="str">
            <v>H</v>
          </cell>
          <cell r="N1315" t="str">
            <v>16</v>
          </cell>
          <cell r="O1315" t="str">
            <v>COODE</v>
          </cell>
          <cell r="P1315" t="str">
            <v>ST</v>
          </cell>
          <cell r="R1315" t="str">
            <v>SOUTH PERTH</v>
          </cell>
          <cell r="S1315" t="str">
            <v>6151</v>
          </cell>
        </row>
        <row r="1316">
          <cell r="B1316" t="str">
            <v>S0032613</v>
          </cell>
          <cell r="C1316" t="str">
            <v>SPS CARRINGTON ST NEDLANDS</v>
          </cell>
          <cell r="D1316" t="str">
            <v>A- actual</v>
          </cell>
          <cell r="E1316" t="str">
            <v>PS- pump station</v>
          </cell>
          <cell r="F1316" t="str">
            <v>CARRINGTON ST</v>
          </cell>
          <cell r="G1316" t="str">
            <v>020-10</v>
          </cell>
          <cell r="H1316" t="str">
            <v>W- water corporation</v>
          </cell>
          <cell r="J1316" t="str">
            <v>19800601</v>
          </cell>
          <cell r="K1316" t="str">
            <v>115.797138199</v>
          </cell>
          <cell r="L1316" t="str">
            <v>-31.9755162125</v>
          </cell>
          <cell r="M1316" t="str">
            <v>L</v>
          </cell>
          <cell r="N1316" t="str">
            <v>101</v>
          </cell>
          <cell r="O1316" t="str">
            <v>CARRINGTON</v>
          </cell>
          <cell r="P1316" t="str">
            <v>ST</v>
          </cell>
          <cell r="R1316" t="str">
            <v>NEDLANDS</v>
          </cell>
          <cell r="S1316" t="str">
            <v>6009</v>
          </cell>
        </row>
        <row r="1317">
          <cell r="D1317" t="str">
            <v>A- actual</v>
          </cell>
          <cell r="E1317" t="str">
            <v>PS- pump station</v>
          </cell>
          <cell r="F1317" t="str">
            <v>FITZROY LODGE CARAVAN PARK</v>
          </cell>
          <cell r="H1317" t="str">
            <v>P- private</v>
          </cell>
          <cell r="J1317" t="str">
            <v>19980601</v>
          </cell>
          <cell r="K1317" t="str">
            <v>125.583177404</v>
          </cell>
          <cell r="L1317" t="str">
            <v>-18.209057283</v>
          </cell>
          <cell r="M1317" t="str">
            <v>L</v>
          </cell>
          <cell r="N1317" t="str">
            <v>277</v>
          </cell>
          <cell r="O1317" t="str">
            <v>GREAT NORTHERN</v>
          </cell>
          <cell r="P1317" t="str">
            <v>HWY</v>
          </cell>
          <cell r="R1317" t="str">
            <v>ST GEORGE RANGES</v>
          </cell>
          <cell r="S1317" t="str">
            <v>6728</v>
          </cell>
        </row>
        <row r="1318">
          <cell r="B1318" t="str">
            <v>S2016917</v>
          </cell>
          <cell r="C1318" t="str">
            <v>SPS WALSH RTT BALDIVIS</v>
          </cell>
          <cell r="D1318" t="str">
            <v>A- actual</v>
          </cell>
          <cell r="E1318" t="str">
            <v>PS- pump station</v>
          </cell>
          <cell r="F1318" t="str">
            <v>WALSH RTT</v>
          </cell>
          <cell r="H1318" t="str">
            <v>W- water corporation</v>
          </cell>
          <cell r="J1318" t="str">
            <v>20041202</v>
          </cell>
          <cell r="K1318" t="str">
            <v>115.810305314</v>
          </cell>
          <cell r="L1318" t="str">
            <v>-32.339780645</v>
          </cell>
          <cell r="M1318" t="str">
            <v>H</v>
          </cell>
          <cell r="N1318" t="str">
            <v>3</v>
          </cell>
          <cell r="O1318" t="str">
            <v>WALSH</v>
          </cell>
          <cell r="P1318" t="str">
            <v>RTT</v>
          </cell>
          <cell r="R1318" t="str">
            <v>BALDIVIS</v>
          </cell>
          <cell r="S1318" t="str">
            <v>6171</v>
          </cell>
        </row>
        <row r="1319">
          <cell r="D1319" t="str">
            <v>A- actual</v>
          </cell>
          <cell r="E1319" t="str">
            <v>PS- pump station</v>
          </cell>
          <cell r="H1319" t="str">
            <v>P- private</v>
          </cell>
          <cell r="J1319" t="str">
            <v>19800101</v>
          </cell>
          <cell r="K1319" t="str">
            <v>121.651497504</v>
          </cell>
          <cell r="L1319" t="str">
            <v>-31.198471441</v>
          </cell>
          <cell r="M1319" t="str">
            <v>L</v>
          </cell>
          <cell r="N1319" t="str">
            <v>35</v>
          </cell>
          <cell r="O1319" t="str">
            <v>GOLDFIELDS</v>
          </cell>
          <cell r="P1319" t="str">
            <v>HWY</v>
          </cell>
          <cell r="R1319" t="str">
            <v>KAMBALDA EAST</v>
          </cell>
          <cell r="S1319" t="str">
            <v>6442</v>
          </cell>
        </row>
        <row r="1320">
          <cell r="D1320" t="str">
            <v>A- actual</v>
          </cell>
          <cell r="E1320" t="str">
            <v>PS- pump station</v>
          </cell>
          <cell r="H1320" t="str">
            <v>P- private</v>
          </cell>
          <cell r="J1320" t="str">
            <v>20050322</v>
          </cell>
          <cell r="K1320" t="str">
            <v>122.212173365</v>
          </cell>
          <cell r="L1320" t="str">
            <v>-17.942761185</v>
          </cell>
          <cell r="M1320" t="str">
            <v>H</v>
          </cell>
          <cell r="N1320" t="str">
            <v>15</v>
          </cell>
          <cell r="O1320" t="str">
            <v>CABLE BEACH</v>
          </cell>
          <cell r="P1320" t="str">
            <v>RD</v>
          </cell>
          <cell r="Q1320" t="str">
            <v>W</v>
          </cell>
          <cell r="R1320" t="str">
            <v>CABLE BEACH</v>
          </cell>
          <cell r="S1320" t="str">
            <v>6726</v>
          </cell>
        </row>
        <row r="1321">
          <cell r="B1321" t="str">
            <v>S8007842</v>
          </cell>
          <cell r="C1321" t="str">
            <v>SPS LANTANA LANE MARGARET RIVER</v>
          </cell>
          <cell r="D1321" t="str">
            <v>A- actual</v>
          </cell>
          <cell r="E1321" t="str">
            <v>PS- pump station</v>
          </cell>
          <cell r="F1321" t="str">
            <v>LANTANA LANE</v>
          </cell>
          <cell r="G1321" t="str">
            <v>4</v>
          </cell>
          <cell r="H1321" t="str">
            <v>W- water corporation</v>
          </cell>
          <cell r="J1321" t="str">
            <v>20050415</v>
          </cell>
          <cell r="K1321" t="str">
            <v>115.091909634</v>
          </cell>
          <cell r="L1321" t="str">
            <v>-33.9541744564</v>
          </cell>
          <cell r="M1321" t="str">
            <v>L</v>
          </cell>
          <cell r="N1321" t="str">
            <v>667</v>
          </cell>
          <cell r="O1321" t="str">
            <v>LANTANA</v>
          </cell>
          <cell r="P1321" t="str">
            <v>LANE</v>
          </cell>
          <cell r="R1321" t="str">
            <v>MARGARET RIVER</v>
          </cell>
          <cell r="S1321" t="str">
            <v>6285</v>
          </cell>
        </row>
        <row r="1322">
          <cell r="D1322" t="str">
            <v>A- actual</v>
          </cell>
          <cell r="E1322" t="str">
            <v>PS- pump station</v>
          </cell>
          <cell r="F1322" t="str">
            <v>GARVEY PAK</v>
          </cell>
          <cell r="H1322" t="str">
            <v>P- private</v>
          </cell>
          <cell r="J1322" t="str">
            <v>20050401</v>
          </cell>
          <cell r="K1322" t="str">
            <v>115.943386144</v>
          </cell>
          <cell r="L1322" t="str">
            <v>-31.9243713825</v>
          </cell>
          <cell r="M1322" t="str">
            <v>H</v>
          </cell>
          <cell r="N1322" t="str">
            <v>1</v>
          </cell>
          <cell r="O1322" t="str">
            <v>FAUNTLEROY</v>
          </cell>
          <cell r="P1322" t="str">
            <v>AV</v>
          </cell>
          <cell r="R1322" t="str">
            <v>ASCOT</v>
          </cell>
          <cell r="S1322" t="str">
            <v>6104</v>
          </cell>
        </row>
        <row r="1323">
          <cell r="D1323" t="str">
            <v>A- actual</v>
          </cell>
          <cell r="E1323" t="str">
            <v>PS- pump station</v>
          </cell>
          <cell r="F1323" t="str">
            <v>PEEL WATERS LIFESTYLE VILLAGE</v>
          </cell>
          <cell r="H1323" t="str">
            <v>P- private</v>
          </cell>
          <cell r="J1323" t="str">
            <v>20050301</v>
          </cell>
          <cell r="K1323" t="str">
            <v>115.645922139</v>
          </cell>
          <cell r="L1323" t="str">
            <v>-32.6493885865</v>
          </cell>
          <cell r="M1323" t="str">
            <v>H</v>
          </cell>
          <cell r="N1323" t="str">
            <v>54</v>
          </cell>
          <cell r="O1323" t="str">
            <v>WINTER</v>
          </cell>
          <cell r="P1323" t="str">
            <v>VIEW</v>
          </cell>
          <cell r="R1323" t="str">
            <v>DAWESVILLE</v>
          </cell>
          <cell r="S1323" t="str">
            <v>6211</v>
          </cell>
        </row>
        <row r="1324">
          <cell r="D1324" t="str">
            <v>A- actual</v>
          </cell>
          <cell r="E1324" t="str">
            <v>PS- pump station</v>
          </cell>
          <cell r="F1324" t="str">
            <v>BAYSIDE BLVD</v>
          </cell>
          <cell r="H1324" t="str">
            <v>P- private</v>
          </cell>
          <cell r="J1324" t="str">
            <v>20050401</v>
          </cell>
          <cell r="K1324" t="str">
            <v>114.622006425</v>
          </cell>
          <cell r="L1324" t="str">
            <v>-28.6717424947</v>
          </cell>
          <cell r="M1324" t="str">
            <v>H</v>
          </cell>
          <cell r="N1324" t="str">
            <v>1182</v>
          </cell>
          <cell r="O1324" t="str">
            <v>CHAPMAN</v>
          </cell>
          <cell r="P1324" t="str">
            <v>RD</v>
          </cell>
          <cell r="R1324" t="str">
            <v>GLENFIELD</v>
          </cell>
          <cell r="S1324" t="str">
            <v>6532</v>
          </cell>
        </row>
        <row r="1325">
          <cell r="D1325" t="str">
            <v>A- actual</v>
          </cell>
          <cell r="E1325" t="str">
            <v>PS- pump station</v>
          </cell>
          <cell r="F1325" t="str">
            <v>CHRISTIAN REFORM CHURCH</v>
          </cell>
          <cell r="H1325" t="str">
            <v>P- private</v>
          </cell>
          <cell r="J1325" t="str">
            <v>20050217</v>
          </cell>
          <cell r="K1325" t="str">
            <v>116.00333151</v>
          </cell>
          <cell r="L1325" t="str">
            <v>-32.06760251</v>
          </cell>
          <cell r="M1325" t="str">
            <v>H</v>
          </cell>
          <cell r="N1325" t="str">
            <v>55</v>
          </cell>
          <cell r="O1325" t="str">
            <v>MILLS</v>
          </cell>
          <cell r="P1325" t="str">
            <v>RD</v>
          </cell>
          <cell r="Q1325" t="str">
            <v>W</v>
          </cell>
          <cell r="R1325" t="str">
            <v>GOSNELLS</v>
          </cell>
          <cell r="S1325" t="str">
            <v>6110</v>
          </cell>
        </row>
        <row r="1326">
          <cell r="B1326" t="str">
            <v>S2017005</v>
          </cell>
          <cell r="C1326" t="str">
            <v>SPS FORREST RD TEMP HILBERT</v>
          </cell>
          <cell r="D1326" t="str">
            <v>A- actual</v>
          </cell>
          <cell r="E1326" t="str">
            <v>PS- pump station</v>
          </cell>
          <cell r="F1326" t="str">
            <v>FORREST RD TEMP</v>
          </cell>
          <cell r="H1326" t="str">
            <v>W- water corporation</v>
          </cell>
          <cell r="J1326" t="str">
            <v>20050401</v>
          </cell>
          <cell r="K1326" t="str">
            <v>115.990277711</v>
          </cell>
          <cell r="L1326" t="str">
            <v>-32.1596929306</v>
          </cell>
          <cell r="M1326" t="str">
            <v>H</v>
          </cell>
          <cell r="N1326" t="str">
            <v>65</v>
          </cell>
          <cell r="O1326" t="str">
            <v>MARKWELL</v>
          </cell>
          <cell r="P1326" t="str">
            <v>AV</v>
          </cell>
          <cell r="R1326" t="str">
            <v>HAYNES</v>
          </cell>
          <cell r="S1326" t="str">
            <v>6112</v>
          </cell>
        </row>
        <row r="1327">
          <cell r="D1327" t="str">
            <v>A- actual</v>
          </cell>
          <cell r="E1327" t="str">
            <v>PS- pump station</v>
          </cell>
          <cell r="F1327" t="str">
            <v>CAMELIA LODGE</v>
          </cell>
          <cell r="H1327" t="str">
            <v>P- private</v>
          </cell>
          <cell r="J1327" t="str">
            <v>18000101</v>
          </cell>
          <cell r="K1327" t="str">
            <v>115.924169335</v>
          </cell>
          <cell r="L1327" t="str">
            <v>-31.9251497355</v>
          </cell>
          <cell r="M1327" t="str">
            <v>H</v>
          </cell>
          <cell r="N1327" t="str">
            <v>37</v>
          </cell>
          <cell r="O1327" t="str">
            <v>NEWTON</v>
          </cell>
          <cell r="P1327" t="str">
            <v>ST</v>
          </cell>
          <cell r="R1327" t="str">
            <v>BAYSWATER</v>
          </cell>
          <cell r="S1327" t="str">
            <v>6053</v>
          </cell>
        </row>
        <row r="1328">
          <cell r="B1328" t="str">
            <v>S8007861</v>
          </cell>
          <cell r="C1328" t="str">
            <v>SPS TIMBER CT COWARAMUP</v>
          </cell>
          <cell r="D1328" t="str">
            <v>A- actual</v>
          </cell>
          <cell r="E1328" t="str">
            <v>PS- pump station</v>
          </cell>
          <cell r="F1328" t="str">
            <v>TIMBER CT</v>
          </cell>
          <cell r="G1328" t="str">
            <v>2</v>
          </cell>
          <cell r="H1328" t="str">
            <v>W- water corporation</v>
          </cell>
          <cell r="J1328" t="str">
            <v>20060802</v>
          </cell>
          <cell r="K1328" t="str">
            <v>115.082520079</v>
          </cell>
          <cell r="L1328" t="str">
            <v>-33.8437473285</v>
          </cell>
          <cell r="M1328" t="str">
            <v>L</v>
          </cell>
          <cell r="N1328" t="str">
            <v>300</v>
          </cell>
          <cell r="O1328" t="str">
            <v>PIONEER</v>
          </cell>
          <cell r="P1328" t="str">
            <v>RD</v>
          </cell>
          <cell r="R1328" t="str">
            <v>COWARAMUP</v>
          </cell>
          <cell r="S1328" t="str">
            <v>6284</v>
          </cell>
        </row>
        <row r="1329">
          <cell r="B1329" t="str">
            <v>S2016969</v>
          </cell>
          <cell r="C1329" t="str">
            <v>SPS COUGAR PATH ROCKINGHAM</v>
          </cell>
          <cell r="D1329" t="str">
            <v>A- actual</v>
          </cell>
          <cell r="E1329" t="str">
            <v>PS- pump station</v>
          </cell>
          <cell r="F1329" t="str">
            <v>COUGAR PATH</v>
          </cell>
          <cell r="H1329" t="str">
            <v>W- water corporation</v>
          </cell>
          <cell r="J1329" t="str">
            <v>20041101</v>
          </cell>
          <cell r="K1329" t="str">
            <v>115.72076273</v>
          </cell>
          <cell r="L1329" t="str">
            <v>-32.29409076</v>
          </cell>
          <cell r="M1329" t="str">
            <v>H</v>
          </cell>
          <cell r="N1329" t="str">
            <v>14</v>
          </cell>
          <cell r="O1329" t="str">
            <v>COUGAR</v>
          </cell>
          <cell r="P1329" t="str">
            <v>PATH</v>
          </cell>
          <cell r="R1329" t="str">
            <v>ROCKINGHAM</v>
          </cell>
          <cell r="S1329" t="str">
            <v>6168</v>
          </cell>
        </row>
        <row r="1330">
          <cell r="B1330" t="str">
            <v>S2012268</v>
          </cell>
          <cell r="C1330" t="str">
            <v>SPS BOURNEMOUTH PDE TRIGG</v>
          </cell>
          <cell r="D1330" t="str">
            <v>A- actual</v>
          </cell>
          <cell r="E1330" t="str">
            <v>PS- pump station</v>
          </cell>
          <cell r="F1330" t="str">
            <v>BOURNEMOUTH PDE</v>
          </cell>
          <cell r="G1330" t="str">
            <v>12</v>
          </cell>
          <cell r="H1330" t="str">
            <v>W- water corporation</v>
          </cell>
          <cell r="J1330" t="str">
            <v>20040101</v>
          </cell>
          <cell r="K1330" t="str">
            <v>115.755800718</v>
          </cell>
          <cell r="L1330" t="str">
            <v>-31.884069268</v>
          </cell>
          <cell r="M1330" t="str">
            <v>H</v>
          </cell>
          <cell r="N1330" t="str">
            <v>3</v>
          </cell>
          <cell r="O1330" t="str">
            <v>BOURNEMOUTH</v>
          </cell>
          <cell r="P1330" t="str">
            <v>PDE</v>
          </cell>
          <cell r="R1330" t="str">
            <v>TRIGG</v>
          </cell>
          <cell r="S1330" t="str">
            <v>6029</v>
          </cell>
        </row>
        <row r="1331">
          <cell r="B1331" t="str">
            <v>S4001071</v>
          </cell>
          <cell r="C1331" t="str">
            <v>SPS LAPWING WAY SEACREST WANDINA</v>
          </cell>
          <cell r="D1331" t="str">
            <v>A- actual</v>
          </cell>
          <cell r="E1331" t="str">
            <v>PS- pump station</v>
          </cell>
          <cell r="F1331" t="str">
            <v>LAPWING WY</v>
          </cell>
          <cell r="H1331" t="str">
            <v>W- water corporation</v>
          </cell>
          <cell r="J1331" t="str">
            <v>20050701</v>
          </cell>
          <cell r="K1331" t="str">
            <v>114.63603339</v>
          </cell>
          <cell r="L1331" t="str">
            <v>-28.80839176</v>
          </cell>
          <cell r="M1331" t="str">
            <v>H</v>
          </cell>
          <cell r="N1331" t="str">
            <v>50</v>
          </cell>
          <cell r="O1331" t="str">
            <v>STORMKING</v>
          </cell>
          <cell r="P1331" t="str">
            <v>LOOP</v>
          </cell>
          <cell r="R1331" t="str">
            <v>WANDINA</v>
          </cell>
          <cell r="S1331" t="str">
            <v>6530</v>
          </cell>
        </row>
        <row r="1332">
          <cell r="B1332" t="str">
            <v>S8007324</v>
          </cell>
          <cell r="C1332" t="str">
            <v>SPS ESTUARY RD NTH DAWESVILLE</v>
          </cell>
          <cell r="D1332" t="str">
            <v>A- actual</v>
          </cell>
          <cell r="E1332" t="str">
            <v>PS- pump station</v>
          </cell>
          <cell r="F1332" t="str">
            <v>ESTUARY RD NTH</v>
          </cell>
          <cell r="H1332" t="str">
            <v>W- water corporation</v>
          </cell>
          <cell r="J1332" t="str">
            <v>20050501</v>
          </cell>
          <cell r="K1332" t="str">
            <v>115.6421329</v>
          </cell>
          <cell r="L1332" t="str">
            <v>-32.60934631</v>
          </cell>
          <cell r="M1332" t="str">
            <v>H</v>
          </cell>
          <cell r="N1332" t="str">
            <v>2</v>
          </cell>
          <cell r="O1332" t="str">
            <v>MOORBURG</v>
          </cell>
          <cell r="P1332" t="str">
            <v>DR</v>
          </cell>
          <cell r="R1332" t="str">
            <v>DAWESVILLE</v>
          </cell>
          <cell r="S1332" t="str">
            <v>6211</v>
          </cell>
        </row>
        <row r="1333">
          <cell r="B1333" t="str">
            <v>S4001048</v>
          </cell>
          <cell r="C1333" t="str">
            <v>SPS ST GEORGES BCH BLUFF POINT</v>
          </cell>
          <cell r="D1333" t="str">
            <v>A- actual</v>
          </cell>
          <cell r="E1333" t="str">
            <v>PS- pump station</v>
          </cell>
          <cell r="F1333" t="str">
            <v>ST GEORGES BEACH</v>
          </cell>
          <cell r="G1333" t="str">
            <v>S3</v>
          </cell>
          <cell r="H1333" t="str">
            <v>W- water corporation</v>
          </cell>
          <cell r="J1333" t="str">
            <v>20050125</v>
          </cell>
          <cell r="K1333" t="str">
            <v>114.619096877</v>
          </cell>
          <cell r="L1333" t="str">
            <v>-28.7454668337</v>
          </cell>
          <cell r="M1333" t="str">
            <v>H</v>
          </cell>
          <cell r="N1333" t="str">
            <v>38</v>
          </cell>
          <cell r="O1333" t="str">
            <v>KEMPTON</v>
          </cell>
          <cell r="P1333" t="str">
            <v>ST</v>
          </cell>
          <cell r="R1333" t="str">
            <v>BLUFF POINT</v>
          </cell>
          <cell r="S1333" t="str">
            <v>6530</v>
          </cell>
        </row>
        <row r="1334">
          <cell r="D1334" t="str">
            <v>A- actual</v>
          </cell>
          <cell r="E1334" t="str">
            <v>PS- pump station</v>
          </cell>
          <cell r="F1334" t="str">
            <v>SITA ENVIRONMENTAL SOLUTIONS</v>
          </cell>
          <cell r="H1334" t="str">
            <v>P- private</v>
          </cell>
          <cell r="J1334" t="str">
            <v>20020901</v>
          </cell>
          <cell r="K1334" t="str">
            <v>115.962480101</v>
          </cell>
          <cell r="L1334" t="str">
            <v>-31.990479007</v>
          </cell>
          <cell r="M1334" t="str">
            <v>H</v>
          </cell>
          <cell r="N1334" t="str">
            <v>115</v>
          </cell>
          <cell r="O1334" t="str">
            <v>KURNALL</v>
          </cell>
          <cell r="P1334" t="str">
            <v>RD</v>
          </cell>
          <cell r="R1334" t="str">
            <v>WELSHPOOL</v>
          </cell>
          <cell r="S1334" t="str">
            <v>6106</v>
          </cell>
        </row>
        <row r="1335">
          <cell r="B1335" t="str">
            <v>S7003452</v>
          </cell>
          <cell r="C1335" t="str">
            <v>SPS REUSE WWTP KATANNING</v>
          </cell>
          <cell r="D1335" t="str">
            <v>A- actual</v>
          </cell>
          <cell r="E1335" t="str">
            <v>PS- pump station</v>
          </cell>
          <cell r="F1335" t="str">
            <v>KATANNING WWTP TREATED EFFLUENT</v>
          </cell>
          <cell r="H1335" t="str">
            <v>W- water corporation</v>
          </cell>
          <cell r="J1335" t="str">
            <v>20041201</v>
          </cell>
          <cell r="K1335" t="str">
            <v>117.56360678</v>
          </cell>
          <cell r="L1335" t="str">
            <v>-33.7047261772</v>
          </cell>
          <cell r="M1335" t="str">
            <v>L</v>
          </cell>
          <cell r="N1335" t="str">
            <v>4</v>
          </cell>
          <cell r="O1335" t="str">
            <v>GREAT SOUTHERN</v>
          </cell>
          <cell r="P1335" t="str">
            <v>HWY</v>
          </cell>
          <cell r="R1335" t="str">
            <v>KATANNING</v>
          </cell>
          <cell r="S1335" t="str">
            <v>6317</v>
          </cell>
        </row>
        <row r="1336">
          <cell r="D1336" t="str">
            <v>A- actual</v>
          </cell>
          <cell r="E1336" t="str">
            <v>PS- pump station</v>
          </cell>
          <cell r="F1336" t="str">
            <v>MOONGOONG DARWUNG COMMUNITY</v>
          </cell>
          <cell r="H1336" t="str">
            <v>P- private</v>
          </cell>
          <cell r="J1336" t="str">
            <v>19861104</v>
          </cell>
          <cell r="K1336" t="str">
            <v>128.731461885</v>
          </cell>
          <cell r="L1336" t="str">
            <v>-15.767963426</v>
          </cell>
          <cell r="M1336" t="str">
            <v>L</v>
          </cell>
          <cell r="N1336" t="str">
            <v>1209</v>
          </cell>
          <cell r="O1336" t="str">
            <v>IRONWOOD</v>
          </cell>
          <cell r="P1336" t="str">
            <v>DR</v>
          </cell>
          <cell r="R1336" t="str">
            <v>KUNUNURRA</v>
          </cell>
          <cell r="S1336" t="str">
            <v>6743</v>
          </cell>
        </row>
        <row r="1337">
          <cell r="B1337" t="str">
            <v>S2004873</v>
          </cell>
          <cell r="C1337" t="str">
            <v>SPS GROGAN RD HIGH WYCOMBE</v>
          </cell>
          <cell r="D1337" t="str">
            <v>A- actual</v>
          </cell>
          <cell r="E1337" t="str">
            <v>PS- pump station</v>
          </cell>
          <cell r="F1337" t="str">
            <v>GROGAN RD</v>
          </cell>
          <cell r="H1337" t="str">
            <v>W- water corporation</v>
          </cell>
          <cell r="J1337" t="str">
            <v>20050705</v>
          </cell>
          <cell r="K1337" t="str">
            <v>115.988005975</v>
          </cell>
          <cell r="L1337" t="str">
            <v>-31.9491370277</v>
          </cell>
          <cell r="M1337" t="str">
            <v>H</v>
          </cell>
          <cell r="N1337" t="str">
            <v>993</v>
          </cell>
          <cell r="O1337" t="str">
            <v>ABERNETHY</v>
          </cell>
          <cell r="P1337" t="str">
            <v>RD</v>
          </cell>
          <cell r="R1337" t="str">
            <v>HIGH WYCOMBE</v>
          </cell>
          <cell r="S1337" t="str">
            <v>6057</v>
          </cell>
        </row>
        <row r="1338">
          <cell r="B1338" t="str">
            <v>S8006190</v>
          </cell>
          <cell r="C1338" t="str">
            <v>SPS AMAZON DR GREENFIELDS</v>
          </cell>
          <cell r="D1338" t="str">
            <v>A- actual</v>
          </cell>
          <cell r="E1338" t="str">
            <v>PS- pump station</v>
          </cell>
          <cell r="F1338" t="str">
            <v>AMAZON DR</v>
          </cell>
          <cell r="G1338" t="str">
            <v>32</v>
          </cell>
          <cell r="H1338" t="str">
            <v>W- water corporation</v>
          </cell>
          <cell r="J1338" t="str">
            <v>20041201</v>
          </cell>
          <cell r="K1338" t="str">
            <v>115.746520589</v>
          </cell>
          <cell r="L1338" t="str">
            <v>-32.5352227</v>
          </cell>
          <cell r="M1338" t="str">
            <v>H</v>
          </cell>
          <cell r="N1338" t="str">
            <v>45</v>
          </cell>
          <cell r="O1338" t="str">
            <v>AMAZON</v>
          </cell>
          <cell r="P1338" t="str">
            <v>DR</v>
          </cell>
          <cell r="R1338" t="str">
            <v>GREENFIELDS</v>
          </cell>
          <cell r="S1338" t="str">
            <v>6210</v>
          </cell>
        </row>
        <row r="1339">
          <cell r="D1339" t="str">
            <v>A- actual</v>
          </cell>
          <cell r="E1339" t="str">
            <v>PS- pump station</v>
          </cell>
          <cell r="F1339" t="str">
            <v>LOT 89 NICHOLSON RD</v>
          </cell>
          <cell r="H1339" t="str">
            <v>P- private</v>
          </cell>
          <cell r="J1339" t="str">
            <v>19991214</v>
          </cell>
          <cell r="K1339" t="str">
            <v>115.93279587</v>
          </cell>
          <cell r="L1339" t="str">
            <v>-32.0467272137</v>
          </cell>
          <cell r="M1339" t="str">
            <v>H</v>
          </cell>
          <cell r="N1339" t="str">
            <v>240</v>
          </cell>
          <cell r="O1339" t="str">
            <v>NICHOLSON</v>
          </cell>
          <cell r="P1339" t="str">
            <v>RD</v>
          </cell>
          <cell r="R1339" t="str">
            <v>LANGFORD</v>
          </cell>
          <cell r="S1339" t="str">
            <v>6147</v>
          </cell>
        </row>
        <row r="1340">
          <cell r="D1340" t="str">
            <v>A- actual</v>
          </cell>
          <cell r="E1340" t="str">
            <v>ES- ejector station</v>
          </cell>
          <cell r="F1340" t="str">
            <v>SCARBOROUGH BEACH TOILET</v>
          </cell>
          <cell r="H1340" t="str">
            <v>P- private</v>
          </cell>
          <cell r="J1340" t="str">
            <v>19921016</v>
          </cell>
          <cell r="K1340" t="str">
            <v>115.756620231</v>
          </cell>
          <cell r="L1340" t="str">
            <v>-31.889530776</v>
          </cell>
          <cell r="M1340" t="str">
            <v>H</v>
          </cell>
          <cell r="N1340" t="str">
            <v>1</v>
          </cell>
          <cell r="O1340" t="str">
            <v>RESERVE</v>
          </cell>
          <cell r="P1340" t="str">
            <v>ST</v>
          </cell>
          <cell r="R1340" t="str">
            <v>SCARBOROUGH</v>
          </cell>
          <cell r="S1340" t="str">
            <v>6019</v>
          </cell>
        </row>
        <row r="1341">
          <cell r="D1341" t="str">
            <v>A- actual</v>
          </cell>
          <cell r="E1341" t="str">
            <v>PS- pump station</v>
          </cell>
          <cell r="F1341" t="str">
            <v>YATCH CLUB</v>
          </cell>
          <cell r="H1341" t="str">
            <v>P- private</v>
          </cell>
          <cell r="J1341" t="str">
            <v>19810101</v>
          </cell>
          <cell r="K1341" t="str">
            <v>115.845592741</v>
          </cell>
          <cell r="L1341" t="str">
            <v>-32.002631256</v>
          </cell>
          <cell r="M1341" t="str">
            <v>H</v>
          </cell>
          <cell r="N1341" t="str">
            <v>2</v>
          </cell>
          <cell r="O1341" t="str">
            <v>CANNING BEACH</v>
          </cell>
          <cell r="P1341" t="str">
            <v>RD</v>
          </cell>
          <cell r="R1341" t="str">
            <v>APPLECROSS</v>
          </cell>
          <cell r="S1341" t="str">
            <v>6153</v>
          </cell>
        </row>
        <row r="1342">
          <cell r="B1342" t="str">
            <v>S2017004</v>
          </cell>
          <cell r="C1342" t="str">
            <v>SPS COOLIBAH PL DUNCRAIG</v>
          </cell>
          <cell r="D1342" t="str">
            <v>A- actual</v>
          </cell>
          <cell r="E1342" t="str">
            <v>PS- pump station</v>
          </cell>
          <cell r="F1342" t="str">
            <v>COOLIBAH PL</v>
          </cell>
          <cell r="G1342" t="str">
            <v>22</v>
          </cell>
          <cell r="H1342" t="str">
            <v>W- water corporation</v>
          </cell>
          <cell r="J1342" t="str">
            <v>20060501</v>
          </cell>
          <cell r="K1342" t="str">
            <v>115.76862471</v>
          </cell>
          <cell r="L1342" t="str">
            <v>-31.832925818</v>
          </cell>
          <cell r="M1342" t="str">
            <v>H</v>
          </cell>
          <cell r="N1342" t="str">
            <v>8</v>
          </cell>
          <cell r="O1342" t="str">
            <v>COOLIBAH</v>
          </cell>
          <cell r="P1342" t="str">
            <v>PL</v>
          </cell>
          <cell r="R1342" t="str">
            <v>DUNCRAIG</v>
          </cell>
          <cell r="S1342" t="str">
            <v>6023</v>
          </cell>
        </row>
        <row r="1343">
          <cell r="B1343" t="str">
            <v>S0037878</v>
          </cell>
          <cell r="C1343" t="str">
            <v>SPS TPS13 GLENFIELD</v>
          </cell>
          <cell r="D1343" t="str">
            <v>A- actual</v>
          </cell>
          <cell r="E1343" t="str">
            <v>TPS- temporary pump station</v>
          </cell>
          <cell r="F1343" t="str">
            <v>GLENFIELD BCH DR</v>
          </cell>
          <cell r="H1343" t="str">
            <v>W- water corporation</v>
          </cell>
          <cell r="J1343" t="str">
            <v>20021213</v>
          </cell>
          <cell r="K1343" t="str">
            <v>114.60970026</v>
          </cell>
          <cell r="L1343" t="str">
            <v>-28.68179183</v>
          </cell>
          <cell r="M1343" t="str">
            <v>H</v>
          </cell>
          <cell r="N1343" t="str">
            <v>152</v>
          </cell>
          <cell r="O1343" t="str">
            <v>GLENFIELD BEACH</v>
          </cell>
          <cell r="P1343" t="str">
            <v>DR</v>
          </cell>
          <cell r="R1343" t="str">
            <v>GLENFIELD</v>
          </cell>
          <cell r="S1343" t="str">
            <v>6532</v>
          </cell>
        </row>
        <row r="1344">
          <cell r="D1344" t="str">
            <v>A- actual</v>
          </cell>
          <cell r="E1344" t="str">
            <v>PS- pump station</v>
          </cell>
          <cell r="F1344" t="str">
            <v>ANIMAL CARE FACILITY</v>
          </cell>
          <cell r="H1344" t="str">
            <v>P- private</v>
          </cell>
          <cell r="J1344" t="str">
            <v>20051101</v>
          </cell>
          <cell r="K1344" t="str">
            <v>115.889072385</v>
          </cell>
          <cell r="L1344" t="str">
            <v>-32.07456486</v>
          </cell>
          <cell r="M1344" t="str">
            <v>H</v>
          </cell>
          <cell r="N1344" t="str">
            <v>289</v>
          </cell>
          <cell r="O1344" t="str">
            <v>BANNISTER</v>
          </cell>
          <cell r="P1344" t="str">
            <v>RD</v>
          </cell>
          <cell r="R1344" t="str">
            <v>CANNING VALE</v>
          </cell>
          <cell r="S1344" t="str">
            <v>6155</v>
          </cell>
        </row>
        <row r="1345">
          <cell r="B1345" t="str">
            <v>S8006186</v>
          </cell>
          <cell r="C1345" t="str">
            <v>SPS ENNIS ST EATON</v>
          </cell>
          <cell r="D1345" t="str">
            <v>A- actual</v>
          </cell>
          <cell r="E1345" t="str">
            <v>PS- pump station</v>
          </cell>
          <cell r="F1345" t="str">
            <v>ENNIS ST</v>
          </cell>
          <cell r="G1345" t="str">
            <v>9</v>
          </cell>
          <cell r="H1345" t="str">
            <v>W- water corporation</v>
          </cell>
          <cell r="J1345" t="str">
            <v>20040301</v>
          </cell>
          <cell r="K1345" t="str">
            <v>115.699238737</v>
          </cell>
          <cell r="L1345" t="str">
            <v>-33.314070457</v>
          </cell>
          <cell r="M1345" t="str">
            <v>H</v>
          </cell>
          <cell r="N1345" t="str">
            <v>15</v>
          </cell>
          <cell r="O1345" t="str">
            <v>ENNIS</v>
          </cell>
          <cell r="P1345" t="str">
            <v>ST</v>
          </cell>
          <cell r="R1345" t="str">
            <v>EATON</v>
          </cell>
          <cell r="S1345" t="str">
            <v>6232</v>
          </cell>
        </row>
        <row r="1346">
          <cell r="B1346" t="str">
            <v>S2018206</v>
          </cell>
          <cell r="C1346" t="str">
            <v>SPS SURF DR SECRET HARBOUR</v>
          </cell>
          <cell r="D1346" t="str">
            <v>A- actual</v>
          </cell>
          <cell r="E1346" t="str">
            <v>PS- pump station</v>
          </cell>
          <cell r="F1346" t="str">
            <v>SURF DR</v>
          </cell>
          <cell r="H1346" t="str">
            <v>W- water corporation</v>
          </cell>
          <cell r="J1346" t="str">
            <v>20051001</v>
          </cell>
          <cell r="K1346" t="str">
            <v>115.766035387</v>
          </cell>
          <cell r="L1346" t="str">
            <v>-32.3991470113</v>
          </cell>
          <cell r="M1346" t="str">
            <v>H</v>
          </cell>
          <cell r="N1346" t="str">
            <v>47</v>
          </cell>
          <cell r="O1346" t="str">
            <v>SURF</v>
          </cell>
          <cell r="P1346" t="str">
            <v>DR</v>
          </cell>
          <cell r="R1346" t="str">
            <v>SECRET HARBOUR</v>
          </cell>
          <cell r="S1346" t="str">
            <v>6173</v>
          </cell>
        </row>
        <row r="1347">
          <cell r="B1347" t="str">
            <v>S4001069</v>
          </cell>
          <cell r="C1347" t="str">
            <v>VPS CROWTHER ST CARNARVON</v>
          </cell>
          <cell r="D1347" t="str">
            <v>A- actual</v>
          </cell>
          <cell r="E1347" t="str">
            <v>VPS- vacuum pump station</v>
          </cell>
          <cell r="F1347" t="str">
            <v>CROWTHER ST</v>
          </cell>
          <cell r="G1347" t="str">
            <v>1</v>
          </cell>
          <cell r="H1347" t="str">
            <v>W- water corporation</v>
          </cell>
          <cell r="J1347" t="str">
            <v>20041018</v>
          </cell>
          <cell r="K1347" t="str">
            <v>113.65958168</v>
          </cell>
          <cell r="L1347" t="str">
            <v>-24.891099871</v>
          </cell>
          <cell r="M1347" t="str">
            <v>H</v>
          </cell>
          <cell r="N1347" t="str">
            <v>41</v>
          </cell>
          <cell r="O1347" t="str">
            <v>CROWTHER</v>
          </cell>
          <cell r="P1347" t="str">
            <v>ST</v>
          </cell>
          <cell r="R1347" t="str">
            <v>SOUTH CARNARVON</v>
          </cell>
          <cell r="S1347" t="str">
            <v>6701</v>
          </cell>
        </row>
        <row r="1348">
          <cell r="B1348" t="str">
            <v>S2014682</v>
          </cell>
          <cell r="C1348" t="str">
            <v>#SPS MILLSTREAM DR SOUTHERN RIVER</v>
          </cell>
          <cell r="D1348" t="str">
            <v>D- dead</v>
          </cell>
          <cell r="E1348" t="str">
            <v>PS- pump station</v>
          </cell>
          <cell r="F1348" t="str">
            <v>MILLSTREAM DR</v>
          </cell>
          <cell r="H1348" t="str">
            <v>W- water corporation</v>
          </cell>
          <cell r="J1348" t="str">
            <v>20051103</v>
          </cell>
          <cell r="K1348" t="str">
            <v>115.946317712</v>
          </cell>
          <cell r="L1348" t="str">
            <v>-32.1015216829</v>
          </cell>
          <cell r="M1348" t="str">
            <v>H</v>
          </cell>
          <cell r="N1348" t="str">
            <v>78</v>
          </cell>
          <cell r="O1348" t="str">
            <v>MILLSTREAM</v>
          </cell>
          <cell r="P1348" t="str">
            <v>DR</v>
          </cell>
          <cell r="R1348" t="str">
            <v>SOUTHERN RIVER</v>
          </cell>
          <cell r="S1348" t="str">
            <v>6110</v>
          </cell>
        </row>
        <row r="1349">
          <cell r="B1349" t="str">
            <v>S2016916</v>
          </cell>
          <cell r="C1349" t="str">
            <v>SPS MAGENTA CR BALDIVIS</v>
          </cell>
          <cell r="D1349" t="str">
            <v>A- actual</v>
          </cell>
          <cell r="E1349" t="str">
            <v>PS- pump station</v>
          </cell>
          <cell r="F1349" t="str">
            <v>MAGENTA CR</v>
          </cell>
          <cell r="G1349" t="str">
            <v>156-05</v>
          </cell>
          <cell r="H1349" t="str">
            <v>W- water corporation</v>
          </cell>
          <cell r="J1349" t="str">
            <v>20050601</v>
          </cell>
          <cell r="K1349" t="str">
            <v>115.822995557</v>
          </cell>
          <cell r="L1349" t="str">
            <v>-32.3344662792</v>
          </cell>
          <cell r="M1349" t="str">
            <v>H</v>
          </cell>
          <cell r="N1349" t="str">
            <v>34</v>
          </cell>
          <cell r="O1349" t="str">
            <v>MAGENTA</v>
          </cell>
          <cell r="P1349" t="str">
            <v>CR</v>
          </cell>
          <cell r="R1349" t="str">
            <v>BALDIVIS</v>
          </cell>
          <cell r="S1349" t="str">
            <v>6171</v>
          </cell>
        </row>
        <row r="1350">
          <cell r="B1350" t="str">
            <v>S6000320</v>
          </cell>
          <cell r="C1350" t="str">
            <v>SPS 12 GOLDFIELDS RD ESPERANCE</v>
          </cell>
          <cell r="D1350" t="str">
            <v>A- actual</v>
          </cell>
          <cell r="E1350" t="str">
            <v>PS- pump station</v>
          </cell>
          <cell r="F1350" t="str">
            <v>GOLDFIELDS RD</v>
          </cell>
          <cell r="G1350" t="str">
            <v>12</v>
          </cell>
          <cell r="H1350" t="str">
            <v>W- water corporation</v>
          </cell>
          <cell r="J1350" t="str">
            <v>20010323</v>
          </cell>
          <cell r="K1350" t="str">
            <v>121.905145006</v>
          </cell>
          <cell r="L1350" t="str">
            <v>-33.84306166</v>
          </cell>
          <cell r="M1350" t="str">
            <v>L</v>
          </cell>
          <cell r="N1350" t="str">
            <v>801</v>
          </cell>
          <cell r="O1350" t="str">
            <v>CASTLETOWN</v>
          </cell>
          <cell r="P1350" t="str">
            <v>QYS</v>
          </cell>
          <cell r="R1350" t="str">
            <v>CASTLETOWN</v>
          </cell>
          <cell r="S1350" t="str">
            <v>6450</v>
          </cell>
        </row>
        <row r="1351">
          <cell r="B1351" t="str">
            <v>S8007749</v>
          </cell>
          <cell r="C1351" t="str">
            <v>VPS LYREBIRD RD BROADWATER</v>
          </cell>
          <cell r="D1351" t="str">
            <v>A- actual</v>
          </cell>
          <cell r="E1351" t="str">
            <v>VPS- vacuum pump station</v>
          </cell>
          <cell r="F1351" t="str">
            <v>LYREBIRD RD</v>
          </cell>
          <cell r="G1351" t="str">
            <v>14</v>
          </cell>
          <cell r="H1351" t="str">
            <v>W- water corporation</v>
          </cell>
          <cell r="J1351" t="str">
            <v>20050222</v>
          </cell>
          <cell r="K1351" t="str">
            <v>115.290601872</v>
          </cell>
          <cell r="L1351" t="str">
            <v>-33.6632961956</v>
          </cell>
          <cell r="M1351" t="str">
            <v>H</v>
          </cell>
          <cell r="N1351" t="str">
            <v>21</v>
          </cell>
          <cell r="O1351" t="str">
            <v>LYREBIRD</v>
          </cell>
          <cell r="P1351" t="str">
            <v>RD</v>
          </cell>
          <cell r="R1351" t="str">
            <v>BROADWATER</v>
          </cell>
          <cell r="S1351" t="str">
            <v>6280</v>
          </cell>
        </row>
        <row r="1352">
          <cell r="B1352" t="str">
            <v>S2017022</v>
          </cell>
          <cell r="C1352" t="str">
            <v>SPS PINJAR RD TAPPING</v>
          </cell>
          <cell r="D1352" t="str">
            <v>A- actual</v>
          </cell>
          <cell r="E1352" t="str">
            <v>PS- pump station</v>
          </cell>
          <cell r="F1352" t="str">
            <v>PINJAR RD INTERIM</v>
          </cell>
          <cell r="G1352" t="str">
            <v>902-31</v>
          </cell>
          <cell r="H1352" t="str">
            <v>W- water corporation</v>
          </cell>
          <cell r="J1352" t="str">
            <v>20050501</v>
          </cell>
          <cell r="K1352" t="str">
            <v>115.805085313</v>
          </cell>
          <cell r="L1352" t="str">
            <v>-31.7170324402</v>
          </cell>
          <cell r="M1352" t="str">
            <v>H</v>
          </cell>
          <cell r="N1352" t="str">
            <v>309</v>
          </cell>
          <cell r="O1352" t="str">
            <v>PINJAR</v>
          </cell>
          <cell r="P1352" t="str">
            <v>RD</v>
          </cell>
          <cell r="R1352" t="str">
            <v>TAPPING</v>
          </cell>
          <cell r="S1352" t="str">
            <v>6065</v>
          </cell>
        </row>
        <row r="1353">
          <cell r="B1353" t="str">
            <v>S2005793</v>
          </cell>
          <cell r="C1353" t="str">
            <v>SPS SUCCESS WY HENDERSON</v>
          </cell>
          <cell r="D1353" t="str">
            <v>A- actual</v>
          </cell>
          <cell r="E1353" t="str">
            <v>PS- pump station</v>
          </cell>
          <cell r="F1353" t="str">
            <v>SUCCESS WY</v>
          </cell>
          <cell r="G1353" t="str">
            <v>074-05</v>
          </cell>
          <cell r="H1353" t="str">
            <v>W- water corporation</v>
          </cell>
          <cell r="J1353" t="str">
            <v>20060327</v>
          </cell>
          <cell r="K1353" t="str">
            <v>115.77922559</v>
          </cell>
          <cell r="L1353" t="str">
            <v>-32.14699671</v>
          </cell>
          <cell r="M1353" t="str">
            <v>L</v>
          </cell>
          <cell r="N1353" t="str">
            <v>4895</v>
          </cell>
          <cell r="O1353" t="str">
            <v>SUCCESS</v>
          </cell>
          <cell r="P1353" t="str">
            <v>WAY</v>
          </cell>
          <cell r="R1353" t="str">
            <v>HENDERSON</v>
          </cell>
          <cell r="S1353" t="str">
            <v>6166</v>
          </cell>
        </row>
        <row r="1354">
          <cell r="D1354" t="str">
            <v>N- not in use</v>
          </cell>
          <cell r="E1354" t="str">
            <v>TPS- temporary pump station</v>
          </cell>
          <cell r="F1354" t="str">
            <v>CROYDON ST TEMP</v>
          </cell>
          <cell r="H1354" t="str">
            <v>W- water corporation</v>
          </cell>
          <cell r="J1354" t="str">
            <v>20051101</v>
          </cell>
          <cell r="K1354" t="str">
            <v>120.120748645</v>
          </cell>
          <cell r="L1354" t="str">
            <v>-33.9459049185</v>
          </cell>
          <cell r="M1354" t="str">
            <v>H</v>
          </cell>
          <cell r="N1354" t="str">
            <v>20</v>
          </cell>
          <cell r="O1354" t="str">
            <v>CROYDON</v>
          </cell>
          <cell r="P1354" t="str">
            <v>ST</v>
          </cell>
          <cell r="R1354" t="str">
            <v>HOPETOUN</v>
          </cell>
          <cell r="S1354" t="str">
            <v>6348</v>
          </cell>
        </row>
        <row r="1355">
          <cell r="B1355" t="str">
            <v>S2017558</v>
          </cell>
          <cell r="C1355" t="str">
            <v>SPS SHEFFIELD RD NTH WATTLE GROVE</v>
          </cell>
          <cell r="D1355" t="str">
            <v>A- actual</v>
          </cell>
          <cell r="E1355" t="str">
            <v>PS- pump station</v>
          </cell>
          <cell r="F1355" t="str">
            <v>SHEFFIELD RD INTERIM</v>
          </cell>
          <cell r="H1355" t="str">
            <v>W- water corporation</v>
          </cell>
          <cell r="J1355" t="str">
            <v>20060301</v>
          </cell>
          <cell r="K1355" t="str">
            <v>115.978811791</v>
          </cell>
          <cell r="L1355" t="str">
            <v>-31.9993697909</v>
          </cell>
          <cell r="M1355" t="str">
            <v>H</v>
          </cell>
          <cell r="N1355" t="str">
            <v>113</v>
          </cell>
          <cell r="O1355" t="str">
            <v>SHEFFIELD</v>
          </cell>
          <cell r="P1355" t="str">
            <v>RD</v>
          </cell>
          <cell r="R1355" t="str">
            <v>WATTLE GROVE</v>
          </cell>
          <cell r="S1355" t="str">
            <v>6107</v>
          </cell>
        </row>
        <row r="1356">
          <cell r="B1356" t="str">
            <v>S2018324</v>
          </cell>
          <cell r="C1356" t="str">
            <v>SPS COTTONWOOD DR BALDIVIS</v>
          </cell>
          <cell r="D1356" t="str">
            <v>A- actual</v>
          </cell>
          <cell r="E1356" t="str">
            <v>PS- pump station</v>
          </cell>
          <cell r="F1356" t="str">
            <v>COTTONWOOD DR TEMP</v>
          </cell>
          <cell r="G1356" t="str">
            <v>902-34</v>
          </cell>
          <cell r="H1356" t="str">
            <v>W- water corporation</v>
          </cell>
          <cell r="J1356" t="str">
            <v>20061030</v>
          </cell>
          <cell r="K1356" t="str">
            <v>115.809722921</v>
          </cell>
          <cell r="L1356" t="str">
            <v>-32.3548921984</v>
          </cell>
          <cell r="M1356" t="str">
            <v>H</v>
          </cell>
          <cell r="N1356" t="str">
            <v>25</v>
          </cell>
          <cell r="O1356" t="str">
            <v>COTTONWOOD</v>
          </cell>
          <cell r="P1356" t="str">
            <v>DR</v>
          </cell>
          <cell r="R1356" t="str">
            <v>BALDIVIS</v>
          </cell>
          <cell r="S1356" t="str">
            <v>6171</v>
          </cell>
        </row>
        <row r="1357">
          <cell r="D1357" t="str">
            <v>A- actual</v>
          </cell>
          <cell r="E1357" t="str">
            <v>PS- pump station</v>
          </cell>
          <cell r="F1357" t="str">
            <v>BELMONT COMMUNITY CENTRE</v>
          </cell>
          <cell r="H1357" t="str">
            <v>P- private</v>
          </cell>
          <cell r="J1357" t="str">
            <v>20050201</v>
          </cell>
          <cell r="K1357" t="str">
            <v>115.935021134</v>
          </cell>
          <cell r="L1357" t="str">
            <v>-31.960917571</v>
          </cell>
          <cell r="M1357" t="str">
            <v>H</v>
          </cell>
          <cell r="N1357" t="str">
            <v>275</v>
          </cell>
          <cell r="O1357" t="str">
            <v>ABERNETHY</v>
          </cell>
          <cell r="P1357" t="str">
            <v>RD</v>
          </cell>
          <cell r="R1357" t="str">
            <v>CLOVERDALE</v>
          </cell>
          <cell r="S1357" t="str">
            <v>6105</v>
          </cell>
        </row>
        <row r="1358">
          <cell r="D1358" t="str">
            <v>A- actual</v>
          </cell>
          <cell r="E1358" t="str">
            <v>PS- pump station</v>
          </cell>
          <cell r="F1358" t="str">
            <v>FREMANTLE HARBOUR NQ RAIL TERMINAL</v>
          </cell>
          <cell r="H1358" t="str">
            <v>P- private</v>
          </cell>
          <cell r="J1358" t="str">
            <v>20060415</v>
          </cell>
          <cell r="K1358" t="str">
            <v>115.748053755</v>
          </cell>
          <cell r="L1358" t="str">
            <v>-32.038182412</v>
          </cell>
          <cell r="M1358" t="str">
            <v>L</v>
          </cell>
          <cell r="N1358" t="str">
            <v>58</v>
          </cell>
          <cell r="O1358" t="str">
            <v>SWAN</v>
          </cell>
          <cell r="P1358" t="str">
            <v>ST</v>
          </cell>
          <cell r="R1358" t="str">
            <v>NORTH FREMANTLE</v>
          </cell>
          <cell r="S1358" t="str">
            <v>6159</v>
          </cell>
        </row>
        <row r="1359">
          <cell r="D1359" t="str">
            <v>A- actual</v>
          </cell>
          <cell r="E1359" t="str">
            <v>PS- pump station</v>
          </cell>
          <cell r="F1359" t="str">
            <v>FREMANTLE HARBOUR NQ RAIL TERMINAL</v>
          </cell>
          <cell r="H1359" t="str">
            <v>P- private</v>
          </cell>
          <cell r="J1359" t="str">
            <v>20060415</v>
          </cell>
          <cell r="K1359" t="str">
            <v>115.748304931</v>
          </cell>
          <cell r="L1359" t="str">
            <v>-32.039091054</v>
          </cell>
          <cell r="M1359" t="str">
            <v>L</v>
          </cell>
          <cell r="N1359" t="str">
            <v>69</v>
          </cell>
          <cell r="O1359" t="str">
            <v>SWAN</v>
          </cell>
          <cell r="P1359" t="str">
            <v>ST</v>
          </cell>
          <cell r="R1359" t="str">
            <v>NORTH FREMANTLE</v>
          </cell>
          <cell r="S1359" t="str">
            <v>6159</v>
          </cell>
        </row>
        <row r="1360">
          <cell r="D1360" t="str">
            <v>A- actual</v>
          </cell>
          <cell r="E1360" t="str">
            <v>PS- pump station</v>
          </cell>
          <cell r="F1360" t="str">
            <v>FREMANTLE HARBOUR NQ RAIL TERMINAL</v>
          </cell>
          <cell r="H1360" t="str">
            <v>P- private</v>
          </cell>
          <cell r="J1360" t="str">
            <v>20060415</v>
          </cell>
          <cell r="K1360" t="str">
            <v>115.748304931</v>
          </cell>
          <cell r="L1360" t="str">
            <v>-32.039091054</v>
          </cell>
          <cell r="M1360" t="str">
            <v>L</v>
          </cell>
          <cell r="N1360" t="str">
            <v>69</v>
          </cell>
          <cell r="O1360" t="str">
            <v>SWAN</v>
          </cell>
          <cell r="P1360" t="str">
            <v>ST</v>
          </cell>
          <cell r="R1360" t="str">
            <v>NORTH FREMANTLE</v>
          </cell>
          <cell r="S1360" t="str">
            <v>6159</v>
          </cell>
        </row>
        <row r="1361">
          <cell r="B1361" t="str">
            <v>S0003182</v>
          </cell>
          <cell r="C1361" t="str">
            <v>CAPE PERON EFFLUENT P/STN</v>
          </cell>
          <cell r="D1361" t="str">
            <v>A- actual</v>
          </cell>
          <cell r="E1361" t="str">
            <v>EPS- effluent re-use pump station</v>
          </cell>
          <cell r="F1361" t="str">
            <v>CAPE PERON OUTFALL EFFLUENT</v>
          </cell>
          <cell r="H1361" t="str">
            <v>W- water corporation</v>
          </cell>
          <cell r="J1361" t="str">
            <v>19840101</v>
          </cell>
          <cell r="K1361" t="str">
            <v>115.773886945</v>
          </cell>
          <cell r="L1361" t="str">
            <v>-32.148849696</v>
          </cell>
          <cell r="M1361" t="str">
            <v>H</v>
          </cell>
          <cell r="N1361" t="str">
            <v>836</v>
          </cell>
          <cell r="O1361" t="str">
            <v>COCKBURN</v>
          </cell>
          <cell r="P1361" t="str">
            <v>RD</v>
          </cell>
          <cell r="R1361" t="str">
            <v>HENDERSON</v>
          </cell>
          <cell r="S1361" t="str">
            <v>6166</v>
          </cell>
        </row>
        <row r="1362">
          <cell r="B1362" t="str">
            <v>S0025681</v>
          </cell>
          <cell r="C1362" t="str">
            <v>SPS REUSE WWTP WICKHAM</v>
          </cell>
          <cell r="D1362" t="str">
            <v>A- actual</v>
          </cell>
          <cell r="E1362" t="str">
            <v>EPS- effluent re-use pump station</v>
          </cell>
          <cell r="F1362" t="str">
            <v>EFFLUENT WICKHAM</v>
          </cell>
          <cell r="H1362" t="str">
            <v>W- water corporation</v>
          </cell>
          <cell r="J1362" t="str">
            <v>20010101</v>
          </cell>
          <cell r="K1362" t="str">
            <v>117.158421768</v>
          </cell>
          <cell r="L1362" t="str">
            <v>-20.6740725568</v>
          </cell>
          <cell r="M1362" t="str">
            <v>L</v>
          </cell>
          <cell r="N1362" t="str">
            <v>705</v>
          </cell>
          <cell r="O1362" t="str">
            <v>STURT PEA</v>
          </cell>
          <cell r="P1362" t="str">
            <v>RD</v>
          </cell>
          <cell r="R1362" t="str">
            <v>WICKHAM</v>
          </cell>
          <cell r="S1362" t="str">
            <v>6720</v>
          </cell>
        </row>
        <row r="1363">
          <cell r="B1363" t="str">
            <v>S5008140</v>
          </cell>
          <cell r="C1363" t="str">
            <v>SPS 1 BARTRAM ST BEVERLEY</v>
          </cell>
          <cell r="D1363" t="str">
            <v>A- actual</v>
          </cell>
          <cell r="E1363" t="str">
            <v>PS- pump station</v>
          </cell>
          <cell r="F1363" t="str">
            <v>BARTRAM ST</v>
          </cell>
          <cell r="G1363" t="str">
            <v>1</v>
          </cell>
          <cell r="H1363" t="str">
            <v>W- water corporation</v>
          </cell>
          <cell r="J1363" t="str">
            <v>20020527</v>
          </cell>
          <cell r="K1363" t="str">
            <v>116.928688814</v>
          </cell>
          <cell r="L1363" t="str">
            <v>-32.1064800138</v>
          </cell>
          <cell r="M1363" t="str">
            <v>H</v>
          </cell>
          <cell r="N1363" t="str">
            <v>76</v>
          </cell>
          <cell r="O1363" t="str">
            <v>BARTRAM</v>
          </cell>
          <cell r="P1363" t="str">
            <v>ST</v>
          </cell>
          <cell r="R1363" t="str">
            <v>BEVERLEY</v>
          </cell>
          <cell r="S1363" t="str">
            <v>6304</v>
          </cell>
        </row>
        <row r="1364">
          <cell r="B1364" t="str">
            <v>S8007748</v>
          </cell>
          <cell r="C1364" t="str">
            <v>SPS PARK RD MANDURAH</v>
          </cell>
          <cell r="D1364" t="str">
            <v>A- actual</v>
          </cell>
          <cell r="E1364" t="str">
            <v>PS- pump station</v>
          </cell>
          <cell r="F1364" t="str">
            <v>PARK RD</v>
          </cell>
          <cell r="G1364" t="str">
            <v>34</v>
          </cell>
          <cell r="H1364" t="str">
            <v>W- water corporation</v>
          </cell>
          <cell r="J1364" t="str">
            <v>20060301</v>
          </cell>
          <cell r="K1364" t="str">
            <v>115.73818039</v>
          </cell>
          <cell r="L1364" t="str">
            <v>-32.527654852</v>
          </cell>
          <cell r="M1364" t="str">
            <v>H</v>
          </cell>
          <cell r="N1364" t="str">
            <v>38</v>
          </cell>
          <cell r="O1364" t="str">
            <v>SCOTT</v>
          </cell>
          <cell r="P1364" t="str">
            <v>ST</v>
          </cell>
          <cell r="R1364" t="str">
            <v>MANDURAH</v>
          </cell>
          <cell r="S1364" t="str">
            <v>6210</v>
          </cell>
        </row>
        <row r="1365">
          <cell r="D1365" t="str">
            <v>A- actual</v>
          </cell>
          <cell r="E1365" t="str">
            <v>PS- pump station</v>
          </cell>
          <cell r="F1365" t="str">
            <v>LOT 44 LENNARD ST</v>
          </cell>
          <cell r="H1365" t="str">
            <v>P- private</v>
          </cell>
          <cell r="J1365" t="str">
            <v>19000101</v>
          </cell>
          <cell r="K1365" t="str">
            <v>115.75262731</v>
          </cell>
          <cell r="L1365" t="str">
            <v>-31.84522587</v>
          </cell>
          <cell r="M1365" t="str">
            <v>H</v>
          </cell>
          <cell r="N1365" t="str">
            <v>2</v>
          </cell>
          <cell r="O1365" t="str">
            <v>LENNARD</v>
          </cell>
          <cell r="P1365" t="str">
            <v>ST</v>
          </cell>
          <cell r="R1365" t="str">
            <v>MARMION</v>
          </cell>
          <cell r="S1365" t="str">
            <v>6020</v>
          </cell>
        </row>
        <row r="1366">
          <cell r="B1366" t="str">
            <v>S2017201</v>
          </cell>
          <cell r="C1366" t="str">
            <v>SPS GUNIDA ST MULLALOO</v>
          </cell>
          <cell r="D1366" t="str">
            <v>A- actual</v>
          </cell>
          <cell r="E1366" t="str">
            <v>PS- pump station</v>
          </cell>
          <cell r="F1366" t="str">
            <v>GUNIDA ST</v>
          </cell>
          <cell r="G1366" t="str">
            <v>8</v>
          </cell>
          <cell r="H1366" t="str">
            <v>W- water corporation</v>
          </cell>
          <cell r="J1366" t="str">
            <v>20051101</v>
          </cell>
          <cell r="K1366" t="str">
            <v>115.741295286</v>
          </cell>
          <cell r="L1366" t="str">
            <v>-31.778769829</v>
          </cell>
          <cell r="M1366" t="str">
            <v>H</v>
          </cell>
          <cell r="N1366" t="str">
            <v>25</v>
          </cell>
          <cell r="O1366" t="str">
            <v>GUNIDA</v>
          </cell>
          <cell r="P1366" t="str">
            <v>ST</v>
          </cell>
          <cell r="R1366" t="str">
            <v>MULLALOO</v>
          </cell>
          <cell r="S1366" t="str">
            <v>6027</v>
          </cell>
        </row>
        <row r="1367">
          <cell r="B1367" t="str">
            <v>S2017200</v>
          </cell>
          <cell r="C1367" t="str">
            <v>SPS OCEANSIDE PROM MULLALOO</v>
          </cell>
          <cell r="D1367" t="str">
            <v>A- actual</v>
          </cell>
          <cell r="E1367" t="str">
            <v>PS- pump station</v>
          </cell>
          <cell r="F1367" t="str">
            <v>OCEANSIDE PROM</v>
          </cell>
          <cell r="G1367" t="str">
            <v>7</v>
          </cell>
          <cell r="H1367" t="str">
            <v>W- water corporation</v>
          </cell>
          <cell r="J1367" t="str">
            <v>20051101</v>
          </cell>
          <cell r="K1367" t="str">
            <v>115.734266931</v>
          </cell>
          <cell r="L1367" t="str">
            <v>-31.77970362</v>
          </cell>
          <cell r="M1367" t="str">
            <v>H</v>
          </cell>
          <cell r="N1367" t="str">
            <v>56</v>
          </cell>
          <cell r="O1367" t="str">
            <v>OCEANSIDE</v>
          </cell>
          <cell r="P1367" t="str">
            <v>PROM</v>
          </cell>
          <cell r="R1367" t="str">
            <v>MULLALOO</v>
          </cell>
          <cell r="S1367" t="str">
            <v>6027</v>
          </cell>
        </row>
        <row r="1368">
          <cell r="B1368" t="str">
            <v>S2016892</v>
          </cell>
          <cell r="C1368" t="str">
            <v>SPS WEST COAST DR TRIGG</v>
          </cell>
          <cell r="D1368" t="str">
            <v>A- actual</v>
          </cell>
          <cell r="E1368" t="str">
            <v>PS- pump station</v>
          </cell>
          <cell r="F1368" t="str">
            <v>WEST COAST DR TRIGG</v>
          </cell>
          <cell r="G1368" t="str">
            <v>13</v>
          </cell>
          <cell r="H1368" t="str">
            <v>W- water corporation</v>
          </cell>
          <cell r="J1368" t="str">
            <v>20050915</v>
          </cell>
          <cell r="K1368" t="str">
            <v>115.753385162</v>
          </cell>
          <cell r="L1368" t="str">
            <v>-31.875077177</v>
          </cell>
          <cell r="M1368" t="str">
            <v>H</v>
          </cell>
          <cell r="N1368" t="str">
            <v>1</v>
          </cell>
          <cell r="O1368" t="str">
            <v>ELLIOTT</v>
          </cell>
          <cell r="P1368" t="str">
            <v>RD</v>
          </cell>
          <cell r="R1368" t="str">
            <v>TRIGG</v>
          </cell>
          <cell r="S1368" t="str">
            <v>6029</v>
          </cell>
        </row>
        <row r="1369">
          <cell r="D1369" t="str">
            <v>A- actual</v>
          </cell>
          <cell r="E1369" t="str">
            <v>PS- pump station</v>
          </cell>
          <cell r="H1369" t="str">
            <v>P- private</v>
          </cell>
          <cell r="J1369" t="str">
            <v>20060719</v>
          </cell>
          <cell r="K1369" t="str">
            <v>114.626501046</v>
          </cell>
          <cell r="L1369" t="str">
            <v>-28.7574186715</v>
          </cell>
          <cell r="M1369" t="str">
            <v>H</v>
          </cell>
          <cell r="N1369" t="str">
            <v>208</v>
          </cell>
          <cell r="O1369" t="str">
            <v>NORTH WEST COASTAL</v>
          </cell>
          <cell r="P1369" t="str">
            <v>HWY</v>
          </cell>
          <cell r="R1369" t="str">
            <v>WEBBERTON</v>
          </cell>
          <cell r="S1369" t="str">
            <v>6530</v>
          </cell>
        </row>
        <row r="1370">
          <cell r="B1370" t="str">
            <v>S8008514</v>
          </cell>
          <cell r="C1370" t="str">
            <v>SPS WESTBURY WY DAWESVILLE</v>
          </cell>
          <cell r="D1370" t="str">
            <v>A- actual</v>
          </cell>
          <cell r="E1370" t="str">
            <v>PS- pump station</v>
          </cell>
          <cell r="F1370" t="str">
            <v>WESTBURY WAY</v>
          </cell>
          <cell r="G1370" t="str">
            <v>11</v>
          </cell>
          <cell r="H1370" t="str">
            <v>W- water corporation</v>
          </cell>
          <cell r="J1370" t="str">
            <v>20060801</v>
          </cell>
          <cell r="K1370" t="str">
            <v>115.628797298</v>
          </cell>
          <cell r="L1370" t="str">
            <v>-32.6392785511</v>
          </cell>
          <cell r="M1370" t="str">
            <v>H</v>
          </cell>
          <cell r="N1370" t="str">
            <v>22</v>
          </cell>
          <cell r="O1370" t="str">
            <v>WESTBURY</v>
          </cell>
          <cell r="P1370" t="str">
            <v>WAY</v>
          </cell>
          <cell r="R1370" t="str">
            <v>DAWESVILLE</v>
          </cell>
          <cell r="S1370" t="str">
            <v>6211</v>
          </cell>
        </row>
        <row r="1371">
          <cell r="B1371" t="str">
            <v>S2018378</v>
          </cell>
          <cell r="C1371" t="str">
            <v>SPS LANDSDALE RD LANDSDALE</v>
          </cell>
          <cell r="D1371" t="str">
            <v>A- actual</v>
          </cell>
          <cell r="E1371" t="str">
            <v>PS- pump station</v>
          </cell>
          <cell r="F1371" t="str">
            <v>LANDSDALE DR TEMP</v>
          </cell>
          <cell r="G1371" t="str">
            <v>902-36</v>
          </cell>
          <cell r="H1371" t="str">
            <v>W- water corporation</v>
          </cell>
          <cell r="J1371" t="str">
            <v>20060811</v>
          </cell>
          <cell r="K1371" t="str">
            <v>115.86674175</v>
          </cell>
          <cell r="L1371" t="str">
            <v>-31.81786802</v>
          </cell>
          <cell r="M1371" t="str">
            <v>H</v>
          </cell>
          <cell r="N1371" t="str">
            <v>283</v>
          </cell>
          <cell r="O1371" t="str">
            <v>LANDSDALE</v>
          </cell>
          <cell r="P1371" t="str">
            <v>RD</v>
          </cell>
          <cell r="R1371" t="str">
            <v>LANDSDALE</v>
          </cell>
          <cell r="S1371" t="str">
            <v>6065</v>
          </cell>
        </row>
        <row r="1372">
          <cell r="B1372" t="str">
            <v>S8008440</v>
          </cell>
          <cell r="C1372" t="str">
            <v>SPS TOUCHSTONE DR DAWESVILLE</v>
          </cell>
          <cell r="D1372" t="str">
            <v>A- actual</v>
          </cell>
          <cell r="E1372" t="str">
            <v>PS- pump station</v>
          </cell>
          <cell r="F1372" t="str">
            <v>TOUCHSTONE DR</v>
          </cell>
          <cell r="H1372" t="str">
            <v>W- water corporation</v>
          </cell>
          <cell r="J1372" t="str">
            <v>20051111</v>
          </cell>
          <cell r="K1372" t="str">
            <v>115.634897467</v>
          </cell>
          <cell r="L1372" t="str">
            <v>-32.636312994</v>
          </cell>
          <cell r="M1372" t="str">
            <v>L</v>
          </cell>
          <cell r="N1372" t="str">
            <v>1000</v>
          </cell>
          <cell r="O1372" t="str">
            <v>MCCUBBIN</v>
          </cell>
          <cell r="P1372" t="str">
            <v>LOOP</v>
          </cell>
          <cell r="R1372" t="str">
            <v>DAWESVILLE</v>
          </cell>
          <cell r="S1372" t="str">
            <v>6211</v>
          </cell>
        </row>
        <row r="1373">
          <cell r="D1373" t="str">
            <v>A- actual</v>
          </cell>
          <cell r="E1373" t="str">
            <v>PS- pump station</v>
          </cell>
          <cell r="F1373" t="str">
            <v>LOT 282 PARKHILL RD</v>
          </cell>
          <cell r="H1373" t="str">
            <v>P- private</v>
          </cell>
          <cell r="J1373" t="str">
            <v>19900813</v>
          </cell>
          <cell r="K1373" t="str">
            <v>115.900276262</v>
          </cell>
          <cell r="L1373" t="str">
            <v>-32.013918655</v>
          </cell>
          <cell r="M1373" t="str">
            <v>H</v>
          </cell>
          <cell r="N1373" t="str">
            <v>25</v>
          </cell>
          <cell r="O1373" t="str">
            <v>PARKHILL</v>
          </cell>
          <cell r="P1373" t="str">
            <v>WAY</v>
          </cell>
          <cell r="R1373" t="str">
            <v>WILSON</v>
          </cell>
          <cell r="S1373" t="str">
            <v>6107</v>
          </cell>
        </row>
        <row r="1374">
          <cell r="D1374" t="str">
            <v>A- actual</v>
          </cell>
          <cell r="E1374" t="str">
            <v>PS- pump station</v>
          </cell>
          <cell r="F1374" t="str">
            <v>LOT 1444 MURAT RD</v>
          </cell>
          <cell r="H1374" t="str">
            <v>P- private</v>
          </cell>
          <cell r="J1374" t="str">
            <v>20060515</v>
          </cell>
          <cell r="K1374" t="str">
            <v>114.126730382</v>
          </cell>
          <cell r="L1374" t="str">
            <v>-21.9280198713</v>
          </cell>
          <cell r="M1374" t="str">
            <v>H</v>
          </cell>
          <cell r="N1374" t="str">
            <v>592</v>
          </cell>
          <cell r="O1374" t="str">
            <v>MURAT</v>
          </cell>
          <cell r="P1374" t="str">
            <v>RD</v>
          </cell>
          <cell r="R1374" t="str">
            <v>EXMOUTH</v>
          </cell>
          <cell r="S1374" t="str">
            <v>6707</v>
          </cell>
        </row>
        <row r="1375">
          <cell r="B1375" t="str">
            <v>S5010320</v>
          </cell>
          <cell r="C1375" t="str">
            <v>SPS 4 MITCHELL AVE NORTHAM</v>
          </cell>
          <cell r="D1375" t="str">
            <v>A- actual</v>
          </cell>
          <cell r="E1375" t="str">
            <v>PS- pump station</v>
          </cell>
          <cell r="F1375" t="str">
            <v>MITCHELL AVE TEMP</v>
          </cell>
          <cell r="H1375" t="str">
            <v>W- water corporation</v>
          </cell>
          <cell r="J1375" t="str">
            <v>20061003</v>
          </cell>
          <cell r="K1375" t="str">
            <v>116.658562422</v>
          </cell>
          <cell r="L1375" t="str">
            <v>-31.6574461118</v>
          </cell>
          <cell r="M1375" t="str">
            <v>H</v>
          </cell>
          <cell r="N1375" t="str">
            <v>62</v>
          </cell>
          <cell r="O1375" t="str">
            <v>MITCHELL</v>
          </cell>
          <cell r="P1375" t="str">
            <v>AV</v>
          </cell>
          <cell r="R1375" t="str">
            <v>NORTHAM</v>
          </cell>
          <cell r="S1375" t="str">
            <v>6401</v>
          </cell>
        </row>
        <row r="1376">
          <cell r="D1376" t="str">
            <v>A- actual</v>
          </cell>
          <cell r="E1376" t="str">
            <v>PS- pump station</v>
          </cell>
          <cell r="F1376" t="str">
            <v>LOT 100 &amp; 26 GEOGRAPHE BAY RD</v>
          </cell>
          <cell r="H1376" t="str">
            <v>P- private</v>
          </cell>
          <cell r="J1376" t="str">
            <v>20060822</v>
          </cell>
          <cell r="K1376" t="str">
            <v>115.13584754</v>
          </cell>
          <cell r="L1376" t="str">
            <v>-33.6297167</v>
          </cell>
          <cell r="M1376" t="str">
            <v>H</v>
          </cell>
          <cell r="N1376" t="str">
            <v>300</v>
          </cell>
          <cell r="O1376" t="str">
            <v>GEOGRAPHE BAY</v>
          </cell>
          <cell r="P1376" t="str">
            <v>RD</v>
          </cell>
          <cell r="R1376" t="str">
            <v>QUINDALUP</v>
          </cell>
          <cell r="S1376" t="str">
            <v>6281</v>
          </cell>
        </row>
        <row r="1377">
          <cell r="D1377" t="str">
            <v>A- actual</v>
          </cell>
          <cell r="E1377" t="str">
            <v>PS- pump station</v>
          </cell>
          <cell r="F1377" t="str">
            <v>MCDERMOTT ST</v>
          </cell>
          <cell r="G1377" t="str">
            <v>1</v>
          </cell>
          <cell r="H1377" t="str">
            <v>P- private</v>
          </cell>
          <cell r="J1377" t="str">
            <v>20060822</v>
          </cell>
          <cell r="K1377" t="str">
            <v>115.136670884</v>
          </cell>
          <cell r="L1377" t="str">
            <v>-33.6310930351</v>
          </cell>
          <cell r="M1377" t="str">
            <v>H</v>
          </cell>
          <cell r="N1377" t="str">
            <v>9</v>
          </cell>
          <cell r="O1377" t="str">
            <v>MCDERMOTT</v>
          </cell>
          <cell r="P1377" t="str">
            <v>ST</v>
          </cell>
          <cell r="R1377" t="str">
            <v>QUINDALUP</v>
          </cell>
          <cell r="S1377" t="str">
            <v>6281</v>
          </cell>
        </row>
        <row r="1378">
          <cell r="D1378" t="str">
            <v>A- actual</v>
          </cell>
          <cell r="E1378" t="str">
            <v>PS- pump station</v>
          </cell>
          <cell r="F1378" t="str">
            <v>MCDERMOTT ST</v>
          </cell>
          <cell r="G1378" t="str">
            <v>2</v>
          </cell>
          <cell r="H1378" t="str">
            <v>P- private</v>
          </cell>
          <cell r="J1378" t="str">
            <v>20060822</v>
          </cell>
          <cell r="K1378" t="str">
            <v>115.136670884</v>
          </cell>
          <cell r="L1378" t="str">
            <v>-33.6310930351</v>
          </cell>
          <cell r="M1378" t="str">
            <v>H</v>
          </cell>
          <cell r="N1378" t="str">
            <v>9</v>
          </cell>
          <cell r="O1378" t="str">
            <v>MCDERMOTT</v>
          </cell>
          <cell r="P1378" t="str">
            <v>ST</v>
          </cell>
          <cell r="R1378" t="str">
            <v>QUINDALUP</v>
          </cell>
          <cell r="S1378" t="str">
            <v>6281</v>
          </cell>
        </row>
        <row r="1379">
          <cell r="B1379" t="str">
            <v>S3000336</v>
          </cell>
          <cell r="C1379" t="str">
            <v>SPS REUSE WWTP DERBY</v>
          </cell>
          <cell r="D1379" t="str">
            <v>A- actual</v>
          </cell>
          <cell r="E1379" t="str">
            <v>EPS- effluent re-use pump station</v>
          </cell>
          <cell r="F1379" t="str">
            <v>DERBY EFFLUENT TRANSFER</v>
          </cell>
          <cell r="H1379" t="str">
            <v>W- water corporation</v>
          </cell>
          <cell r="J1379" t="str">
            <v>19980701</v>
          </cell>
          <cell r="K1379" t="str">
            <v>123.648029657</v>
          </cell>
          <cell r="L1379" t="str">
            <v>-17.334837161</v>
          </cell>
          <cell r="M1379" t="str">
            <v>L</v>
          </cell>
          <cell r="N1379" t="str">
            <v>95</v>
          </cell>
          <cell r="O1379" t="str">
            <v>CONWAY</v>
          </cell>
          <cell r="P1379" t="str">
            <v>ST</v>
          </cell>
          <cell r="R1379" t="str">
            <v>DERBY</v>
          </cell>
          <cell r="S1379" t="str">
            <v>6728</v>
          </cell>
        </row>
        <row r="1380">
          <cell r="B1380" t="str">
            <v>S3000351</v>
          </cell>
          <cell r="C1380" t="str">
            <v>SPS REUSE GUILDFORD ST WWTP DERBY</v>
          </cell>
          <cell r="D1380" t="str">
            <v>A- actual</v>
          </cell>
          <cell r="E1380" t="str">
            <v>PS- pump station</v>
          </cell>
          <cell r="F1380" t="str">
            <v>GUILDFORD ST DERBY IRRIGATION</v>
          </cell>
          <cell r="H1380" t="str">
            <v>W- water corporation</v>
          </cell>
          <cell r="J1380" t="str">
            <v>19980701</v>
          </cell>
          <cell r="K1380" t="str">
            <v>123.646962432</v>
          </cell>
          <cell r="L1380" t="str">
            <v>-17.3223055336</v>
          </cell>
          <cell r="M1380" t="str">
            <v>H</v>
          </cell>
          <cell r="N1380" t="str">
            <v>30</v>
          </cell>
          <cell r="O1380" t="str">
            <v>GUILDFORD</v>
          </cell>
          <cell r="P1380" t="str">
            <v>ST</v>
          </cell>
          <cell r="R1380" t="str">
            <v>DERBY</v>
          </cell>
          <cell r="S1380" t="str">
            <v>6728</v>
          </cell>
        </row>
        <row r="1381">
          <cell r="D1381" t="str">
            <v>A- actual</v>
          </cell>
          <cell r="E1381" t="str">
            <v>PS- pump station</v>
          </cell>
          <cell r="F1381" t="str">
            <v>MT BARKER CARAVAN PARK</v>
          </cell>
          <cell r="H1381" t="str">
            <v>P- private</v>
          </cell>
          <cell r="J1381" t="str">
            <v>19790913</v>
          </cell>
          <cell r="K1381" t="str">
            <v>117.660630668</v>
          </cell>
          <cell r="L1381" t="str">
            <v>-34.6188482278</v>
          </cell>
          <cell r="M1381" t="str">
            <v>H</v>
          </cell>
          <cell r="N1381" t="str">
            <v>31748</v>
          </cell>
          <cell r="O1381" t="str">
            <v>ALBANY</v>
          </cell>
          <cell r="P1381" t="str">
            <v>HWY</v>
          </cell>
          <cell r="R1381" t="str">
            <v>MOUNT BARKER</v>
          </cell>
          <cell r="S1381" t="str">
            <v>6324</v>
          </cell>
        </row>
        <row r="1382">
          <cell r="B1382" t="str">
            <v>S0037356</v>
          </cell>
          <cell r="C1382" t="str">
            <v>SPS REUSE WWTP CARNARVON</v>
          </cell>
          <cell r="D1382" t="str">
            <v>A- actual</v>
          </cell>
          <cell r="E1382" t="str">
            <v>EPS- effluent re-use pump station</v>
          </cell>
          <cell r="F1382" t="str">
            <v>CARNARVON WASTEWATER TREATMENT PLANT</v>
          </cell>
          <cell r="H1382" t="str">
            <v>W- water corporation</v>
          </cell>
          <cell r="J1382" t="str">
            <v>19980416</v>
          </cell>
          <cell r="K1382" t="str">
            <v>113.652103067</v>
          </cell>
          <cell r="L1382" t="str">
            <v>-24.873099894</v>
          </cell>
          <cell r="M1382" t="str">
            <v>H</v>
          </cell>
          <cell r="N1382" t="str">
            <v>120</v>
          </cell>
          <cell r="O1382" t="str">
            <v>BABBAGE ISLAND</v>
          </cell>
          <cell r="P1382" t="str">
            <v>RD</v>
          </cell>
          <cell r="R1382" t="str">
            <v>MORGANTOWN</v>
          </cell>
          <cell r="S1382" t="str">
            <v>6701</v>
          </cell>
        </row>
        <row r="1383">
          <cell r="B1383" t="str">
            <v>S4001067</v>
          </cell>
          <cell r="C1383" t="str">
            <v>SPS 4 RED BLUFF RD KALBARRI</v>
          </cell>
          <cell r="D1383" t="str">
            <v>A- actual</v>
          </cell>
          <cell r="E1383" t="str">
            <v>PS- pump station</v>
          </cell>
          <cell r="F1383" t="str">
            <v>RED BLUFF BEACH RD</v>
          </cell>
          <cell r="G1383" t="str">
            <v>k4</v>
          </cell>
          <cell r="H1383" t="str">
            <v>W- water corporation</v>
          </cell>
          <cell r="J1383" t="str">
            <v>20060703</v>
          </cell>
          <cell r="K1383" t="str">
            <v>114.148674413</v>
          </cell>
          <cell r="L1383" t="str">
            <v>-27.7430307483</v>
          </cell>
          <cell r="M1383" t="str">
            <v>L</v>
          </cell>
          <cell r="N1383" t="str">
            <v>280</v>
          </cell>
          <cell r="O1383" t="str">
            <v>RED BLUFF</v>
          </cell>
          <cell r="P1383" t="str">
            <v>RD</v>
          </cell>
          <cell r="R1383" t="str">
            <v>KALBARRI</v>
          </cell>
          <cell r="S1383" t="str">
            <v>6536</v>
          </cell>
        </row>
        <row r="1384">
          <cell r="B1384" t="str">
            <v>S0022429</v>
          </cell>
          <cell r="C1384" t="str">
            <v>PUMPING SYS IRRIGATION SYS TREE FARM 1</v>
          </cell>
          <cell r="D1384" t="str">
            <v>A- actual</v>
          </cell>
          <cell r="E1384" t="str">
            <v>PS- pump station</v>
          </cell>
          <cell r="F1384" t="str">
            <v>ALBANY IRRIGATION SYSTEM</v>
          </cell>
          <cell r="G1384" t="str">
            <v>CS29</v>
          </cell>
          <cell r="H1384" t="str">
            <v>W- water corporation</v>
          </cell>
          <cell r="J1384" t="str">
            <v>19950701</v>
          </cell>
          <cell r="K1384" t="str">
            <v>117.784922436</v>
          </cell>
          <cell r="L1384" t="str">
            <v>-34.9419353142</v>
          </cell>
          <cell r="M1384" t="str">
            <v>H</v>
          </cell>
          <cell r="N1384" t="str">
            <v>35554</v>
          </cell>
          <cell r="O1384" t="str">
            <v>ALBANY</v>
          </cell>
          <cell r="P1384" t="str">
            <v>HWY</v>
          </cell>
          <cell r="R1384" t="str">
            <v>DROME</v>
          </cell>
          <cell r="S1384" t="str">
            <v>6330</v>
          </cell>
        </row>
        <row r="1385">
          <cell r="B1385" t="str">
            <v>S2018328</v>
          </cell>
          <cell r="C1385" t="str">
            <v>SPS WEST COAST DR WATERMANS BAY</v>
          </cell>
          <cell r="D1385" t="str">
            <v>A- actual</v>
          </cell>
          <cell r="E1385" t="str">
            <v>PS- pump station</v>
          </cell>
          <cell r="F1385" t="str">
            <v>WEST COAST DR WATERMANS</v>
          </cell>
          <cell r="G1385" t="str">
            <v>23</v>
          </cell>
          <cell r="H1385" t="str">
            <v>W- water corporation</v>
          </cell>
          <cell r="J1385" t="str">
            <v>20060701</v>
          </cell>
          <cell r="K1385" t="str">
            <v>115.752414159</v>
          </cell>
          <cell r="L1385" t="str">
            <v>-31.8474339034</v>
          </cell>
          <cell r="M1385" t="str">
            <v>H</v>
          </cell>
          <cell r="N1385" t="str">
            <v>33</v>
          </cell>
          <cell r="O1385" t="str">
            <v>WEST COAST</v>
          </cell>
          <cell r="P1385" t="str">
            <v>DR</v>
          </cell>
          <cell r="R1385" t="str">
            <v>WATERMANS BAY</v>
          </cell>
          <cell r="S1385" t="str">
            <v>6020</v>
          </cell>
        </row>
        <row r="1386">
          <cell r="D1386" t="str">
            <v>A- actual</v>
          </cell>
          <cell r="E1386" t="str">
            <v>PS- pump station</v>
          </cell>
          <cell r="F1386" t="str">
            <v>ZEPHYRS KIOSK</v>
          </cell>
          <cell r="H1386" t="str">
            <v>P- private</v>
          </cell>
          <cell r="J1386" t="str">
            <v>20041101</v>
          </cell>
          <cell r="K1386" t="str">
            <v>115.762477817</v>
          </cell>
          <cell r="L1386" t="str">
            <v>-32.0291199423</v>
          </cell>
          <cell r="M1386" t="str">
            <v>H</v>
          </cell>
          <cell r="N1386" t="str">
            <v>61</v>
          </cell>
          <cell r="O1386" t="str">
            <v>RIVERSIDE</v>
          </cell>
          <cell r="P1386" t="str">
            <v>RD</v>
          </cell>
          <cell r="R1386" t="str">
            <v>EAST FREMANTLE</v>
          </cell>
          <cell r="S1386" t="str">
            <v>6158</v>
          </cell>
        </row>
        <row r="1387">
          <cell r="B1387" t="str">
            <v>S8008197</v>
          </cell>
          <cell r="C1387" t="str">
            <v>VPS WATERLILY DR DUDLEY PARK</v>
          </cell>
          <cell r="D1387" t="str">
            <v>A- actual</v>
          </cell>
          <cell r="E1387" t="str">
            <v>VPS- vacuum pump station</v>
          </cell>
          <cell r="F1387" t="str">
            <v>WATERLILY DR</v>
          </cell>
          <cell r="G1387" t="str">
            <v>37</v>
          </cell>
          <cell r="H1387" t="str">
            <v>W- water corporation</v>
          </cell>
          <cell r="J1387" t="str">
            <v>20061204</v>
          </cell>
          <cell r="K1387" t="str">
            <v>115.730607688</v>
          </cell>
          <cell r="L1387" t="str">
            <v>-32.5497476193</v>
          </cell>
          <cell r="M1387" t="str">
            <v>L</v>
          </cell>
          <cell r="N1387" t="str">
            <v>8008</v>
          </cell>
          <cell r="O1387" t="str">
            <v>WATERLILY</v>
          </cell>
          <cell r="P1387" t="str">
            <v>DR</v>
          </cell>
          <cell r="R1387" t="str">
            <v>DUDLEY PARK</v>
          </cell>
          <cell r="S1387" t="str">
            <v>6210</v>
          </cell>
        </row>
        <row r="1388">
          <cell r="B1388" t="str">
            <v>S2018407</v>
          </cell>
          <cell r="C1388" t="str">
            <v>SPS BLUESTONE PKWY SECRET HARBOUR</v>
          </cell>
          <cell r="D1388" t="str">
            <v>A- actual</v>
          </cell>
          <cell r="E1388" t="str">
            <v>PS- pump station</v>
          </cell>
          <cell r="F1388" t="str">
            <v>BLUESTONE PWY</v>
          </cell>
          <cell r="G1388" t="str">
            <v>700-30</v>
          </cell>
          <cell r="H1388" t="str">
            <v>W- water corporation</v>
          </cell>
          <cell r="J1388" t="str">
            <v>20061101</v>
          </cell>
          <cell r="K1388" t="str">
            <v>115.761219236</v>
          </cell>
          <cell r="L1388" t="str">
            <v>-32.4141241411</v>
          </cell>
          <cell r="M1388" t="str">
            <v>H</v>
          </cell>
          <cell r="N1388" t="str">
            <v>11</v>
          </cell>
          <cell r="O1388" t="str">
            <v>FRENCHMANS</v>
          </cell>
          <cell r="P1388" t="str">
            <v>CR</v>
          </cell>
          <cell r="R1388" t="str">
            <v>SECRET HARBOUR</v>
          </cell>
          <cell r="S1388" t="str">
            <v>6173</v>
          </cell>
        </row>
        <row r="1389">
          <cell r="B1389" t="str">
            <v>S8007747</v>
          </cell>
          <cell r="C1389" t="str">
            <v>SPS LANYON ST MANDURAH</v>
          </cell>
          <cell r="D1389" t="str">
            <v>A- actual</v>
          </cell>
          <cell r="E1389" t="str">
            <v>PS- pump station</v>
          </cell>
          <cell r="F1389" t="str">
            <v>LANYON ST</v>
          </cell>
          <cell r="G1389" t="str">
            <v>35</v>
          </cell>
          <cell r="H1389" t="str">
            <v>W- water corporation</v>
          </cell>
          <cell r="J1389" t="str">
            <v>20040610</v>
          </cell>
          <cell r="K1389" t="str">
            <v>115.7331545</v>
          </cell>
          <cell r="L1389" t="str">
            <v>-32.53452068</v>
          </cell>
          <cell r="M1389" t="str">
            <v>H</v>
          </cell>
          <cell r="N1389" t="str">
            <v>3</v>
          </cell>
          <cell r="O1389" t="str">
            <v>LANYON</v>
          </cell>
          <cell r="P1389" t="str">
            <v>ST</v>
          </cell>
          <cell r="R1389" t="str">
            <v>MANDURAH</v>
          </cell>
          <cell r="S1389" t="str">
            <v>6210</v>
          </cell>
        </row>
        <row r="1390">
          <cell r="D1390" t="str">
            <v>A- actual</v>
          </cell>
          <cell r="E1390" t="str">
            <v>PS- pump station</v>
          </cell>
          <cell r="F1390" t="str">
            <v>LANCELIN LODGE</v>
          </cell>
          <cell r="H1390" t="str">
            <v>P- private</v>
          </cell>
          <cell r="J1390" t="str">
            <v>19960925</v>
          </cell>
          <cell r="K1390" t="str">
            <v>115.332613298</v>
          </cell>
          <cell r="L1390" t="str">
            <v>-31.025620764</v>
          </cell>
          <cell r="M1390" t="str">
            <v>H</v>
          </cell>
          <cell r="N1390" t="str">
            <v>10</v>
          </cell>
          <cell r="O1390" t="str">
            <v>HOPKINS</v>
          </cell>
          <cell r="P1390" t="str">
            <v>ST</v>
          </cell>
          <cell r="R1390" t="str">
            <v>LANCELIN</v>
          </cell>
          <cell r="S1390" t="str">
            <v>6044</v>
          </cell>
        </row>
        <row r="1391">
          <cell r="D1391" t="str">
            <v>A- actual</v>
          </cell>
          <cell r="E1391" t="str">
            <v>PS- pump station</v>
          </cell>
          <cell r="F1391" t="str">
            <v>LOT 8 KING EDWARD RD</v>
          </cell>
          <cell r="H1391" t="str">
            <v>P- private</v>
          </cell>
          <cell r="J1391" t="str">
            <v>20070312</v>
          </cell>
          <cell r="K1391" t="str">
            <v>115.807760348</v>
          </cell>
          <cell r="L1391" t="str">
            <v>-31.902008495</v>
          </cell>
          <cell r="M1391" t="str">
            <v>H</v>
          </cell>
          <cell r="N1391" t="str">
            <v>22</v>
          </cell>
          <cell r="O1391" t="str">
            <v>KING EDWARD</v>
          </cell>
          <cell r="P1391" t="str">
            <v>RD</v>
          </cell>
          <cell r="R1391" t="str">
            <v>OSBORNE PARK</v>
          </cell>
          <cell r="S1391" t="str">
            <v>6017</v>
          </cell>
        </row>
        <row r="1392">
          <cell r="B1392" t="str">
            <v>S2019037</v>
          </cell>
          <cell r="C1392" t="str">
            <v>SPS NAIRN DR BALDIVIS</v>
          </cell>
          <cell r="D1392" t="str">
            <v>A- actual</v>
          </cell>
          <cell r="E1392" t="str">
            <v>PS- pump station</v>
          </cell>
          <cell r="F1392" t="str">
            <v>NAIRN DR</v>
          </cell>
          <cell r="G1392" t="str">
            <v>156-07</v>
          </cell>
          <cell r="H1392" t="str">
            <v>W- water corporation</v>
          </cell>
          <cell r="J1392" t="str">
            <v>20061130</v>
          </cell>
          <cell r="K1392" t="str">
            <v>115.81178442</v>
          </cell>
          <cell r="L1392" t="str">
            <v>-32.3256162</v>
          </cell>
          <cell r="M1392" t="str">
            <v>H</v>
          </cell>
          <cell r="N1392" t="str">
            <v>47</v>
          </cell>
          <cell r="O1392" t="str">
            <v>ARRINO</v>
          </cell>
          <cell r="P1392" t="str">
            <v>PDE</v>
          </cell>
          <cell r="R1392" t="str">
            <v>BALDIVIS</v>
          </cell>
          <cell r="S1392" t="str">
            <v>6171</v>
          </cell>
        </row>
        <row r="1393">
          <cell r="D1393" t="str">
            <v>A- actual</v>
          </cell>
          <cell r="E1393" t="str">
            <v>PS- pump station</v>
          </cell>
          <cell r="F1393" t="str">
            <v>UNIVERSITY</v>
          </cell>
          <cell r="H1393" t="str">
            <v>P- private</v>
          </cell>
          <cell r="J1393" t="str">
            <v>18000101</v>
          </cell>
          <cell r="K1393" t="str">
            <v>114.612747009</v>
          </cell>
          <cell r="L1393" t="str">
            <v>-28.7848366793</v>
          </cell>
          <cell r="M1393" t="str">
            <v>H</v>
          </cell>
          <cell r="N1393" t="str">
            <v>30</v>
          </cell>
          <cell r="O1393" t="str">
            <v>ONSLOW</v>
          </cell>
          <cell r="P1393" t="str">
            <v>ST</v>
          </cell>
          <cell r="R1393" t="str">
            <v>GERALDTON</v>
          </cell>
          <cell r="S1393" t="str">
            <v>6530</v>
          </cell>
        </row>
        <row r="1394">
          <cell r="D1394" t="str">
            <v>A- actual</v>
          </cell>
          <cell r="E1394" t="str">
            <v>PS- pump station</v>
          </cell>
          <cell r="F1394" t="str">
            <v>ANUR-MOSQUE</v>
          </cell>
          <cell r="H1394" t="str">
            <v>P- private</v>
          </cell>
          <cell r="J1394" t="str">
            <v>20040214</v>
          </cell>
          <cell r="K1394" t="str">
            <v>115.985560437</v>
          </cell>
          <cell r="L1394" t="str">
            <v>-32.0294406468</v>
          </cell>
          <cell r="M1394" t="str">
            <v>H</v>
          </cell>
          <cell r="N1394" t="str">
            <v>409</v>
          </cell>
          <cell r="O1394" t="str">
            <v>BICKLEY</v>
          </cell>
          <cell r="P1394" t="str">
            <v>RD</v>
          </cell>
          <cell r="R1394" t="str">
            <v>KENWICK</v>
          </cell>
          <cell r="S1394" t="str">
            <v>6107</v>
          </cell>
        </row>
        <row r="1395">
          <cell r="D1395" t="str">
            <v>A- actual</v>
          </cell>
          <cell r="E1395" t="str">
            <v>PS- pump station</v>
          </cell>
          <cell r="F1395" t="str">
            <v>WOODMAN POINT RECREATION CAMP</v>
          </cell>
          <cell r="H1395" t="str">
            <v>P- private</v>
          </cell>
          <cell r="J1395" t="str">
            <v>20050727</v>
          </cell>
          <cell r="K1395" t="str">
            <v>115.755091475</v>
          </cell>
          <cell r="L1395" t="str">
            <v>-32.1327568475</v>
          </cell>
          <cell r="M1395" t="str">
            <v>L</v>
          </cell>
          <cell r="N1395" t="str">
            <v>300</v>
          </cell>
          <cell r="O1395" t="str">
            <v>O'KANE</v>
          </cell>
          <cell r="P1395" t="str">
            <v>CT</v>
          </cell>
          <cell r="R1395" t="str">
            <v>COOGEE</v>
          </cell>
          <cell r="S1395" t="str">
            <v>6166</v>
          </cell>
        </row>
        <row r="1396">
          <cell r="D1396" t="str">
            <v>A- actual</v>
          </cell>
          <cell r="E1396" t="str">
            <v>PS- pump station</v>
          </cell>
          <cell r="F1396" t="str">
            <v>LANCELIN ANGLING &amp; AQUATIC CLUB</v>
          </cell>
          <cell r="H1396" t="str">
            <v>P- private</v>
          </cell>
          <cell r="J1396" t="str">
            <v>19980201</v>
          </cell>
          <cell r="K1396" t="str">
            <v>115.331912915</v>
          </cell>
          <cell r="L1396" t="str">
            <v>-31.025927902</v>
          </cell>
          <cell r="M1396" t="str">
            <v>H</v>
          </cell>
          <cell r="N1396" t="str">
            <v>6</v>
          </cell>
          <cell r="O1396" t="str">
            <v>HOPKINS</v>
          </cell>
          <cell r="P1396" t="str">
            <v>ST</v>
          </cell>
          <cell r="R1396" t="str">
            <v>LANCELIN</v>
          </cell>
          <cell r="S1396" t="str">
            <v>6044</v>
          </cell>
        </row>
        <row r="1397">
          <cell r="B1397" t="str">
            <v>S2019412</v>
          </cell>
          <cell r="C1397" t="str">
            <v>SPS GNANGARA RD EAST HENLEY BROOK</v>
          </cell>
          <cell r="D1397" t="str">
            <v>A- actual</v>
          </cell>
          <cell r="E1397" t="str">
            <v>PS- pump station</v>
          </cell>
          <cell r="F1397" t="str">
            <v>GNANGARA RD EAST</v>
          </cell>
          <cell r="G1397" t="str">
            <v>3</v>
          </cell>
          <cell r="H1397" t="str">
            <v>W- water corporation</v>
          </cell>
          <cell r="J1397" t="str">
            <v>20060901</v>
          </cell>
          <cell r="K1397" t="str">
            <v>115.992377591</v>
          </cell>
          <cell r="L1397" t="str">
            <v>-31.7954653995</v>
          </cell>
          <cell r="M1397" t="str">
            <v>L</v>
          </cell>
          <cell r="N1397" t="str">
            <v>8008</v>
          </cell>
          <cell r="O1397" t="str">
            <v>GNANGARA</v>
          </cell>
          <cell r="P1397" t="str">
            <v>RD</v>
          </cell>
          <cell r="R1397" t="str">
            <v>AVELEY</v>
          </cell>
          <cell r="S1397" t="str">
            <v>6069</v>
          </cell>
        </row>
        <row r="1398">
          <cell r="B1398" t="str">
            <v>S2016918</v>
          </cell>
          <cell r="C1398" t="str">
            <v>SPS COOGEE RD MUNSTER</v>
          </cell>
          <cell r="D1398" t="str">
            <v>A- actual</v>
          </cell>
          <cell r="E1398" t="str">
            <v>PS- pump station</v>
          </cell>
          <cell r="F1398" t="str">
            <v>COOGEE RD</v>
          </cell>
          <cell r="G1398" t="str">
            <v>074-06</v>
          </cell>
          <cell r="H1398" t="str">
            <v>W- water corporation</v>
          </cell>
          <cell r="J1398" t="str">
            <v>20061101</v>
          </cell>
          <cell r="K1398" t="str">
            <v>115.784428592</v>
          </cell>
          <cell r="L1398" t="str">
            <v>-32.134180033</v>
          </cell>
          <cell r="M1398" t="str">
            <v>L</v>
          </cell>
          <cell r="N1398" t="str">
            <v>8004</v>
          </cell>
          <cell r="O1398" t="str">
            <v>WEST CHURCHILL</v>
          </cell>
          <cell r="P1398" t="str">
            <v>AV</v>
          </cell>
          <cell r="R1398" t="str">
            <v>MUNSTER</v>
          </cell>
          <cell r="S1398" t="str">
            <v>6166</v>
          </cell>
        </row>
        <row r="1399">
          <cell r="B1399" t="str">
            <v>S2019014</v>
          </cell>
          <cell r="C1399" t="str">
            <v>SPS ROXBURGHE DR THE VINES</v>
          </cell>
          <cell r="D1399" t="str">
            <v>A- actual</v>
          </cell>
          <cell r="E1399" t="str">
            <v>PS- pump station</v>
          </cell>
          <cell r="F1399" t="str">
            <v>ROXBURGHE DR</v>
          </cell>
          <cell r="G1399" t="str">
            <v>176-04</v>
          </cell>
          <cell r="H1399" t="str">
            <v>W- water corporation</v>
          </cell>
          <cell r="J1399" t="str">
            <v>20070501</v>
          </cell>
          <cell r="K1399" t="str">
            <v>116.017598848</v>
          </cell>
          <cell r="L1399" t="str">
            <v>-31.7511566237</v>
          </cell>
          <cell r="M1399" t="str">
            <v>H</v>
          </cell>
          <cell r="N1399" t="str">
            <v>80</v>
          </cell>
          <cell r="O1399" t="str">
            <v>ROXBURGHE</v>
          </cell>
          <cell r="P1399" t="str">
            <v>DR</v>
          </cell>
          <cell r="R1399" t="str">
            <v>THE VINES</v>
          </cell>
          <cell r="S1399" t="str">
            <v>6069</v>
          </cell>
        </row>
        <row r="1400">
          <cell r="D1400" t="str">
            <v>A- actual</v>
          </cell>
          <cell r="E1400" t="str">
            <v>PS- pump station</v>
          </cell>
          <cell r="F1400" t="str">
            <v>NEIL HAWKINS PARK</v>
          </cell>
          <cell r="H1400" t="str">
            <v>P- private</v>
          </cell>
          <cell r="J1400" t="str">
            <v>20060711</v>
          </cell>
          <cell r="K1400" t="str">
            <v>115.777345293</v>
          </cell>
          <cell r="L1400" t="str">
            <v>-31.744739869</v>
          </cell>
          <cell r="M1400" t="str">
            <v>H</v>
          </cell>
          <cell r="N1400" t="str">
            <v>129</v>
          </cell>
          <cell r="O1400" t="str">
            <v>BOAS</v>
          </cell>
          <cell r="P1400" t="str">
            <v>AV</v>
          </cell>
          <cell r="R1400" t="str">
            <v>JOONDALUP</v>
          </cell>
          <cell r="S1400" t="str">
            <v>6027</v>
          </cell>
        </row>
        <row r="1401">
          <cell r="B1401" t="str">
            <v>S2016968</v>
          </cell>
          <cell r="C1401" t="str">
            <v>SPS LYON RD AUBIN GROVE</v>
          </cell>
          <cell r="D1401" t="str">
            <v>A- actual</v>
          </cell>
          <cell r="E1401" t="str">
            <v>PS- pump station</v>
          </cell>
          <cell r="F1401" t="str">
            <v>LYON RD</v>
          </cell>
          <cell r="G1401" t="str">
            <v>174-02</v>
          </cell>
          <cell r="H1401" t="str">
            <v>W- water corporation</v>
          </cell>
          <cell r="J1401" t="str">
            <v>20060929</v>
          </cell>
          <cell r="K1401" t="str">
            <v>115.86125101</v>
          </cell>
          <cell r="L1401" t="str">
            <v>-32.16173221</v>
          </cell>
          <cell r="M1401" t="str">
            <v>H</v>
          </cell>
          <cell r="N1401" t="str">
            <v>37</v>
          </cell>
          <cell r="O1401" t="str">
            <v>AUBIN GROVE</v>
          </cell>
          <cell r="P1401" t="str">
            <v>LINK</v>
          </cell>
          <cell r="R1401" t="str">
            <v>AUBIN GROVE</v>
          </cell>
          <cell r="S1401" t="str">
            <v>6164</v>
          </cell>
        </row>
        <row r="1402">
          <cell r="B1402" t="str">
            <v>S7003796</v>
          </cell>
          <cell r="C1402" t="str">
            <v>SPS 3 MAITLAND ST HOPETOUN</v>
          </cell>
          <cell r="D1402" t="str">
            <v>A- actual</v>
          </cell>
          <cell r="E1402" t="str">
            <v>PS- pump station</v>
          </cell>
          <cell r="F1402" t="str">
            <v>MAITLAND ST</v>
          </cell>
          <cell r="G1402" t="str">
            <v>3</v>
          </cell>
          <cell r="H1402" t="str">
            <v>W- water corporation</v>
          </cell>
          <cell r="J1402" t="str">
            <v>20070401</v>
          </cell>
          <cell r="K1402" t="str">
            <v>120.11592506</v>
          </cell>
          <cell r="L1402" t="str">
            <v>-33.94211783</v>
          </cell>
          <cell r="M1402" t="str">
            <v>H</v>
          </cell>
          <cell r="N1402" t="str">
            <v>2</v>
          </cell>
          <cell r="O1402" t="str">
            <v>KYBRA</v>
          </cell>
          <cell r="P1402" t="str">
            <v>CR</v>
          </cell>
          <cell r="R1402" t="str">
            <v>HOPETOUN</v>
          </cell>
          <cell r="S1402" t="str">
            <v>6348</v>
          </cell>
        </row>
        <row r="1403">
          <cell r="D1403" t="str">
            <v>A- actual</v>
          </cell>
          <cell r="E1403" t="str">
            <v>PS- pump station</v>
          </cell>
          <cell r="F1403" t="str">
            <v>LOT 55 ST GEORGES TCE</v>
          </cell>
          <cell r="H1403" t="str">
            <v>P- private</v>
          </cell>
          <cell r="J1403" t="str">
            <v>20070723</v>
          </cell>
          <cell r="K1403" t="str">
            <v>115.85127049</v>
          </cell>
          <cell r="L1403" t="str">
            <v>-31.9532978</v>
          </cell>
          <cell r="M1403" t="str">
            <v>H</v>
          </cell>
          <cell r="N1403" t="str">
            <v>237</v>
          </cell>
          <cell r="O1403" t="str">
            <v>ST GEORGES</v>
          </cell>
          <cell r="P1403" t="str">
            <v>TCE</v>
          </cell>
          <cell r="R1403" t="str">
            <v>PERTH</v>
          </cell>
          <cell r="S1403" t="str">
            <v>6000</v>
          </cell>
        </row>
        <row r="1404">
          <cell r="B1404" t="str">
            <v>S6001000</v>
          </cell>
          <cell r="C1404" t="str">
            <v>SPS 13 CHANTILLY CIRCUIT ESPERANCE</v>
          </cell>
          <cell r="D1404" t="str">
            <v>A- actual</v>
          </cell>
          <cell r="E1404" t="str">
            <v>PS- pump station</v>
          </cell>
          <cell r="F1404" t="str">
            <v>CHANTILY CIRCUIT</v>
          </cell>
          <cell r="G1404" t="str">
            <v>13</v>
          </cell>
          <cell r="H1404" t="str">
            <v>W- water corporation</v>
          </cell>
          <cell r="J1404" t="str">
            <v>20061101</v>
          </cell>
          <cell r="K1404" t="str">
            <v>121.918362687</v>
          </cell>
          <cell r="L1404" t="str">
            <v>-33.8251397292</v>
          </cell>
          <cell r="M1404" t="str">
            <v>H</v>
          </cell>
          <cell r="N1404" t="str">
            <v>4</v>
          </cell>
          <cell r="O1404" t="str">
            <v>MONET</v>
          </cell>
          <cell r="P1404" t="str">
            <v>AV</v>
          </cell>
          <cell r="R1404" t="str">
            <v>CASTLETOWN</v>
          </cell>
          <cell r="S1404" t="str">
            <v>6450</v>
          </cell>
        </row>
        <row r="1405">
          <cell r="B1405" t="str">
            <v>S4001137</v>
          </cell>
          <cell r="C1405" t="str">
            <v>SPS BARNACLE RD DRUMMOND COVE</v>
          </cell>
          <cell r="D1405" t="str">
            <v>A- actual</v>
          </cell>
          <cell r="E1405" t="str">
            <v>TPS- temporary pump station</v>
          </cell>
          <cell r="F1405" t="str">
            <v>WAGGRAKINE W14 T1 BARNACLE RD</v>
          </cell>
          <cell r="H1405" t="str">
            <v>W- water corporation</v>
          </cell>
          <cell r="J1405" t="str">
            <v>20060901</v>
          </cell>
          <cell r="K1405" t="str">
            <v>114.61721691</v>
          </cell>
          <cell r="L1405" t="str">
            <v>-28.67778863</v>
          </cell>
          <cell r="M1405" t="str">
            <v>H</v>
          </cell>
          <cell r="N1405" t="str">
            <v>1</v>
          </cell>
          <cell r="O1405" t="str">
            <v>BARNACLE</v>
          </cell>
          <cell r="P1405" t="str">
            <v>RD</v>
          </cell>
          <cell r="R1405" t="str">
            <v>DRUMMOND COVE</v>
          </cell>
          <cell r="S1405" t="str">
            <v>6532</v>
          </cell>
        </row>
        <row r="1406">
          <cell r="D1406" t="str">
            <v>A- actual</v>
          </cell>
          <cell r="E1406" t="str">
            <v>PS- pump station</v>
          </cell>
          <cell r="F1406" t="str">
            <v>LOT 20 EROS PL</v>
          </cell>
          <cell r="H1406" t="str">
            <v>P- private</v>
          </cell>
          <cell r="J1406" t="str">
            <v>20061106</v>
          </cell>
          <cell r="K1406" t="str">
            <v>115.744651418</v>
          </cell>
          <cell r="L1406" t="str">
            <v>-32.4871332909</v>
          </cell>
          <cell r="M1406" t="str">
            <v>H</v>
          </cell>
          <cell r="N1406" t="str">
            <v>7</v>
          </cell>
          <cell r="O1406" t="str">
            <v>EROS</v>
          </cell>
          <cell r="P1406" t="str">
            <v>PL</v>
          </cell>
          <cell r="R1406" t="str">
            <v>SAN REMO</v>
          </cell>
          <cell r="S1406" t="str">
            <v>6210</v>
          </cell>
        </row>
        <row r="1407">
          <cell r="B1407" t="str">
            <v>S2019013</v>
          </cell>
          <cell r="C1407" t="str">
            <v>SPS UNIVERSITY AV CHURCHLANDS</v>
          </cell>
          <cell r="D1407" t="str">
            <v>A- actual</v>
          </cell>
          <cell r="E1407" t="str">
            <v>PS- pump station</v>
          </cell>
          <cell r="F1407" t="str">
            <v>UNIVERSITY AVE</v>
          </cell>
          <cell r="G1407" t="str">
            <v>067-12</v>
          </cell>
          <cell r="H1407" t="str">
            <v>W- water corporation</v>
          </cell>
          <cell r="J1407" t="str">
            <v>20070601</v>
          </cell>
          <cell r="K1407" t="str">
            <v>115.788914812</v>
          </cell>
          <cell r="L1407" t="str">
            <v>-31.9254363771</v>
          </cell>
          <cell r="M1407" t="str">
            <v>H</v>
          </cell>
          <cell r="N1407" t="str">
            <v>15</v>
          </cell>
          <cell r="O1407" t="str">
            <v>UNIVERSITY</v>
          </cell>
          <cell r="P1407" t="str">
            <v>AV</v>
          </cell>
          <cell r="R1407" t="str">
            <v>CHURCHLANDS</v>
          </cell>
          <cell r="S1407" t="str">
            <v>6018</v>
          </cell>
        </row>
        <row r="1408">
          <cell r="B1408" t="str">
            <v>S2017556</v>
          </cell>
          <cell r="C1408" t="str">
            <v>SPS SAFETY BAY RD STH WARNBRO</v>
          </cell>
          <cell r="D1408" t="str">
            <v>A- actual</v>
          </cell>
          <cell r="E1408" t="str">
            <v>PS- pump station</v>
          </cell>
          <cell r="F1408" t="str">
            <v>SAFETY BAY RD SOUTH</v>
          </cell>
          <cell r="G1408" t="str">
            <v>29</v>
          </cell>
          <cell r="H1408" t="str">
            <v>W- water corporation</v>
          </cell>
          <cell r="J1408" t="str">
            <v>20051101</v>
          </cell>
          <cell r="K1408" t="str">
            <v>115.758452225</v>
          </cell>
          <cell r="L1408" t="str">
            <v>-32.32634482</v>
          </cell>
          <cell r="M1408" t="str">
            <v>H</v>
          </cell>
          <cell r="N1408" t="str">
            <v>723</v>
          </cell>
          <cell r="O1408" t="str">
            <v>SAFETY BAY</v>
          </cell>
          <cell r="P1408" t="str">
            <v>RD</v>
          </cell>
          <cell r="R1408" t="str">
            <v>WARNBRO</v>
          </cell>
          <cell r="S1408" t="str">
            <v>6169</v>
          </cell>
        </row>
        <row r="1409">
          <cell r="B1409" t="str">
            <v>S2018340</v>
          </cell>
          <cell r="C1409" t="str">
            <v>SPS ABROLHOS CL TWO ROCKS</v>
          </cell>
          <cell r="D1409" t="str">
            <v>A- actual</v>
          </cell>
          <cell r="E1409" t="str">
            <v>PS- pump station</v>
          </cell>
          <cell r="F1409" t="str">
            <v>ABROLHOS CL</v>
          </cell>
          <cell r="G1409" t="str">
            <v>069-01</v>
          </cell>
          <cell r="H1409" t="str">
            <v>W- water corporation</v>
          </cell>
          <cell r="J1409" t="str">
            <v>20070701</v>
          </cell>
          <cell r="K1409" t="str">
            <v>115.599520918</v>
          </cell>
          <cell r="L1409" t="str">
            <v>-31.507645715</v>
          </cell>
          <cell r="M1409" t="str">
            <v>H</v>
          </cell>
          <cell r="N1409" t="str">
            <v>8</v>
          </cell>
          <cell r="O1409" t="str">
            <v>ABROLHOS</v>
          </cell>
          <cell r="P1409" t="str">
            <v>CL</v>
          </cell>
          <cell r="R1409" t="str">
            <v>TWO ROCKS</v>
          </cell>
          <cell r="S1409" t="str">
            <v>6037</v>
          </cell>
        </row>
        <row r="1410">
          <cell r="B1410" t="str">
            <v>S4001089</v>
          </cell>
          <cell r="C1410" t="str">
            <v>SPS REILLY RD WONTHELLA</v>
          </cell>
          <cell r="D1410" t="str">
            <v>A- actual</v>
          </cell>
          <cell r="E1410" t="str">
            <v>PS- pump station</v>
          </cell>
          <cell r="F1410" t="str">
            <v>REILLY RD</v>
          </cell>
          <cell r="H1410" t="str">
            <v>W- water corporation</v>
          </cell>
          <cell r="J1410" t="str">
            <v>20060217</v>
          </cell>
          <cell r="K1410" t="str">
            <v>114.622743449</v>
          </cell>
          <cell r="L1410" t="str">
            <v>-28.7613957419</v>
          </cell>
          <cell r="M1410" t="str">
            <v>H</v>
          </cell>
          <cell r="N1410" t="str">
            <v>25</v>
          </cell>
          <cell r="O1410" t="str">
            <v>REILLY</v>
          </cell>
          <cell r="P1410" t="str">
            <v>RD</v>
          </cell>
          <cell r="R1410" t="str">
            <v>WONTHELLA</v>
          </cell>
          <cell r="S1410" t="str">
            <v>6530</v>
          </cell>
        </row>
        <row r="1411">
          <cell r="B1411" t="str">
            <v>S8008403</v>
          </cell>
          <cell r="C1411" t="str">
            <v>SPS LUCY VICTORIA AV WEST AUSTRALIND</v>
          </cell>
          <cell r="D1411" t="str">
            <v>A- actual</v>
          </cell>
          <cell r="E1411" t="str">
            <v>PS- pump station</v>
          </cell>
          <cell r="F1411" t="str">
            <v>LUCY VICTORIA AVE WEST</v>
          </cell>
          <cell r="G1411" t="str">
            <v>10</v>
          </cell>
          <cell r="H1411" t="str">
            <v>W- water corporation</v>
          </cell>
          <cell r="J1411" t="str">
            <v>20070801</v>
          </cell>
          <cell r="K1411" t="str">
            <v>115.70537786</v>
          </cell>
          <cell r="L1411" t="str">
            <v>-33.30964702</v>
          </cell>
          <cell r="M1411" t="str">
            <v>L</v>
          </cell>
          <cell r="N1411" t="str">
            <v>502</v>
          </cell>
          <cell r="O1411" t="str">
            <v>LUCY VICTORIA</v>
          </cell>
          <cell r="P1411" t="str">
            <v>AV</v>
          </cell>
          <cell r="R1411" t="str">
            <v>AUSTRALIND</v>
          </cell>
          <cell r="S1411" t="str">
            <v>6233</v>
          </cell>
        </row>
        <row r="1412">
          <cell r="D1412" t="str">
            <v>A- actual</v>
          </cell>
          <cell r="E1412" t="str">
            <v>PS- pump station</v>
          </cell>
          <cell r="F1412" t="str">
            <v>LOT 42 MARGARET ST</v>
          </cell>
          <cell r="H1412" t="str">
            <v>P- private</v>
          </cell>
          <cell r="J1412" t="str">
            <v>20070518</v>
          </cell>
          <cell r="K1412" t="str">
            <v>115.753819004</v>
          </cell>
          <cell r="L1412" t="str">
            <v>-31.9844938276</v>
          </cell>
          <cell r="M1412" t="str">
            <v>H</v>
          </cell>
          <cell r="N1412" t="str">
            <v>27</v>
          </cell>
          <cell r="O1412" t="str">
            <v>MARGARET</v>
          </cell>
          <cell r="P1412" t="str">
            <v>ST</v>
          </cell>
          <cell r="R1412" t="str">
            <v>COTTESLOE</v>
          </cell>
          <cell r="S1412" t="str">
            <v>6011</v>
          </cell>
        </row>
        <row r="1413">
          <cell r="B1413" t="str">
            <v>S2017912</v>
          </cell>
          <cell r="C1413" t="str">
            <v>SPS DURANGO BEND AUBIN GROVE</v>
          </cell>
          <cell r="D1413" t="str">
            <v>A- actual</v>
          </cell>
          <cell r="E1413" t="str">
            <v>PS- pump station</v>
          </cell>
          <cell r="F1413" t="str">
            <v>DURANGO BND</v>
          </cell>
          <cell r="G1413" t="str">
            <v>174-03</v>
          </cell>
          <cell r="H1413" t="str">
            <v>W- water corporation</v>
          </cell>
          <cell r="J1413" t="str">
            <v>20070601</v>
          </cell>
          <cell r="K1413" t="str">
            <v>115.858102814</v>
          </cell>
          <cell r="L1413" t="str">
            <v>-32.1748208678</v>
          </cell>
          <cell r="M1413" t="str">
            <v>L</v>
          </cell>
          <cell r="N1413" t="str">
            <v>8003</v>
          </cell>
          <cell r="O1413" t="str">
            <v>DURANGO</v>
          </cell>
          <cell r="P1413" t="str">
            <v>TURN</v>
          </cell>
          <cell r="R1413" t="str">
            <v>AUBIN GROVE</v>
          </cell>
          <cell r="S1413" t="str">
            <v>6164</v>
          </cell>
        </row>
        <row r="1414">
          <cell r="B1414" t="str">
            <v>S2019051</v>
          </cell>
          <cell r="C1414" t="str">
            <v>SPS JERSEY RD OAKFORD</v>
          </cell>
          <cell r="D1414" t="str">
            <v>A- actual</v>
          </cell>
          <cell r="E1414" t="str">
            <v>PS- pump station</v>
          </cell>
          <cell r="F1414" t="str">
            <v>JERSEY RD</v>
          </cell>
          <cell r="G1414" t="str">
            <v>902-41</v>
          </cell>
          <cell r="H1414" t="str">
            <v>W- water corporation</v>
          </cell>
          <cell r="J1414" t="str">
            <v>20070801</v>
          </cell>
          <cell r="K1414" t="str">
            <v>115.964463708</v>
          </cell>
          <cell r="L1414" t="str">
            <v>-32.2111563727</v>
          </cell>
          <cell r="M1414" t="str">
            <v>L</v>
          </cell>
          <cell r="N1414" t="str">
            <v>56</v>
          </cell>
          <cell r="O1414" t="str">
            <v>JERSEY</v>
          </cell>
          <cell r="P1414" t="str">
            <v>RD</v>
          </cell>
          <cell r="R1414" t="str">
            <v>OAKFORD</v>
          </cell>
          <cell r="S1414" t="str">
            <v>6121</v>
          </cell>
        </row>
        <row r="1415">
          <cell r="B1415" t="str">
            <v>S8009219</v>
          </cell>
          <cell r="C1415" t="str">
            <v>SPS PEELWOOD PDE HALLS HEAD</v>
          </cell>
          <cell r="D1415" t="str">
            <v>A- actual</v>
          </cell>
          <cell r="E1415" t="str">
            <v>PS- pump station</v>
          </cell>
          <cell r="F1415" t="str">
            <v>PEELWOOD PDE</v>
          </cell>
          <cell r="G1415" t="str">
            <v>13</v>
          </cell>
          <cell r="H1415" t="str">
            <v>W- water corporation</v>
          </cell>
          <cell r="J1415" t="str">
            <v>20070701</v>
          </cell>
          <cell r="K1415" t="str">
            <v>115.67470811</v>
          </cell>
          <cell r="L1415" t="str">
            <v>-32.56365037</v>
          </cell>
          <cell r="M1415" t="str">
            <v>H</v>
          </cell>
          <cell r="N1415" t="str">
            <v>1</v>
          </cell>
          <cell r="O1415" t="str">
            <v>DECORA</v>
          </cell>
          <cell r="P1415" t="str">
            <v>WAY</v>
          </cell>
          <cell r="R1415" t="str">
            <v>HALLS HEAD</v>
          </cell>
          <cell r="S1415" t="str">
            <v>6210</v>
          </cell>
        </row>
        <row r="1416">
          <cell r="D1416" t="str">
            <v>A- actual</v>
          </cell>
          <cell r="E1416" t="str">
            <v>PS- pump station</v>
          </cell>
          <cell r="F1416" t="str">
            <v>LOT 14 PRICHARD RD</v>
          </cell>
          <cell r="H1416" t="str">
            <v>P- private</v>
          </cell>
          <cell r="J1416" t="str">
            <v>20070711</v>
          </cell>
          <cell r="K1416" t="str">
            <v>116.05079437</v>
          </cell>
          <cell r="L1416" t="str">
            <v>-31.9039970625</v>
          </cell>
          <cell r="M1416" t="str">
            <v>H</v>
          </cell>
          <cell r="N1416" t="str">
            <v>14</v>
          </cell>
          <cell r="O1416" t="str">
            <v>PRICHARD</v>
          </cell>
          <cell r="P1416" t="str">
            <v>RD</v>
          </cell>
          <cell r="R1416" t="str">
            <v>GREENMOUNT</v>
          </cell>
          <cell r="S1416" t="str">
            <v>6056</v>
          </cell>
        </row>
        <row r="1417">
          <cell r="D1417" t="str">
            <v>A- actual</v>
          </cell>
          <cell r="E1417" t="str">
            <v>PS- pump station</v>
          </cell>
          <cell r="F1417" t="str">
            <v>LOT 54 BLACKWOOD AVE</v>
          </cell>
          <cell r="H1417" t="str">
            <v>P- private</v>
          </cell>
          <cell r="J1417" t="str">
            <v>20071101</v>
          </cell>
          <cell r="K1417" t="str">
            <v>115.159747094</v>
          </cell>
          <cell r="L1417" t="str">
            <v>-34.3075610905</v>
          </cell>
          <cell r="M1417" t="str">
            <v>H</v>
          </cell>
          <cell r="N1417" t="str">
            <v>16</v>
          </cell>
          <cell r="O1417" t="str">
            <v>THELMA</v>
          </cell>
          <cell r="P1417" t="str">
            <v>ST</v>
          </cell>
          <cell r="R1417" t="str">
            <v>AUGUSTA</v>
          </cell>
          <cell r="S1417" t="str">
            <v>6290</v>
          </cell>
        </row>
        <row r="1418">
          <cell r="B1418" t="str">
            <v>S1003034</v>
          </cell>
          <cell r="C1418" t="str">
            <v>PRODUCT WATER PUMP STATION</v>
          </cell>
          <cell r="D1418" t="str">
            <v>A- actual</v>
          </cell>
          <cell r="E1418" t="str">
            <v>PS- pump station</v>
          </cell>
          <cell r="F1418" t="str">
            <v>KWINANA RECLAMATION SCHEME</v>
          </cell>
          <cell r="H1418" t="str">
            <v>W- water corporation</v>
          </cell>
          <cell r="J1418" t="str">
            <v>19890916</v>
          </cell>
          <cell r="K1418" t="str">
            <v>115.774126461</v>
          </cell>
          <cell r="L1418" t="str">
            <v>-32.2300943783</v>
          </cell>
          <cell r="M1418" t="str">
            <v>L</v>
          </cell>
          <cell r="N1418" t="str">
            <v>22</v>
          </cell>
          <cell r="O1418" t="str">
            <v>MASON</v>
          </cell>
          <cell r="P1418" t="str">
            <v>RD</v>
          </cell>
          <cell r="R1418" t="str">
            <v>KWINANA BEACH</v>
          </cell>
          <cell r="S1418" t="str">
            <v>6167</v>
          </cell>
        </row>
        <row r="1419">
          <cell r="B1419" t="str">
            <v>S4001075</v>
          </cell>
          <cell r="C1419" t="str">
            <v>SPS 8 CHARLES ST BLUFF POINT</v>
          </cell>
          <cell r="D1419" t="str">
            <v>A- actual</v>
          </cell>
          <cell r="E1419" t="str">
            <v>PS- pump station</v>
          </cell>
          <cell r="F1419" t="str">
            <v>CHARLES ST</v>
          </cell>
          <cell r="G1419" t="str">
            <v>8</v>
          </cell>
          <cell r="H1419" t="str">
            <v>W- water corporation</v>
          </cell>
          <cell r="J1419" t="str">
            <v>20060725</v>
          </cell>
          <cell r="K1419" t="str">
            <v>114.624958613</v>
          </cell>
          <cell r="L1419" t="str">
            <v>-28.7287294212</v>
          </cell>
          <cell r="M1419" t="str">
            <v>L</v>
          </cell>
          <cell r="N1419" t="str">
            <v>66</v>
          </cell>
          <cell r="O1419" t="str">
            <v>EDWIN</v>
          </cell>
          <cell r="P1419" t="str">
            <v>CR</v>
          </cell>
          <cell r="R1419" t="str">
            <v>BLUFF POINT</v>
          </cell>
          <cell r="S1419" t="str">
            <v>6530</v>
          </cell>
        </row>
        <row r="1420">
          <cell r="B1420" t="str">
            <v>S4001112</v>
          </cell>
          <cell r="C1420" t="str">
            <v>SPS JONES ST WILUNA</v>
          </cell>
          <cell r="D1420" t="str">
            <v>A- actual</v>
          </cell>
          <cell r="E1420" t="str">
            <v>PS- pump station</v>
          </cell>
          <cell r="F1420" t="str">
            <v>FORREST ST</v>
          </cell>
          <cell r="G1420" t="str">
            <v>1</v>
          </cell>
          <cell r="H1420" t="str">
            <v>W- water corporation</v>
          </cell>
          <cell r="J1420" t="str">
            <v>20070115</v>
          </cell>
          <cell r="K1420" t="str">
            <v>120.222920778</v>
          </cell>
          <cell r="L1420" t="str">
            <v>-26.595593789</v>
          </cell>
          <cell r="M1420" t="str">
            <v>H</v>
          </cell>
          <cell r="N1420" t="str">
            <v>5</v>
          </cell>
          <cell r="O1420" t="str">
            <v>WOODLEY</v>
          </cell>
          <cell r="P1420" t="str">
            <v>ST</v>
          </cell>
          <cell r="R1420" t="str">
            <v>WILUNA</v>
          </cell>
          <cell r="S1420" t="str">
            <v>6646</v>
          </cell>
        </row>
        <row r="1421">
          <cell r="D1421" t="str">
            <v>A- actual</v>
          </cell>
          <cell r="E1421" t="str">
            <v>PS- pump station</v>
          </cell>
          <cell r="F1421" t="str">
            <v>LOT 100 &amp; PT LOT 32 TOMAH RD</v>
          </cell>
          <cell r="H1421" t="str">
            <v>P- private</v>
          </cell>
          <cell r="J1421" t="str">
            <v>20070712</v>
          </cell>
          <cell r="K1421" t="str">
            <v>115.97627926</v>
          </cell>
          <cell r="L1421" t="str">
            <v>-31.98838129</v>
          </cell>
          <cell r="M1421" t="str">
            <v>H</v>
          </cell>
          <cell r="N1421" t="str">
            <v>22</v>
          </cell>
          <cell r="O1421" t="str">
            <v>TOMAH</v>
          </cell>
          <cell r="P1421" t="str">
            <v>RD</v>
          </cell>
          <cell r="R1421" t="str">
            <v>WELSHPOOL</v>
          </cell>
          <cell r="S1421" t="str">
            <v>6106</v>
          </cell>
        </row>
        <row r="1422">
          <cell r="B1422" t="str">
            <v>S2019650</v>
          </cell>
          <cell r="C1422" t="str">
            <v>LPPS H05 GLOUCESTER ST SWANBOURNE</v>
          </cell>
          <cell r="D1422" t="str">
            <v>A- actual</v>
          </cell>
          <cell r="E1422" t="str">
            <v>LPPS- low pressure pump station</v>
          </cell>
          <cell r="F1422" t="str">
            <v>GLOUCESTER ST</v>
          </cell>
          <cell r="G1422" t="str">
            <v>2</v>
          </cell>
          <cell r="H1422" t="str">
            <v>W- water corporation</v>
          </cell>
          <cell r="J1422" t="str">
            <v>20070919</v>
          </cell>
          <cell r="K1422" t="str">
            <v>115.771698451</v>
          </cell>
          <cell r="L1422" t="str">
            <v>-31.9744855958</v>
          </cell>
          <cell r="M1422" t="str">
            <v>H</v>
          </cell>
          <cell r="N1422" t="str">
            <v>3</v>
          </cell>
          <cell r="O1422" t="str">
            <v>GLOUCESTER</v>
          </cell>
          <cell r="P1422" t="str">
            <v>ST</v>
          </cell>
          <cell r="R1422" t="str">
            <v>SWANBOURNE</v>
          </cell>
          <cell r="S1422" t="str">
            <v>6010</v>
          </cell>
        </row>
        <row r="1423">
          <cell r="B1423" t="str">
            <v>S2019652</v>
          </cell>
          <cell r="C1423" t="str">
            <v>LPPS H08B GLOUCESTER ST SWANBOURNE</v>
          </cell>
          <cell r="D1423" t="str">
            <v>A- actual</v>
          </cell>
          <cell r="E1423" t="str">
            <v>LPPS- low pressure pump station</v>
          </cell>
          <cell r="F1423" t="str">
            <v>GLOUCESTER ST</v>
          </cell>
          <cell r="G1423" t="str">
            <v>4</v>
          </cell>
          <cell r="H1423" t="str">
            <v>W- water corporation</v>
          </cell>
          <cell r="J1423" t="str">
            <v>20070919</v>
          </cell>
          <cell r="K1423" t="str">
            <v>115.771931717</v>
          </cell>
          <cell r="L1423" t="str">
            <v>-31.9751109941</v>
          </cell>
          <cell r="M1423" t="str">
            <v>H</v>
          </cell>
          <cell r="N1423" t="str">
            <v>8</v>
          </cell>
          <cell r="O1423" t="str">
            <v>GLOUCESTER</v>
          </cell>
          <cell r="P1423" t="str">
            <v>ST</v>
          </cell>
          <cell r="R1423" t="str">
            <v>SWANBOURNE</v>
          </cell>
          <cell r="S1423" t="str">
            <v>6010</v>
          </cell>
        </row>
        <row r="1424">
          <cell r="B1424" t="str">
            <v>S2019824</v>
          </cell>
          <cell r="C1424" t="str">
            <v>LPPS H07A FERN ST SWANBOURNE</v>
          </cell>
          <cell r="D1424" t="str">
            <v>A- actual</v>
          </cell>
          <cell r="E1424" t="str">
            <v>LPPS- low pressure pump station</v>
          </cell>
          <cell r="F1424" t="str">
            <v>FERN ST</v>
          </cell>
          <cell r="G1424" t="str">
            <v>9</v>
          </cell>
          <cell r="H1424" t="str">
            <v>W- water corporation</v>
          </cell>
          <cell r="J1424" t="str">
            <v>20070919</v>
          </cell>
          <cell r="K1424" t="str">
            <v>115.773634205</v>
          </cell>
          <cell r="L1424" t="str">
            <v>-31.9763738734</v>
          </cell>
          <cell r="M1424" t="str">
            <v>H</v>
          </cell>
          <cell r="N1424" t="str">
            <v>7</v>
          </cell>
          <cell r="O1424" t="str">
            <v>FERN</v>
          </cell>
          <cell r="P1424" t="str">
            <v>ST</v>
          </cell>
          <cell r="R1424" t="str">
            <v>SWANBOURNE</v>
          </cell>
          <cell r="S1424" t="str">
            <v>6010</v>
          </cell>
        </row>
        <row r="1425">
          <cell r="B1425" t="str">
            <v>S2019653</v>
          </cell>
          <cell r="C1425" t="str">
            <v>LPPS H05 FERN ST SWANBOURNE</v>
          </cell>
          <cell r="D1425" t="str">
            <v>A- actual</v>
          </cell>
          <cell r="E1425" t="str">
            <v>LPPS- low pressure pump station</v>
          </cell>
          <cell r="F1425" t="str">
            <v>FERN ST</v>
          </cell>
          <cell r="G1425" t="str">
            <v>5</v>
          </cell>
          <cell r="H1425" t="str">
            <v>W- water corporation</v>
          </cell>
          <cell r="J1425" t="str">
            <v>20070919</v>
          </cell>
          <cell r="K1425" t="str">
            <v>115.773824373</v>
          </cell>
          <cell r="L1425" t="str">
            <v>-31.9763748609</v>
          </cell>
          <cell r="M1425" t="str">
            <v>H</v>
          </cell>
          <cell r="N1425" t="str">
            <v>5</v>
          </cell>
          <cell r="O1425" t="str">
            <v>FERN</v>
          </cell>
          <cell r="P1425" t="str">
            <v>ST</v>
          </cell>
          <cell r="R1425" t="str">
            <v>SWANBOURNE</v>
          </cell>
          <cell r="S1425" t="str">
            <v>6010</v>
          </cell>
        </row>
        <row r="1426">
          <cell r="B1426" t="str">
            <v>S2019654</v>
          </cell>
          <cell r="C1426" t="str">
            <v>LPPS H03 FERN ST SWANBOURNE</v>
          </cell>
          <cell r="D1426" t="str">
            <v>A- actual</v>
          </cell>
          <cell r="E1426" t="str">
            <v>LPPS- low pressure pump station</v>
          </cell>
          <cell r="F1426" t="str">
            <v>FERN ST</v>
          </cell>
          <cell r="G1426" t="str">
            <v>6</v>
          </cell>
          <cell r="H1426" t="str">
            <v>W- water corporation</v>
          </cell>
          <cell r="J1426" t="str">
            <v>20070919</v>
          </cell>
          <cell r="K1426" t="str">
            <v>115.773976559</v>
          </cell>
          <cell r="L1426" t="str">
            <v>-31.9763756333</v>
          </cell>
          <cell r="M1426" t="str">
            <v>H</v>
          </cell>
          <cell r="N1426" t="str">
            <v>3</v>
          </cell>
          <cell r="O1426" t="str">
            <v>FERN</v>
          </cell>
          <cell r="P1426" t="str">
            <v>ST</v>
          </cell>
          <cell r="R1426" t="str">
            <v>SWANBOURNE</v>
          </cell>
          <cell r="S1426" t="str">
            <v>6010</v>
          </cell>
        </row>
        <row r="1427">
          <cell r="B1427" t="str">
            <v>S2019825</v>
          </cell>
          <cell r="C1427" t="str">
            <v>LPPS H07 FERN ST SWANBOURNE</v>
          </cell>
          <cell r="D1427" t="str">
            <v>A- actual</v>
          </cell>
          <cell r="E1427" t="str">
            <v>LPPS- low pressure pump station</v>
          </cell>
          <cell r="F1427" t="str">
            <v>FERN ST</v>
          </cell>
          <cell r="G1427" t="str">
            <v>10</v>
          </cell>
          <cell r="H1427" t="str">
            <v>W- water corporation</v>
          </cell>
          <cell r="J1427" t="str">
            <v>20070919</v>
          </cell>
          <cell r="K1427" t="str">
            <v>115.773634205</v>
          </cell>
          <cell r="L1427" t="str">
            <v>-31.9763738734</v>
          </cell>
          <cell r="M1427" t="str">
            <v>H</v>
          </cell>
          <cell r="N1427" t="str">
            <v>7</v>
          </cell>
          <cell r="O1427" t="str">
            <v>FERN</v>
          </cell>
          <cell r="P1427" t="str">
            <v>ST</v>
          </cell>
          <cell r="R1427" t="str">
            <v>SWANBOURNE</v>
          </cell>
          <cell r="S1427" t="str">
            <v>6010</v>
          </cell>
        </row>
        <row r="1428">
          <cell r="B1428" t="str">
            <v>S2019655</v>
          </cell>
          <cell r="C1428" t="str">
            <v>LPPS H38 STIRLING RD CLAREMONT</v>
          </cell>
          <cell r="D1428" t="str">
            <v>A- actual</v>
          </cell>
          <cell r="E1428" t="str">
            <v>LPPS- low pressure pump station</v>
          </cell>
          <cell r="F1428" t="str">
            <v>STIRLING RD</v>
          </cell>
          <cell r="G1428" t="str">
            <v>7</v>
          </cell>
          <cell r="H1428" t="str">
            <v>W- water corporation</v>
          </cell>
          <cell r="J1428" t="str">
            <v>20070919</v>
          </cell>
          <cell r="K1428" t="str">
            <v>115.77792879</v>
          </cell>
          <cell r="L1428" t="str">
            <v>-31.9788729631</v>
          </cell>
          <cell r="M1428" t="str">
            <v>H</v>
          </cell>
          <cell r="N1428" t="str">
            <v>1</v>
          </cell>
          <cell r="O1428" t="str">
            <v>KOTT</v>
          </cell>
          <cell r="P1428" t="str">
            <v>TCE</v>
          </cell>
          <cell r="R1428" t="str">
            <v>CLAREMONT</v>
          </cell>
          <cell r="S1428" t="str">
            <v>6010</v>
          </cell>
        </row>
        <row r="1429">
          <cell r="B1429" t="str">
            <v>S2019225</v>
          </cell>
          <cell r="C1429" t="str">
            <v>SPS DORNEY ESP CHAMPION LAKES</v>
          </cell>
          <cell r="D1429" t="str">
            <v>A- actual</v>
          </cell>
          <cell r="E1429" t="str">
            <v>PS- pump station</v>
          </cell>
          <cell r="F1429" t="str">
            <v>DORNEY ESP</v>
          </cell>
          <cell r="G1429" t="str">
            <v>029-06</v>
          </cell>
          <cell r="H1429" t="str">
            <v>W- water corporation</v>
          </cell>
          <cell r="J1429" t="str">
            <v>20070210</v>
          </cell>
          <cell r="K1429" t="str">
            <v>115.992571571</v>
          </cell>
          <cell r="L1429" t="str">
            <v>-32.1132165163</v>
          </cell>
          <cell r="M1429" t="str">
            <v>L</v>
          </cell>
          <cell r="N1429" t="str">
            <v>1007</v>
          </cell>
          <cell r="O1429" t="str">
            <v>DORNEY</v>
          </cell>
          <cell r="P1429" t="str">
            <v>ESP</v>
          </cell>
          <cell r="R1429" t="str">
            <v>CHAMPION LAKES</v>
          </cell>
          <cell r="S1429" t="str">
            <v>6111</v>
          </cell>
        </row>
        <row r="1430">
          <cell r="D1430" t="str">
            <v>A- actual</v>
          </cell>
          <cell r="E1430" t="str">
            <v>PS- pump station</v>
          </cell>
          <cell r="F1430" t="str">
            <v>LOT 592 MAGEE CR</v>
          </cell>
          <cell r="H1430" t="str">
            <v>P- private</v>
          </cell>
          <cell r="J1430" t="str">
            <v>19850816</v>
          </cell>
          <cell r="K1430" t="str">
            <v>114.165070378</v>
          </cell>
          <cell r="L1430" t="str">
            <v>-27.714563359</v>
          </cell>
          <cell r="M1430" t="str">
            <v>H</v>
          </cell>
          <cell r="N1430" t="str">
            <v>19</v>
          </cell>
          <cell r="O1430" t="str">
            <v>MAGEE</v>
          </cell>
          <cell r="P1430" t="str">
            <v>CR</v>
          </cell>
          <cell r="R1430" t="str">
            <v>KALBARRI</v>
          </cell>
          <cell r="S1430" t="str">
            <v>6536</v>
          </cell>
        </row>
        <row r="1431">
          <cell r="D1431" t="str">
            <v>A- actual</v>
          </cell>
          <cell r="E1431" t="str">
            <v>PS- pump station</v>
          </cell>
          <cell r="F1431" t="str">
            <v>MT MELVILLE CARAVAN PARK</v>
          </cell>
          <cell r="H1431" t="str">
            <v>P- private</v>
          </cell>
          <cell r="J1431" t="str">
            <v>19860101</v>
          </cell>
          <cell r="K1431" t="str">
            <v>117.871683019</v>
          </cell>
          <cell r="L1431" t="str">
            <v>-35.010811957</v>
          </cell>
          <cell r="M1431" t="str">
            <v>H</v>
          </cell>
          <cell r="N1431" t="str">
            <v>234</v>
          </cell>
          <cell r="O1431" t="str">
            <v>ALBANY</v>
          </cell>
          <cell r="P1431" t="str">
            <v>HWY</v>
          </cell>
          <cell r="R1431" t="str">
            <v>CENTENNIAL PARK</v>
          </cell>
          <cell r="S1431" t="str">
            <v>6330</v>
          </cell>
        </row>
        <row r="1432">
          <cell r="D1432" t="str">
            <v>A- actual</v>
          </cell>
          <cell r="E1432" t="str">
            <v>PS- pump station</v>
          </cell>
          <cell r="F1432" t="str">
            <v>LOT 2 WONGON RD</v>
          </cell>
          <cell r="H1432" t="str">
            <v>P- private</v>
          </cell>
          <cell r="J1432" t="str">
            <v>20080123</v>
          </cell>
          <cell r="K1432" t="str">
            <v>116.714865528</v>
          </cell>
          <cell r="L1432" t="str">
            <v>-30.8904394365</v>
          </cell>
          <cell r="M1432" t="str">
            <v>H</v>
          </cell>
          <cell r="N1432" t="str">
            <v>244</v>
          </cell>
          <cell r="O1432" t="str">
            <v>WONGAN</v>
          </cell>
          <cell r="P1432" t="str">
            <v>RD</v>
          </cell>
          <cell r="R1432" t="str">
            <v>WONGAN HILLS</v>
          </cell>
          <cell r="S1432" t="str">
            <v>6603</v>
          </cell>
        </row>
        <row r="1433">
          <cell r="D1433" t="str">
            <v>A- actual</v>
          </cell>
          <cell r="E1433" t="str">
            <v>PS- pump station</v>
          </cell>
          <cell r="F1433" t="str">
            <v>AMITY VILLAGE</v>
          </cell>
          <cell r="H1433" t="str">
            <v>P- private</v>
          </cell>
          <cell r="J1433" t="str">
            <v>20040727</v>
          </cell>
          <cell r="K1433" t="str">
            <v>117.886876056</v>
          </cell>
          <cell r="L1433" t="str">
            <v>-35.0074696013</v>
          </cell>
          <cell r="M1433" t="str">
            <v>H</v>
          </cell>
          <cell r="N1433" t="str">
            <v>1</v>
          </cell>
          <cell r="O1433" t="str">
            <v>ULSTER</v>
          </cell>
          <cell r="P1433" t="str">
            <v>RD</v>
          </cell>
          <cell r="R1433" t="str">
            <v>YAKAMIA</v>
          </cell>
          <cell r="S1433" t="str">
            <v>6330</v>
          </cell>
        </row>
        <row r="1434">
          <cell r="D1434" t="str">
            <v>N- not in use</v>
          </cell>
          <cell r="E1434" t="str">
            <v>PS- pump station</v>
          </cell>
          <cell r="H1434" t="str">
            <v>W- water corporation</v>
          </cell>
          <cell r="J1434" t="str">
            <v>19121007</v>
          </cell>
          <cell r="K1434" t="str">
            <v>115.867134219</v>
          </cell>
          <cell r="L1434" t="str">
            <v>-31.9603750171</v>
          </cell>
          <cell r="M1434" t="str">
            <v>H</v>
          </cell>
          <cell r="N1434" t="str">
            <v>115</v>
          </cell>
          <cell r="O1434" t="str">
            <v>TERRACE</v>
          </cell>
          <cell r="P1434" t="str">
            <v>RD</v>
          </cell>
          <cell r="R1434" t="str">
            <v>PERTH</v>
          </cell>
          <cell r="S1434" t="str">
            <v>6000</v>
          </cell>
        </row>
        <row r="1435">
          <cell r="B1435" t="str">
            <v>S113-002-001</v>
          </cell>
          <cell r="C1435" t="str">
            <v>SPS NORRISH ST TAMBELLUP</v>
          </cell>
          <cell r="D1435" t="str">
            <v>A- actual</v>
          </cell>
          <cell r="E1435" t="str">
            <v>PS- pump station</v>
          </cell>
          <cell r="F1435" t="str">
            <v>TAMBELLUP</v>
          </cell>
          <cell r="G1435" t="str">
            <v>1</v>
          </cell>
          <cell r="H1435" t="str">
            <v>W- water corporation</v>
          </cell>
          <cell r="J1435" t="str">
            <v>20070201</v>
          </cell>
          <cell r="K1435" t="str">
            <v>117.642445314</v>
          </cell>
          <cell r="L1435" t="str">
            <v>-34.0455891631</v>
          </cell>
          <cell r="M1435" t="str">
            <v>H</v>
          </cell>
          <cell r="N1435" t="str">
            <v>22</v>
          </cell>
          <cell r="O1435" t="str">
            <v>NORRISH</v>
          </cell>
          <cell r="P1435" t="str">
            <v>ST</v>
          </cell>
          <cell r="R1435" t="str">
            <v>TAMBELLUP</v>
          </cell>
          <cell r="S1435" t="str">
            <v>6320</v>
          </cell>
        </row>
        <row r="1436">
          <cell r="B1436" t="str">
            <v>S4001081</v>
          </cell>
          <cell r="C1436" t="str">
            <v>SPS KELLY ST GERALDTON</v>
          </cell>
          <cell r="D1436" t="str">
            <v>A- actual</v>
          </cell>
          <cell r="E1436" t="str">
            <v>PS- pump station</v>
          </cell>
          <cell r="F1436" t="str">
            <v>KELLY ST</v>
          </cell>
          <cell r="G1436" t="str">
            <v>G3</v>
          </cell>
          <cell r="H1436" t="str">
            <v>W- water corporation</v>
          </cell>
          <cell r="J1436" t="str">
            <v>20070801</v>
          </cell>
          <cell r="K1436" t="str">
            <v>114.618025259</v>
          </cell>
          <cell r="L1436" t="str">
            <v>-28.774996494</v>
          </cell>
          <cell r="M1436" t="str">
            <v>H</v>
          </cell>
          <cell r="N1436" t="str">
            <v>6</v>
          </cell>
          <cell r="O1436" t="str">
            <v>KELLY</v>
          </cell>
          <cell r="P1436" t="str">
            <v>ST</v>
          </cell>
          <cell r="R1436" t="str">
            <v>GERALDTON</v>
          </cell>
          <cell r="S1436" t="str">
            <v>6530</v>
          </cell>
        </row>
        <row r="1437">
          <cell r="D1437" t="str">
            <v>A- actual</v>
          </cell>
          <cell r="E1437" t="str">
            <v>PS- pump station</v>
          </cell>
          <cell r="F1437" t="str">
            <v>DEPT HOUSING &amp; WORKS</v>
          </cell>
          <cell r="H1437" t="str">
            <v>P- private</v>
          </cell>
          <cell r="J1437" t="str">
            <v>20070119</v>
          </cell>
          <cell r="K1437" t="str">
            <v>114.612747009</v>
          </cell>
          <cell r="L1437" t="str">
            <v>-28.7848366793</v>
          </cell>
          <cell r="M1437" t="str">
            <v>H</v>
          </cell>
          <cell r="N1437" t="str">
            <v>30</v>
          </cell>
          <cell r="O1437" t="str">
            <v>ONSLOW</v>
          </cell>
          <cell r="P1437" t="str">
            <v>ST</v>
          </cell>
          <cell r="R1437" t="str">
            <v>GERALDTON</v>
          </cell>
          <cell r="S1437" t="str">
            <v>6530</v>
          </cell>
        </row>
        <row r="1438">
          <cell r="D1438" t="str">
            <v>A- actual</v>
          </cell>
          <cell r="E1438" t="str">
            <v>PS- pump station</v>
          </cell>
          <cell r="H1438" t="str">
            <v>P- private</v>
          </cell>
          <cell r="J1438" t="str">
            <v>20070601</v>
          </cell>
          <cell r="K1438" t="str">
            <v>115.804319042</v>
          </cell>
          <cell r="L1438" t="str">
            <v>-31.871114239</v>
          </cell>
          <cell r="M1438" t="str">
            <v>H</v>
          </cell>
          <cell r="N1438" t="str">
            <v>1</v>
          </cell>
          <cell r="O1438" t="str">
            <v>BRYAN</v>
          </cell>
          <cell r="P1438" t="str">
            <v>PL</v>
          </cell>
          <cell r="R1438" t="str">
            <v>STIRLING</v>
          </cell>
          <cell r="S1438" t="str">
            <v>6021</v>
          </cell>
        </row>
        <row r="1439">
          <cell r="B1439" t="str">
            <v>S8010741</v>
          </cell>
          <cell r="C1439" t="str">
            <v>SPS INFLUENT MCLARTY RD WWTP HALLS HEAD</v>
          </cell>
          <cell r="D1439" t="str">
            <v>A- actual</v>
          </cell>
          <cell r="E1439" t="str">
            <v>PS- pump station</v>
          </cell>
          <cell r="F1439" t="str">
            <v>WWTP INFLUENT</v>
          </cell>
          <cell r="H1439" t="str">
            <v>W- water corporation</v>
          </cell>
          <cell r="J1439" t="str">
            <v>20081101</v>
          </cell>
          <cell r="K1439" t="str">
            <v>115.691472047</v>
          </cell>
          <cell r="L1439" t="str">
            <v>-32.542943289</v>
          </cell>
          <cell r="M1439" t="str">
            <v>H</v>
          </cell>
          <cell r="N1439" t="str">
            <v>110</v>
          </cell>
          <cell r="O1439" t="str">
            <v>PEELWOOD</v>
          </cell>
          <cell r="P1439" t="str">
            <v>PDE</v>
          </cell>
          <cell r="R1439" t="str">
            <v>HALLS HEAD</v>
          </cell>
          <cell r="S1439" t="str">
            <v>6210</v>
          </cell>
        </row>
        <row r="1440">
          <cell r="D1440" t="str">
            <v>A- actual</v>
          </cell>
          <cell r="E1440" t="str">
            <v>PS- pump station</v>
          </cell>
          <cell r="H1440" t="str">
            <v>P- private</v>
          </cell>
          <cell r="J1440" t="str">
            <v>20040317</v>
          </cell>
          <cell r="K1440" t="str">
            <v>116.009037293</v>
          </cell>
          <cell r="L1440" t="str">
            <v>-32.1022040551</v>
          </cell>
          <cell r="M1440" t="str">
            <v>L</v>
          </cell>
          <cell r="N1440" t="str">
            <v>6</v>
          </cell>
          <cell r="O1440" t="str">
            <v>CENTRE</v>
          </cell>
          <cell r="P1440" t="str">
            <v>RD</v>
          </cell>
          <cell r="R1440" t="str">
            <v>CAMILLO</v>
          </cell>
          <cell r="S1440" t="str">
            <v>6111</v>
          </cell>
        </row>
        <row r="1441">
          <cell r="D1441" t="str">
            <v>A- actual</v>
          </cell>
          <cell r="E1441" t="str">
            <v>PS- pump station</v>
          </cell>
          <cell r="F1441" t="str">
            <v>CENTRE RD</v>
          </cell>
          <cell r="H1441" t="str">
            <v>P- private</v>
          </cell>
          <cell r="J1441" t="str">
            <v>20040317</v>
          </cell>
          <cell r="K1441" t="str">
            <v>116.010149556</v>
          </cell>
          <cell r="L1441" t="str">
            <v>-32.102774852</v>
          </cell>
          <cell r="M1441" t="str">
            <v>L</v>
          </cell>
          <cell r="N1441" t="str">
            <v>2</v>
          </cell>
          <cell r="O1441" t="str">
            <v>CENTRE</v>
          </cell>
          <cell r="P1441" t="str">
            <v>RD</v>
          </cell>
          <cell r="R1441" t="str">
            <v>CAMILLO</v>
          </cell>
          <cell r="S1441" t="str">
            <v>6111</v>
          </cell>
        </row>
        <row r="1442">
          <cell r="B1442" t="str">
            <v>S2019723</v>
          </cell>
          <cell r="C1442" t="str">
            <v>LPPS TOWN OF MOSMAN PARK DEPOT</v>
          </cell>
          <cell r="D1442" t="str">
            <v>A- actual</v>
          </cell>
          <cell r="E1442" t="str">
            <v>LPPS- low pressure pump station</v>
          </cell>
          <cell r="F1442" t="str">
            <v>FAIRBAIRN ST</v>
          </cell>
          <cell r="G1442" t="str">
            <v>1</v>
          </cell>
          <cell r="H1442" t="str">
            <v>W- water corporation</v>
          </cell>
          <cell r="J1442" t="str">
            <v>20071024</v>
          </cell>
          <cell r="K1442" t="str">
            <v>115.769105086</v>
          </cell>
          <cell r="L1442" t="str">
            <v>-32.0211940651</v>
          </cell>
          <cell r="M1442" t="str">
            <v>H</v>
          </cell>
          <cell r="N1442" t="str">
            <v>19</v>
          </cell>
          <cell r="O1442" t="str">
            <v>FAIRBAIRN</v>
          </cell>
          <cell r="P1442" t="str">
            <v>ST</v>
          </cell>
          <cell r="R1442" t="str">
            <v>MOSMAN PARK</v>
          </cell>
          <cell r="S1442" t="str">
            <v>6012</v>
          </cell>
        </row>
        <row r="1443">
          <cell r="B1443" t="str">
            <v>S2019734</v>
          </cell>
          <cell r="C1443" t="str">
            <v>LPPS H07 FAIRBAIRN ST MOSMAN PK</v>
          </cell>
          <cell r="D1443" t="str">
            <v>A- actual</v>
          </cell>
          <cell r="E1443" t="str">
            <v>LPPS- low pressure pump station</v>
          </cell>
          <cell r="F1443" t="str">
            <v>FAIRBAIRN ST</v>
          </cell>
          <cell r="G1443" t="str">
            <v>12</v>
          </cell>
          <cell r="H1443" t="str">
            <v>W- water corporation</v>
          </cell>
          <cell r="J1443" t="str">
            <v>20071024</v>
          </cell>
          <cell r="K1443" t="str">
            <v>115.76919349</v>
          </cell>
          <cell r="L1443" t="str">
            <v>-32.0215950126</v>
          </cell>
          <cell r="M1443" t="str">
            <v>H</v>
          </cell>
          <cell r="N1443" t="str">
            <v>5</v>
          </cell>
          <cell r="O1443" t="str">
            <v>FAIRBAIRN</v>
          </cell>
          <cell r="P1443" t="str">
            <v>ST</v>
          </cell>
          <cell r="R1443" t="str">
            <v>MOSMAN PARK</v>
          </cell>
          <cell r="S1443" t="str">
            <v>6012</v>
          </cell>
        </row>
        <row r="1444">
          <cell r="B1444" t="str">
            <v>S2019732</v>
          </cell>
          <cell r="C1444" t="str">
            <v>LPPS H09A FAIRBAIRN ST MOSMAN PK</v>
          </cell>
          <cell r="D1444" t="str">
            <v>A- actual</v>
          </cell>
          <cell r="E1444" t="str">
            <v>LPPS- low pressure pump station</v>
          </cell>
          <cell r="F1444" t="str">
            <v>FAIRBAIRN ST</v>
          </cell>
          <cell r="G1444" t="str">
            <v>10</v>
          </cell>
          <cell r="H1444" t="str">
            <v>W- water corporation</v>
          </cell>
          <cell r="J1444" t="str">
            <v>20071024</v>
          </cell>
          <cell r="K1444" t="str">
            <v>115.768734053</v>
          </cell>
          <cell r="L1444" t="str">
            <v>-32.0214508335</v>
          </cell>
          <cell r="M1444" t="str">
            <v>H</v>
          </cell>
          <cell r="N1444" t="str">
            <v>9</v>
          </cell>
          <cell r="O1444" t="str">
            <v>FAIRBAIRN</v>
          </cell>
          <cell r="P1444" t="str">
            <v>ST</v>
          </cell>
          <cell r="R1444" t="str">
            <v>MOSMAN PARK</v>
          </cell>
          <cell r="S1444" t="str">
            <v>6012</v>
          </cell>
        </row>
        <row r="1445">
          <cell r="B1445" t="str">
            <v>S2019735</v>
          </cell>
          <cell r="C1445" t="str">
            <v>LPPS H05 FAIRBAIRN ST MOSMAN PK</v>
          </cell>
          <cell r="D1445" t="str">
            <v>A- actual</v>
          </cell>
          <cell r="E1445" t="str">
            <v>LPPS- low pressure pump station</v>
          </cell>
          <cell r="F1445" t="str">
            <v>FAIRBAIRN ST</v>
          </cell>
          <cell r="G1445" t="str">
            <v>13</v>
          </cell>
          <cell r="H1445" t="str">
            <v>W- water corporation</v>
          </cell>
          <cell r="J1445" t="str">
            <v>20071024</v>
          </cell>
          <cell r="K1445" t="str">
            <v>115.769307322</v>
          </cell>
          <cell r="L1445" t="str">
            <v>-32.0211942469</v>
          </cell>
          <cell r="M1445" t="str">
            <v>H</v>
          </cell>
          <cell r="N1445" t="str">
            <v>21</v>
          </cell>
          <cell r="O1445" t="str">
            <v>FAIRBAIRN</v>
          </cell>
          <cell r="P1445" t="str">
            <v>ST</v>
          </cell>
          <cell r="R1445" t="str">
            <v>MOSMAN PARK</v>
          </cell>
          <cell r="S1445" t="str">
            <v>6012</v>
          </cell>
        </row>
        <row r="1446">
          <cell r="B1446" t="str">
            <v>S2019455</v>
          </cell>
          <cell r="C1446" t="str">
            <v>LPPS H01 PARNELL PDE BASSENDEAN</v>
          </cell>
          <cell r="D1446" t="str">
            <v>A- actual</v>
          </cell>
          <cell r="E1446" t="str">
            <v>LPPS- low pressure pump station</v>
          </cell>
          <cell r="F1446" t="str">
            <v>PARNELL PDE</v>
          </cell>
          <cell r="G1446" t="str">
            <v>27</v>
          </cell>
          <cell r="H1446" t="str">
            <v>W- water corporation</v>
          </cell>
          <cell r="J1446" t="str">
            <v>20071024</v>
          </cell>
          <cell r="K1446" t="str">
            <v>115.95675129</v>
          </cell>
          <cell r="L1446" t="str">
            <v>-31.91179386</v>
          </cell>
          <cell r="M1446" t="str">
            <v>H</v>
          </cell>
          <cell r="N1446" t="str">
            <v>1</v>
          </cell>
          <cell r="O1446" t="str">
            <v>PARNELL</v>
          </cell>
          <cell r="P1446" t="str">
            <v>PDE</v>
          </cell>
          <cell r="R1446" t="str">
            <v>BASSENDEAN</v>
          </cell>
          <cell r="S1446" t="str">
            <v>6054</v>
          </cell>
        </row>
        <row r="1447">
          <cell r="B1447" t="str">
            <v>S2019454</v>
          </cell>
          <cell r="C1447" t="str">
            <v>LPPS H03 PARNELL PDE BASSENDEAN</v>
          </cell>
          <cell r="D1447" t="str">
            <v>A- actual</v>
          </cell>
          <cell r="E1447" t="str">
            <v>LPPS- low pressure pump station</v>
          </cell>
          <cell r="F1447" t="str">
            <v>PARNELL PDE</v>
          </cell>
          <cell r="G1447" t="str">
            <v>26</v>
          </cell>
          <cell r="H1447" t="str">
            <v>W- water corporation</v>
          </cell>
          <cell r="J1447" t="str">
            <v>20071024</v>
          </cell>
          <cell r="K1447" t="str">
            <v>115.956828941</v>
          </cell>
          <cell r="L1447" t="str">
            <v>-31.9119943848</v>
          </cell>
          <cell r="M1447" t="str">
            <v>H</v>
          </cell>
          <cell r="N1447" t="str">
            <v>3</v>
          </cell>
          <cell r="O1447" t="str">
            <v>PARNELL</v>
          </cell>
          <cell r="P1447" t="str">
            <v>PDE</v>
          </cell>
          <cell r="R1447" t="str">
            <v>BASSENDEAN</v>
          </cell>
          <cell r="S1447" t="str">
            <v>6054</v>
          </cell>
        </row>
        <row r="1448">
          <cell r="B1448" t="str">
            <v>S2019453</v>
          </cell>
          <cell r="C1448" t="str">
            <v>LPPS H05 PARNELL PDE BASSENDEAN</v>
          </cell>
          <cell r="D1448" t="str">
            <v>A- actual</v>
          </cell>
          <cell r="E1448" t="str">
            <v>LPPS- low pressure pump station</v>
          </cell>
          <cell r="F1448" t="str">
            <v>PARNELL PDE</v>
          </cell>
          <cell r="G1448" t="str">
            <v>25</v>
          </cell>
          <cell r="H1448" t="str">
            <v>W- water corporation</v>
          </cell>
          <cell r="J1448" t="str">
            <v>20071024</v>
          </cell>
          <cell r="K1448" t="str">
            <v>115.956786395</v>
          </cell>
          <cell r="L1448" t="str">
            <v>-31.9121720509</v>
          </cell>
          <cell r="M1448" t="str">
            <v>H</v>
          </cell>
          <cell r="N1448" t="str">
            <v>5</v>
          </cell>
          <cell r="O1448" t="str">
            <v>PARNELL</v>
          </cell>
          <cell r="P1448" t="str">
            <v>PDE</v>
          </cell>
          <cell r="R1448" t="str">
            <v>BASSENDEAN</v>
          </cell>
          <cell r="S1448" t="str">
            <v>6054</v>
          </cell>
        </row>
        <row r="1449">
          <cell r="B1449" t="str">
            <v>S2019452</v>
          </cell>
          <cell r="C1449" t="str">
            <v>LPPS H07 PARNELL PDE BASSENDEAN</v>
          </cell>
          <cell r="D1449" t="str">
            <v>A- actual</v>
          </cell>
          <cell r="E1449" t="str">
            <v>LPPS- low pressure pump station</v>
          </cell>
          <cell r="F1449" t="str">
            <v>PARNELL PDE</v>
          </cell>
          <cell r="G1449" t="str">
            <v>24</v>
          </cell>
          <cell r="H1449" t="str">
            <v>W- water corporation</v>
          </cell>
          <cell r="J1449" t="str">
            <v>20071024</v>
          </cell>
          <cell r="K1449" t="str">
            <v>115.956743654</v>
          </cell>
          <cell r="L1449" t="str">
            <v>-31.9123497453</v>
          </cell>
          <cell r="M1449" t="str">
            <v>H</v>
          </cell>
          <cell r="N1449" t="str">
            <v>7</v>
          </cell>
          <cell r="O1449" t="str">
            <v>PARNELL</v>
          </cell>
          <cell r="P1449" t="str">
            <v>PDE</v>
          </cell>
          <cell r="R1449" t="str">
            <v>BASSENDEAN</v>
          </cell>
          <cell r="S1449" t="str">
            <v>6054</v>
          </cell>
        </row>
        <row r="1450">
          <cell r="B1450" t="str">
            <v>S2019451</v>
          </cell>
          <cell r="C1450" t="str">
            <v>LPPS H09 PARNELL PDE BASSENDEAN</v>
          </cell>
          <cell r="D1450" t="str">
            <v>A- actual</v>
          </cell>
          <cell r="E1450" t="str">
            <v>LPPS- low pressure pump station</v>
          </cell>
          <cell r="F1450" t="str">
            <v>PARNELL PDE</v>
          </cell>
          <cell r="G1450" t="str">
            <v>23</v>
          </cell>
          <cell r="H1450" t="str">
            <v>W- water corporation</v>
          </cell>
          <cell r="J1450" t="str">
            <v>20071024</v>
          </cell>
          <cell r="K1450" t="str">
            <v>115.956701529</v>
          </cell>
          <cell r="L1450" t="str">
            <v>-31.9125244873</v>
          </cell>
          <cell r="M1450" t="str">
            <v>H</v>
          </cell>
          <cell r="N1450" t="str">
            <v>9</v>
          </cell>
          <cell r="O1450" t="str">
            <v>PARNELL</v>
          </cell>
          <cell r="P1450" t="str">
            <v>PDE</v>
          </cell>
          <cell r="R1450" t="str">
            <v>BASSENDEAN</v>
          </cell>
          <cell r="S1450" t="str">
            <v>6054</v>
          </cell>
        </row>
        <row r="1451">
          <cell r="B1451" t="str">
            <v>S2019449</v>
          </cell>
          <cell r="C1451" t="str">
            <v>LPPS H13 PARNELL PDE BASSENDEAN</v>
          </cell>
          <cell r="D1451" t="str">
            <v>A- actual</v>
          </cell>
          <cell r="E1451" t="str">
            <v>LPPS- low pressure pump station</v>
          </cell>
          <cell r="F1451" t="str">
            <v>PARNELL PDE</v>
          </cell>
          <cell r="G1451" t="str">
            <v>21</v>
          </cell>
          <cell r="H1451" t="str">
            <v>W- water corporation</v>
          </cell>
          <cell r="J1451" t="str">
            <v>20071024</v>
          </cell>
          <cell r="K1451" t="str">
            <v>115.956621783</v>
          </cell>
          <cell r="L1451" t="str">
            <v>-31.9128845416</v>
          </cell>
          <cell r="M1451" t="str">
            <v>H</v>
          </cell>
          <cell r="N1451" t="str">
            <v>13</v>
          </cell>
          <cell r="O1451" t="str">
            <v>PARNELL</v>
          </cell>
          <cell r="P1451" t="str">
            <v>PDE</v>
          </cell>
          <cell r="R1451" t="str">
            <v>BASSENDEAN</v>
          </cell>
          <cell r="S1451" t="str">
            <v>6054</v>
          </cell>
        </row>
        <row r="1452">
          <cell r="B1452" t="str">
            <v>S2019448</v>
          </cell>
          <cell r="C1452" t="str">
            <v>LPPS H15 PARNELL PDE BASSENDEAN</v>
          </cell>
          <cell r="D1452" t="str">
            <v>A- actual</v>
          </cell>
          <cell r="E1452" t="str">
            <v>LPPS- low pressure pump station</v>
          </cell>
          <cell r="F1452" t="str">
            <v>PARNELL PDE</v>
          </cell>
          <cell r="G1452" t="str">
            <v>20</v>
          </cell>
          <cell r="H1452" t="str">
            <v>W- water corporation</v>
          </cell>
          <cell r="J1452" t="str">
            <v>20071024</v>
          </cell>
          <cell r="K1452" t="str">
            <v>115.95657805</v>
          </cell>
          <cell r="L1452" t="str">
            <v>-31.9130616671</v>
          </cell>
          <cell r="M1452" t="str">
            <v>H</v>
          </cell>
          <cell r="N1452" t="str">
            <v>15</v>
          </cell>
          <cell r="O1452" t="str">
            <v>PARNELL</v>
          </cell>
          <cell r="P1452" t="str">
            <v>PDE</v>
          </cell>
          <cell r="R1452" t="str">
            <v>BASSENDEAN</v>
          </cell>
          <cell r="S1452" t="str">
            <v>6054</v>
          </cell>
        </row>
        <row r="1453">
          <cell r="B1453" t="str">
            <v>S2019440</v>
          </cell>
          <cell r="C1453" t="str">
            <v>LPPS H03 WATSON ST BASSENDEAN</v>
          </cell>
          <cell r="D1453" t="str">
            <v>A- actual</v>
          </cell>
          <cell r="E1453" t="str">
            <v>LPPS- low pressure pump station</v>
          </cell>
          <cell r="F1453" t="str">
            <v>WATSON ST</v>
          </cell>
          <cell r="G1453" t="str">
            <v>12</v>
          </cell>
          <cell r="H1453" t="str">
            <v>W- water corporation</v>
          </cell>
          <cell r="J1453" t="str">
            <v>20071024</v>
          </cell>
          <cell r="K1453" t="str">
            <v>115.957183781</v>
          </cell>
          <cell r="L1453" t="str">
            <v>-31.9127790936</v>
          </cell>
          <cell r="M1453" t="str">
            <v>H</v>
          </cell>
          <cell r="N1453" t="str">
            <v>3</v>
          </cell>
          <cell r="O1453" t="str">
            <v>WATSON</v>
          </cell>
          <cell r="P1453" t="str">
            <v>ST</v>
          </cell>
          <cell r="R1453" t="str">
            <v>BASSENDEAN</v>
          </cell>
          <cell r="S1453" t="str">
            <v>6054</v>
          </cell>
        </row>
        <row r="1454">
          <cell r="B1454" t="str">
            <v>S2019434</v>
          </cell>
          <cell r="C1454" t="str">
            <v>LPPS H02 WATSON ST BASSENDEAN</v>
          </cell>
          <cell r="D1454" t="str">
            <v>A- actual</v>
          </cell>
          <cell r="E1454" t="str">
            <v>LPPS- low pressure pump station</v>
          </cell>
          <cell r="F1454" t="str">
            <v>WATSON ST</v>
          </cell>
          <cell r="G1454" t="str">
            <v>6</v>
          </cell>
          <cell r="H1454" t="str">
            <v>W- water corporation</v>
          </cell>
          <cell r="J1454" t="str">
            <v>20071024</v>
          </cell>
          <cell r="K1454" t="str">
            <v>115.957178169</v>
          </cell>
          <cell r="L1454" t="str">
            <v>-31.91137689</v>
          </cell>
          <cell r="M1454" t="str">
            <v>H</v>
          </cell>
          <cell r="N1454" t="str">
            <v>2</v>
          </cell>
          <cell r="O1454" t="str">
            <v>WATSON</v>
          </cell>
          <cell r="P1454" t="str">
            <v>ST</v>
          </cell>
          <cell r="R1454" t="str">
            <v>BASSENDEAN</v>
          </cell>
          <cell r="S1454" t="str">
            <v>6054</v>
          </cell>
        </row>
        <row r="1455">
          <cell r="B1455" t="str">
            <v>S2019433</v>
          </cell>
          <cell r="C1455" t="str">
            <v>LPPS H04 WATSON ST BASSENDEAN</v>
          </cell>
          <cell r="D1455" t="str">
            <v>A- actual</v>
          </cell>
          <cell r="E1455" t="str">
            <v>LPPS- low pressure pump station</v>
          </cell>
          <cell r="F1455" t="str">
            <v>WATSON ST</v>
          </cell>
          <cell r="G1455" t="str">
            <v>5</v>
          </cell>
          <cell r="H1455" t="str">
            <v>W- water corporation</v>
          </cell>
          <cell r="J1455" t="str">
            <v>20071024</v>
          </cell>
          <cell r="K1455" t="str">
            <v>115.956977273</v>
          </cell>
          <cell r="L1455" t="str">
            <v>-31.9113229871</v>
          </cell>
          <cell r="M1455" t="str">
            <v>H</v>
          </cell>
          <cell r="N1455" t="str">
            <v>4</v>
          </cell>
          <cell r="O1455" t="str">
            <v>WATSON</v>
          </cell>
          <cell r="P1455" t="str">
            <v>ST</v>
          </cell>
          <cell r="R1455" t="str">
            <v>BASSENDEAN</v>
          </cell>
          <cell r="S1455" t="str">
            <v>6054</v>
          </cell>
        </row>
        <row r="1456">
          <cell r="B1456" t="str">
            <v>S2019439</v>
          </cell>
          <cell r="C1456" t="str">
            <v>LPPS H05 WATSON ST BASSENDEAN</v>
          </cell>
          <cell r="D1456" t="str">
            <v>A- actual</v>
          </cell>
          <cell r="E1456" t="str">
            <v>LPPS- low pressure pump station</v>
          </cell>
          <cell r="F1456" t="str">
            <v>WATSON ST</v>
          </cell>
          <cell r="G1456" t="str">
            <v>11</v>
          </cell>
          <cell r="H1456" t="str">
            <v>W- water corporation</v>
          </cell>
          <cell r="J1456" t="str">
            <v>20071024</v>
          </cell>
          <cell r="K1456" t="str">
            <v>115.957226159</v>
          </cell>
          <cell r="L1456" t="str">
            <v>-31.9125967239</v>
          </cell>
          <cell r="M1456" t="str">
            <v>H</v>
          </cell>
          <cell r="N1456" t="str">
            <v>5</v>
          </cell>
          <cell r="O1456" t="str">
            <v>WATSON</v>
          </cell>
          <cell r="P1456" t="str">
            <v>ST</v>
          </cell>
          <cell r="R1456" t="str">
            <v>BASSENDEAN</v>
          </cell>
          <cell r="S1456" t="str">
            <v>6054</v>
          </cell>
        </row>
        <row r="1457">
          <cell r="B1457" t="str">
            <v>S2019432</v>
          </cell>
          <cell r="C1457" t="str">
            <v>LPPS H06 WATSON ST BASSENDEAN</v>
          </cell>
          <cell r="D1457" t="str">
            <v>A- actual</v>
          </cell>
          <cell r="E1457" t="str">
            <v>LPPS- low pressure pump station</v>
          </cell>
          <cell r="F1457" t="str">
            <v>WATSON ST</v>
          </cell>
          <cell r="G1457" t="str">
            <v>4</v>
          </cell>
          <cell r="H1457" t="str">
            <v>W- water corporation</v>
          </cell>
          <cell r="J1457" t="str">
            <v>20071024</v>
          </cell>
          <cell r="K1457" t="str">
            <v>115.956768552</v>
          </cell>
          <cell r="L1457" t="str">
            <v>-31.9112877769</v>
          </cell>
          <cell r="M1457" t="str">
            <v>H</v>
          </cell>
          <cell r="N1457" t="str">
            <v>6</v>
          </cell>
          <cell r="O1457" t="str">
            <v>WATSON</v>
          </cell>
          <cell r="P1457" t="str">
            <v>ST</v>
          </cell>
          <cell r="R1457" t="str">
            <v>BASSENDEAN</v>
          </cell>
          <cell r="S1457" t="str">
            <v>6054</v>
          </cell>
        </row>
        <row r="1458">
          <cell r="B1458" t="str">
            <v>S2019431</v>
          </cell>
          <cell r="C1458" t="str">
            <v>LPPS H08 WATSON ST BASSENDEAN</v>
          </cell>
          <cell r="D1458" t="str">
            <v>A- actual</v>
          </cell>
          <cell r="E1458" t="str">
            <v>LPPS- low pressure pump station</v>
          </cell>
          <cell r="F1458" t="str">
            <v>WATSON ST</v>
          </cell>
          <cell r="G1458" t="str">
            <v>3</v>
          </cell>
          <cell r="H1458" t="str">
            <v>W- water corporation</v>
          </cell>
          <cell r="J1458" t="str">
            <v>20071024</v>
          </cell>
          <cell r="K1458" t="str">
            <v>115.956559855</v>
          </cell>
          <cell r="L1458" t="str">
            <v>-31.9112525619</v>
          </cell>
          <cell r="M1458" t="str">
            <v>H</v>
          </cell>
          <cell r="N1458" t="str">
            <v>8</v>
          </cell>
          <cell r="O1458" t="str">
            <v>WATSON</v>
          </cell>
          <cell r="P1458" t="str">
            <v>ST</v>
          </cell>
          <cell r="R1458" t="str">
            <v>BASSENDEAN</v>
          </cell>
          <cell r="S1458" t="str">
            <v>6054</v>
          </cell>
        </row>
        <row r="1459">
          <cell r="B1459" t="str">
            <v>S2019437</v>
          </cell>
          <cell r="C1459" t="str">
            <v>LPPS H09 WATSON ST BASSENDEAN</v>
          </cell>
          <cell r="D1459" t="str">
            <v>A- actual</v>
          </cell>
          <cell r="E1459" t="str">
            <v>LPPS- low pressure pump station</v>
          </cell>
          <cell r="F1459" t="str">
            <v>WATSON ST</v>
          </cell>
          <cell r="G1459" t="str">
            <v>9</v>
          </cell>
          <cell r="H1459" t="str">
            <v>W- water corporation</v>
          </cell>
          <cell r="J1459" t="str">
            <v>20071024</v>
          </cell>
          <cell r="K1459" t="str">
            <v>115.957306485</v>
          </cell>
          <cell r="L1459" t="str">
            <v>-31.9122449291</v>
          </cell>
          <cell r="M1459" t="str">
            <v>H</v>
          </cell>
          <cell r="N1459" t="str">
            <v>9</v>
          </cell>
          <cell r="O1459" t="str">
            <v>WATSON</v>
          </cell>
          <cell r="P1459" t="str">
            <v>ST</v>
          </cell>
          <cell r="R1459" t="str">
            <v>BASSENDEAN</v>
          </cell>
          <cell r="S1459" t="str">
            <v>6054</v>
          </cell>
        </row>
        <row r="1460">
          <cell r="B1460" t="str">
            <v>S2019436</v>
          </cell>
          <cell r="C1460" t="str">
            <v>LPPS H11 WATSON ST BASSENDEAN</v>
          </cell>
          <cell r="D1460" t="str">
            <v>A- actual</v>
          </cell>
          <cell r="E1460" t="str">
            <v>LPPS- low pressure pump station</v>
          </cell>
          <cell r="F1460" t="str">
            <v>WATSON ST</v>
          </cell>
          <cell r="G1460" t="str">
            <v>8</v>
          </cell>
          <cell r="H1460" t="str">
            <v>W- water corporation</v>
          </cell>
          <cell r="J1460" t="str">
            <v>20071024</v>
          </cell>
          <cell r="K1460" t="str">
            <v>115.957360237</v>
          </cell>
          <cell r="L1460" t="str">
            <v>-31.9120679814</v>
          </cell>
          <cell r="M1460" t="str">
            <v>H</v>
          </cell>
          <cell r="N1460" t="str">
            <v>11</v>
          </cell>
          <cell r="O1460" t="str">
            <v>WATSON</v>
          </cell>
          <cell r="P1460" t="str">
            <v>ST</v>
          </cell>
          <cell r="R1460" t="str">
            <v>BASSENDEAN</v>
          </cell>
          <cell r="S1460" t="str">
            <v>6054</v>
          </cell>
        </row>
        <row r="1461">
          <cell r="B1461" t="str">
            <v>S2019435</v>
          </cell>
          <cell r="C1461" t="str">
            <v>LPPS H13 WATSON ST BASSENDEAN</v>
          </cell>
          <cell r="D1461" t="str">
            <v>A- actual</v>
          </cell>
          <cell r="E1461" t="str">
            <v>LPPS- low pressure pump station</v>
          </cell>
          <cell r="F1461" t="str">
            <v>WATSON ST</v>
          </cell>
          <cell r="G1461" t="str">
            <v>7</v>
          </cell>
          <cell r="H1461" t="str">
            <v>W- water corporation</v>
          </cell>
          <cell r="J1461" t="str">
            <v>20071024</v>
          </cell>
          <cell r="K1461" t="str">
            <v>115.957371478</v>
          </cell>
          <cell r="L1461" t="str">
            <v>-31.9118978694</v>
          </cell>
          <cell r="M1461" t="str">
            <v>H</v>
          </cell>
          <cell r="N1461" t="str">
            <v>13</v>
          </cell>
          <cell r="O1461" t="str">
            <v>WATSON</v>
          </cell>
          <cell r="P1461" t="str">
            <v>ST</v>
          </cell>
          <cell r="R1461" t="str">
            <v>BASSENDEAN</v>
          </cell>
          <cell r="S1461" t="str">
            <v>6054</v>
          </cell>
        </row>
        <row r="1462">
          <cell r="B1462" t="str">
            <v>S2019443</v>
          </cell>
          <cell r="C1462" t="str">
            <v>LPPS H05 BASSENDEAN PDE BASSENDEAN</v>
          </cell>
          <cell r="D1462" t="str">
            <v>A- actual</v>
          </cell>
          <cell r="E1462" t="str">
            <v>LPPS- low pressure pump station</v>
          </cell>
          <cell r="F1462" t="str">
            <v>BASSENDEAN PDE</v>
          </cell>
          <cell r="G1462" t="str">
            <v>15</v>
          </cell>
          <cell r="H1462" t="str">
            <v>W- water corporation</v>
          </cell>
          <cell r="J1462" t="str">
            <v>20071024</v>
          </cell>
          <cell r="K1462" t="str">
            <v>115.957609448</v>
          </cell>
          <cell r="L1462" t="str">
            <v>-31.9136197415</v>
          </cell>
          <cell r="M1462" t="str">
            <v>H</v>
          </cell>
          <cell r="N1462" t="str">
            <v>5</v>
          </cell>
          <cell r="O1462" t="str">
            <v>BASSENDEAN</v>
          </cell>
          <cell r="P1462" t="str">
            <v>PDE</v>
          </cell>
          <cell r="R1462" t="str">
            <v>BASSENDEAN</v>
          </cell>
          <cell r="S1462" t="str">
            <v>6054</v>
          </cell>
        </row>
        <row r="1463">
          <cell r="B1463" t="str">
            <v>S2019444</v>
          </cell>
          <cell r="C1463" t="str">
            <v>LPPS H07 BASSENDEAN PDE BASSENDEAN</v>
          </cell>
          <cell r="D1463" t="str">
            <v>A- actual</v>
          </cell>
          <cell r="E1463" t="str">
            <v>LPPS- low pressure pump station</v>
          </cell>
          <cell r="F1463" t="str">
            <v>BASSENDEAN PDE</v>
          </cell>
          <cell r="G1463" t="str">
            <v>16</v>
          </cell>
          <cell r="H1463" t="str">
            <v>W- water corporation</v>
          </cell>
          <cell r="J1463" t="str">
            <v>20071024</v>
          </cell>
          <cell r="K1463" t="str">
            <v>115.95746186</v>
          </cell>
          <cell r="L1463" t="str">
            <v>-31.9138016167</v>
          </cell>
          <cell r="M1463" t="str">
            <v>H</v>
          </cell>
          <cell r="N1463" t="str">
            <v>7</v>
          </cell>
          <cell r="O1463" t="str">
            <v>BASSENDEAN</v>
          </cell>
          <cell r="P1463" t="str">
            <v>PDE</v>
          </cell>
          <cell r="R1463" t="str">
            <v>BASSENDEAN</v>
          </cell>
          <cell r="S1463" t="str">
            <v>6054</v>
          </cell>
        </row>
        <row r="1464">
          <cell r="B1464" t="str">
            <v>S2019445</v>
          </cell>
          <cell r="C1464" t="str">
            <v>LPPS H09 BASSENDEAN PDE BASSENDEAN</v>
          </cell>
          <cell r="D1464" t="str">
            <v>A- actual</v>
          </cell>
          <cell r="E1464" t="str">
            <v>LPPS- low pressure pump station</v>
          </cell>
          <cell r="F1464" t="str">
            <v>BASSENDEAN PDE</v>
          </cell>
          <cell r="G1464" t="str">
            <v>17</v>
          </cell>
          <cell r="H1464" t="str">
            <v>W- water corporation</v>
          </cell>
          <cell r="J1464" t="str">
            <v>20071024</v>
          </cell>
          <cell r="K1464" t="str">
            <v>115.95706465</v>
          </cell>
          <cell r="L1464" t="str">
            <v>-31.9141033868</v>
          </cell>
          <cell r="M1464" t="str">
            <v>H</v>
          </cell>
          <cell r="N1464" t="str">
            <v>11</v>
          </cell>
          <cell r="O1464" t="str">
            <v>BASSENDEAN</v>
          </cell>
          <cell r="P1464" t="str">
            <v>PDE</v>
          </cell>
          <cell r="R1464" t="str">
            <v>BASSENDEAN</v>
          </cell>
          <cell r="S1464" t="str">
            <v>6054</v>
          </cell>
        </row>
        <row r="1465">
          <cell r="B1465" t="str">
            <v>S2019446</v>
          </cell>
          <cell r="C1465" t="str">
            <v>LPPS H11 BASSENDEAN PDE BASSENDEAN</v>
          </cell>
          <cell r="D1465" t="str">
            <v>A- actual</v>
          </cell>
          <cell r="E1465" t="str">
            <v>LPPS- low pressure pump station</v>
          </cell>
          <cell r="F1465" t="str">
            <v>BASSENDEAN PDE</v>
          </cell>
          <cell r="G1465" t="str">
            <v>18</v>
          </cell>
          <cell r="H1465" t="str">
            <v>W- water corporation</v>
          </cell>
          <cell r="J1465" t="str">
            <v>20071024</v>
          </cell>
          <cell r="K1465" t="str">
            <v>115.95706465</v>
          </cell>
          <cell r="L1465" t="str">
            <v>-31.9141033868</v>
          </cell>
          <cell r="M1465" t="str">
            <v>H</v>
          </cell>
          <cell r="N1465" t="str">
            <v>11</v>
          </cell>
          <cell r="O1465" t="str">
            <v>BASSENDEAN</v>
          </cell>
          <cell r="P1465" t="str">
            <v>PDE</v>
          </cell>
          <cell r="R1465" t="str">
            <v>BASSENDEAN</v>
          </cell>
          <cell r="S1465" t="str">
            <v>6054</v>
          </cell>
        </row>
        <row r="1466">
          <cell r="B1466" t="str">
            <v>S2019447</v>
          </cell>
          <cell r="C1466" t="str">
            <v>LPPS H13 BASSENDEAN PDE BASSENDEAN</v>
          </cell>
          <cell r="D1466" t="str">
            <v>A- actual</v>
          </cell>
          <cell r="E1466" t="str">
            <v>LPPS- low pressure pump station</v>
          </cell>
          <cell r="F1466" t="str">
            <v>BASSENDEAN PDE</v>
          </cell>
          <cell r="G1466" t="str">
            <v>19</v>
          </cell>
          <cell r="H1466" t="str">
            <v>W- water corporation</v>
          </cell>
          <cell r="J1466" t="str">
            <v>20071024</v>
          </cell>
          <cell r="K1466" t="str">
            <v>115.956865554</v>
          </cell>
          <cell r="L1466" t="str">
            <v>-31.9142536008</v>
          </cell>
          <cell r="M1466" t="str">
            <v>H</v>
          </cell>
          <cell r="N1466" t="str">
            <v>13</v>
          </cell>
          <cell r="O1466" t="str">
            <v>BASSENDEAN</v>
          </cell>
          <cell r="P1466" t="str">
            <v>PDE</v>
          </cell>
          <cell r="R1466" t="str">
            <v>BASSENDEAN</v>
          </cell>
          <cell r="S1466" t="str">
            <v>6054</v>
          </cell>
        </row>
        <row r="1467">
          <cell r="B1467" t="str">
            <v>S2019438</v>
          </cell>
          <cell r="C1467" t="str">
            <v>LPPS H07 WATSON ST BASSENDEAN</v>
          </cell>
          <cell r="D1467" t="str">
            <v>A- actual</v>
          </cell>
          <cell r="E1467" t="str">
            <v>LPPS- low pressure pump station</v>
          </cell>
          <cell r="F1467" t="str">
            <v>WATSON ST</v>
          </cell>
          <cell r="G1467" t="str">
            <v>10</v>
          </cell>
          <cell r="H1467" t="str">
            <v>W- water corporation</v>
          </cell>
          <cell r="J1467" t="str">
            <v>20071024</v>
          </cell>
          <cell r="K1467" t="str">
            <v>115.957263908</v>
          </cell>
          <cell r="L1467" t="str">
            <v>-31.9124259304</v>
          </cell>
          <cell r="M1467" t="str">
            <v>H</v>
          </cell>
          <cell r="N1467" t="str">
            <v>7</v>
          </cell>
          <cell r="O1467" t="str">
            <v>WATSON</v>
          </cell>
          <cell r="P1467" t="str">
            <v>ST</v>
          </cell>
          <cell r="R1467" t="str">
            <v>BASSENDEAN</v>
          </cell>
          <cell r="S1467" t="str">
            <v>6054</v>
          </cell>
        </row>
        <row r="1468">
          <cell r="B1468" t="str">
            <v>S2019644</v>
          </cell>
          <cell r="C1468" t="str">
            <v>LPPS H12A ELVIRE ST WATERMAN</v>
          </cell>
          <cell r="D1468" t="str">
            <v>A- actual</v>
          </cell>
          <cell r="E1468" t="str">
            <v>LPPS- low pressure pump station</v>
          </cell>
          <cell r="F1468" t="str">
            <v>ELVIRE ST</v>
          </cell>
          <cell r="G1468" t="str">
            <v>1</v>
          </cell>
          <cell r="H1468" t="str">
            <v>W- water corporation</v>
          </cell>
          <cell r="J1468" t="str">
            <v>20071024</v>
          </cell>
          <cell r="K1468" t="str">
            <v>115.75369829</v>
          </cell>
          <cell r="L1468" t="str">
            <v>-31.852755795</v>
          </cell>
          <cell r="M1468" t="str">
            <v>H</v>
          </cell>
          <cell r="N1468" t="str">
            <v>74</v>
          </cell>
          <cell r="O1468" t="str">
            <v>FLORA</v>
          </cell>
          <cell r="P1468" t="str">
            <v>TCE</v>
          </cell>
          <cell r="R1468" t="str">
            <v>WATERMANS BAY</v>
          </cell>
          <cell r="S1468" t="str">
            <v>6020</v>
          </cell>
        </row>
        <row r="1469">
          <cell r="B1469" t="str">
            <v>S2019816</v>
          </cell>
          <cell r="C1469" t="str">
            <v>LPPS H23 TURNER PL KELMSCOTT</v>
          </cell>
          <cell r="D1469" t="str">
            <v>A- actual</v>
          </cell>
          <cell r="E1469" t="str">
            <v>LPPS- low pressure pump station</v>
          </cell>
          <cell r="F1469" t="str">
            <v>TURNER PL</v>
          </cell>
          <cell r="G1469" t="str">
            <v>1</v>
          </cell>
          <cell r="H1469" t="str">
            <v>W- water corporation</v>
          </cell>
          <cell r="J1469" t="str">
            <v>20071024</v>
          </cell>
          <cell r="K1469" t="str">
            <v>116.015555169</v>
          </cell>
          <cell r="L1469" t="str">
            <v>-32.107290698</v>
          </cell>
          <cell r="M1469" t="str">
            <v>H</v>
          </cell>
          <cell r="N1469" t="str">
            <v>23</v>
          </cell>
          <cell r="O1469" t="str">
            <v>TURNER</v>
          </cell>
          <cell r="P1469" t="str">
            <v>PL</v>
          </cell>
          <cell r="R1469" t="str">
            <v>KELMSCOTT</v>
          </cell>
          <cell r="S1469" t="str">
            <v>6111</v>
          </cell>
        </row>
        <row r="1470">
          <cell r="B1470" t="str">
            <v>S7010421</v>
          </cell>
          <cell r="C1470" t="str">
            <v>SPS REGIONAL PRISON TORNDIRRUP</v>
          </cell>
          <cell r="D1470" t="str">
            <v>A- actual</v>
          </cell>
          <cell r="E1470" t="str">
            <v>PS- pump station</v>
          </cell>
          <cell r="F1470" t="str">
            <v>ALBANY REGIONAL PRISON</v>
          </cell>
          <cell r="H1470" t="str">
            <v>W- water corporation</v>
          </cell>
          <cell r="J1470" t="str">
            <v>20071001</v>
          </cell>
          <cell r="K1470" t="str">
            <v>117.816212665</v>
          </cell>
          <cell r="L1470" t="str">
            <v>-35.0482504603</v>
          </cell>
          <cell r="M1470" t="str">
            <v>H</v>
          </cell>
          <cell r="N1470" t="str">
            <v>250</v>
          </cell>
          <cell r="O1470" t="str">
            <v>PRINCESS</v>
          </cell>
          <cell r="P1470" t="str">
            <v>AV</v>
          </cell>
          <cell r="R1470" t="str">
            <v>TORNDIRRUP</v>
          </cell>
          <cell r="S1470" t="str">
            <v>6330</v>
          </cell>
        </row>
        <row r="1471">
          <cell r="D1471" t="str">
            <v>A- actual</v>
          </cell>
          <cell r="E1471" t="str">
            <v>PS- pump station</v>
          </cell>
          <cell r="F1471" t="str">
            <v>ABERNETHY ROAD</v>
          </cell>
          <cell r="H1471" t="str">
            <v>P- private</v>
          </cell>
          <cell r="J1471" t="str">
            <v>20070202</v>
          </cell>
          <cell r="K1471" t="str">
            <v>116.000586509</v>
          </cell>
          <cell r="L1471" t="str">
            <v>-31.9233867016</v>
          </cell>
          <cell r="M1471" t="str">
            <v>H</v>
          </cell>
          <cell r="N1471" t="str">
            <v>1290</v>
          </cell>
          <cell r="O1471" t="str">
            <v>ABERNETHY</v>
          </cell>
          <cell r="P1471" t="str">
            <v>RD</v>
          </cell>
          <cell r="R1471" t="str">
            <v>HAZELMERE</v>
          </cell>
          <cell r="S1471" t="str">
            <v>6055</v>
          </cell>
        </row>
        <row r="1472">
          <cell r="B1472" t="str">
            <v>S7010420</v>
          </cell>
          <cell r="C1472" t="str">
            <v>SPS O'CONNELL ST LITTLE GROVE</v>
          </cell>
          <cell r="D1472" t="str">
            <v>A- actual</v>
          </cell>
          <cell r="E1472" t="str">
            <v>PS- pump station</v>
          </cell>
          <cell r="F1472" t="str">
            <v>O'CONNELL ST</v>
          </cell>
          <cell r="G1472" t="str">
            <v>1</v>
          </cell>
          <cell r="H1472" t="str">
            <v>W- water corporation</v>
          </cell>
          <cell r="J1472" t="str">
            <v>20071001</v>
          </cell>
          <cell r="K1472" t="str">
            <v>117.865847252</v>
          </cell>
          <cell r="L1472" t="str">
            <v>-35.0595044842</v>
          </cell>
          <cell r="M1472" t="str">
            <v>H</v>
          </cell>
          <cell r="N1472" t="str">
            <v>15</v>
          </cell>
          <cell r="O1472" t="str">
            <v>MARINE</v>
          </cell>
          <cell r="P1472" t="str">
            <v>TCE</v>
          </cell>
          <cell r="R1472" t="str">
            <v>LITTLE GROVE</v>
          </cell>
          <cell r="S1472" t="str">
            <v>6330</v>
          </cell>
        </row>
        <row r="1473">
          <cell r="B1473" t="str">
            <v>S7010591</v>
          </cell>
          <cell r="C1473" t="str">
            <v>SPS LANCASTER RD MCKAIL</v>
          </cell>
          <cell r="D1473" t="str">
            <v>A- actual</v>
          </cell>
          <cell r="E1473" t="str">
            <v>PS- pump station</v>
          </cell>
          <cell r="F1473" t="str">
            <v>LANCASTER ROAD</v>
          </cell>
          <cell r="G1473" t="str">
            <v>33</v>
          </cell>
          <cell r="H1473" t="str">
            <v>W- water corporation</v>
          </cell>
          <cell r="J1473" t="str">
            <v>20080101</v>
          </cell>
          <cell r="K1473" t="str">
            <v>117.84272005</v>
          </cell>
          <cell r="L1473" t="str">
            <v>-34.98538125</v>
          </cell>
          <cell r="M1473" t="str">
            <v>H</v>
          </cell>
          <cell r="N1473" t="str">
            <v>91</v>
          </cell>
          <cell r="O1473" t="str">
            <v>LANCASTER</v>
          </cell>
          <cell r="P1473" t="str">
            <v>RD</v>
          </cell>
          <cell r="R1473" t="str">
            <v>MCKAIL</v>
          </cell>
          <cell r="S1473" t="str">
            <v>6330</v>
          </cell>
        </row>
        <row r="1474">
          <cell r="B1474" t="str">
            <v>S0037884</v>
          </cell>
          <cell r="C1474" t="str">
            <v>SPS WHITEHILL DRUMMOND COVE</v>
          </cell>
          <cell r="D1474" t="str">
            <v>A- actual</v>
          </cell>
          <cell r="E1474" t="str">
            <v>PS- pump station</v>
          </cell>
          <cell r="F1474" t="str">
            <v>WHITEHILL RD</v>
          </cell>
          <cell r="G1474" t="str">
            <v>w15</v>
          </cell>
          <cell r="H1474" t="str">
            <v>W- water corporation</v>
          </cell>
          <cell r="J1474" t="str">
            <v>20080401</v>
          </cell>
          <cell r="K1474" t="str">
            <v>114.612387026</v>
          </cell>
          <cell r="L1474" t="str">
            <v>-28.6754829494</v>
          </cell>
          <cell r="M1474" t="str">
            <v>L</v>
          </cell>
          <cell r="N1474" t="str">
            <v>700</v>
          </cell>
          <cell r="O1474" t="str">
            <v>WHITEHILL</v>
          </cell>
          <cell r="P1474" t="str">
            <v>RD</v>
          </cell>
          <cell r="R1474" t="str">
            <v>DRUMMOND COVE</v>
          </cell>
          <cell r="S1474" t="str">
            <v>6532</v>
          </cell>
        </row>
        <row r="1475">
          <cell r="B1475" t="str">
            <v>S7010422</v>
          </cell>
          <cell r="C1475" t="str">
            <v>SPS NEWTON ST ROBINSON</v>
          </cell>
          <cell r="D1475" t="str">
            <v>A- actual</v>
          </cell>
          <cell r="E1475" t="str">
            <v>PS- pump station</v>
          </cell>
          <cell r="F1475" t="str">
            <v>NEWTON ST</v>
          </cell>
          <cell r="G1475" t="str">
            <v>32</v>
          </cell>
          <cell r="H1475" t="str">
            <v>W- water corporation</v>
          </cell>
          <cell r="J1475" t="str">
            <v>20080301</v>
          </cell>
          <cell r="K1475" t="str">
            <v>117.843399948</v>
          </cell>
          <cell r="L1475" t="str">
            <v>-35.022629121</v>
          </cell>
          <cell r="M1475" t="str">
            <v>L</v>
          </cell>
          <cell r="N1475" t="str">
            <v>128</v>
          </cell>
          <cell r="O1475" t="str">
            <v>NEWTON</v>
          </cell>
          <cell r="P1475" t="str">
            <v>ST</v>
          </cell>
          <cell r="R1475" t="str">
            <v>ROBINSON</v>
          </cell>
          <cell r="S1475" t="str">
            <v>6330</v>
          </cell>
        </row>
        <row r="1476">
          <cell r="B1476" t="str">
            <v>S2019212</v>
          </cell>
          <cell r="C1476" t="str">
            <v>SPS FARMANER PWY ELLENBROOK</v>
          </cell>
          <cell r="D1476" t="str">
            <v>A- actual</v>
          </cell>
          <cell r="E1476" t="str">
            <v>PS- pump station</v>
          </cell>
          <cell r="F1476" t="str">
            <v>FARMANER PARKWAY</v>
          </cell>
          <cell r="G1476" t="str">
            <v>176-05</v>
          </cell>
          <cell r="H1476" t="str">
            <v>W- water corporation</v>
          </cell>
          <cell r="J1476" t="str">
            <v>20080507</v>
          </cell>
          <cell r="K1476" t="str">
            <v>115.97498163</v>
          </cell>
          <cell r="L1476" t="str">
            <v>-31.7618917</v>
          </cell>
          <cell r="M1476" t="str">
            <v>H</v>
          </cell>
          <cell r="N1476" t="str">
            <v>119</v>
          </cell>
          <cell r="O1476" t="str">
            <v>FARMANER</v>
          </cell>
          <cell r="P1476" t="str">
            <v>PWY</v>
          </cell>
          <cell r="R1476" t="str">
            <v>ELLENBROOK</v>
          </cell>
          <cell r="S1476" t="str">
            <v>6069</v>
          </cell>
        </row>
        <row r="1477">
          <cell r="B1477" t="str">
            <v>S2018321</v>
          </cell>
          <cell r="C1477" t="str">
            <v>SPS YANCHEP BEACH RD YANCHEP</v>
          </cell>
          <cell r="D1477" t="str">
            <v>A- actual</v>
          </cell>
          <cell r="E1477" t="str">
            <v>PS- pump station</v>
          </cell>
          <cell r="F1477" t="str">
            <v>YANCHEP BEACH ROAD</v>
          </cell>
          <cell r="G1477" t="str">
            <v>083-03</v>
          </cell>
          <cell r="H1477" t="str">
            <v>W- water corporation</v>
          </cell>
          <cell r="J1477" t="str">
            <v>20080204</v>
          </cell>
          <cell r="K1477" t="str">
            <v>115.63096673</v>
          </cell>
          <cell r="L1477" t="str">
            <v>-31.5461122</v>
          </cell>
          <cell r="M1477" t="str">
            <v>H</v>
          </cell>
          <cell r="N1477" t="str">
            <v>24</v>
          </cell>
          <cell r="O1477" t="str">
            <v>YANCHEP BEACH</v>
          </cell>
          <cell r="P1477" t="str">
            <v>RD</v>
          </cell>
          <cell r="R1477" t="str">
            <v>YANCHEP</v>
          </cell>
          <cell r="S1477" t="str">
            <v>6035</v>
          </cell>
        </row>
        <row r="1478">
          <cell r="B1478" t="str">
            <v>S2019064</v>
          </cell>
          <cell r="C1478" t="str">
            <v>SPS BEACHHAVEN DR YANCHEP</v>
          </cell>
          <cell r="D1478" t="str">
            <v>A- actual</v>
          </cell>
          <cell r="E1478" t="str">
            <v>PS- pump station</v>
          </cell>
          <cell r="F1478" t="str">
            <v>BEACHHAVEN DRIVE</v>
          </cell>
          <cell r="G1478" t="str">
            <v>083-04</v>
          </cell>
          <cell r="H1478" t="str">
            <v>W- water corporation</v>
          </cell>
          <cell r="J1478" t="str">
            <v>20080404</v>
          </cell>
          <cell r="K1478" t="str">
            <v>115.624132285</v>
          </cell>
          <cell r="L1478" t="str">
            <v>-31.5449882649</v>
          </cell>
          <cell r="M1478" t="str">
            <v>H</v>
          </cell>
          <cell r="N1478" t="str">
            <v>67</v>
          </cell>
          <cell r="O1478" t="str">
            <v>BEACHHAVEN</v>
          </cell>
          <cell r="P1478" t="str">
            <v>DR</v>
          </cell>
          <cell r="R1478" t="str">
            <v>YANCHEP</v>
          </cell>
          <cell r="S1478" t="str">
            <v>6035</v>
          </cell>
        </row>
        <row r="1479">
          <cell r="D1479" t="str">
            <v>A- actual</v>
          </cell>
          <cell r="E1479" t="str">
            <v>PS- pump station</v>
          </cell>
          <cell r="F1479" t="str">
            <v>LOT 340 CADIZ ST</v>
          </cell>
          <cell r="H1479" t="str">
            <v>P- private</v>
          </cell>
          <cell r="J1479" t="str">
            <v>20080510</v>
          </cell>
          <cell r="K1479" t="str">
            <v>115.067680702</v>
          </cell>
          <cell r="L1479" t="str">
            <v>-30.501314027</v>
          </cell>
          <cell r="M1479" t="str">
            <v>H</v>
          </cell>
          <cell r="N1479" t="str">
            <v>10</v>
          </cell>
          <cell r="O1479" t="str">
            <v>CADIZ</v>
          </cell>
          <cell r="P1479" t="str">
            <v>ST</v>
          </cell>
          <cell r="R1479" t="str">
            <v>CERVANTES</v>
          </cell>
          <cell r="S1479" t="str">
            <v>6511</v>
          </cell>
        </row>
        <row r="1480">
          <cell r="D1480" t="str">
            <v>A- actual</v>
          </cell>
          <cell r="E1480" t="str">
            <v>PS- pump station</v>
          </cell>
          <cell r="F1480" t="str">
            <v>LOT 227 CADIZ ST</v>
          </cell>
          <cell r="H1480" t="str">
            <v>P- private</v>
          </cell>
          <cell r="J1480" t="str">
            <v>20080510</v>
          </cell>
          <cell r="K1480" t="str">
            <v>115.069676709</v>
          </cell>
          <cell r="L1480" t="str">
            <v>-30.50086056</v>
          </cell>
          <cell r="M1480" t="str">
            <v>H</v>
          </cell>
          <cell r="N1480" t="str">
            <v>7</v>
          </cell>
          <cell r="O1480" t="str">
            <v>ARAGON</v>
          </cell>
          <cell r="P1480" t="str">
            <v>ST</v>
          </cell>
          <cell r="R1480" t="str">
            <v>CERVANTES</v>
          </cell>
          <cell r="S1480" t="str">
            <v>6511</v>
          </cell>
        </row>
        <row r="1481">
          <cell r="D1481" t="str">
            <v>A- actual</v>
          </cell>
          <cell r="E1481" t="str">
            <v>PS- pump station</v>
          </cell>
          <cell r="F1481" t="str">
            <v>LOT 219 CADIZ ST</v>
          </cell>
          <cell r="H1481" t="str">
            <v>P- private</v>
          </cell>
          <cell r="J1481" t="str">
            <v>20080510</v>
          </cell>
          <cell r="K1481" t="str">
            <v>115.068639433</v>
          </cell>
          <cell r="L1481" t="str">
            <v>-30.501032111</v>
          </cell>
          <cell r="M1481" t="str">
            <v>H</v>
          </cell>
          <cell r="N1481" t="str">
            <v>1</v>
          </cell>
          <cell r="O1481" t="str">
            <v>CADIZ</v>
          </cell>
          <cell r="P1481" t="str">
            <v>ST</v>
          </cell>
          <cell r="R1481" t="str">
            <v>CERVANTES</v>
          </cell>
          <cell r="S1481" t="str">
            <v>6511</v>
          </cell>
        </row>
        <row r="1482">
          <cell r="B1482" t="str">
            <v>S2018323</v>
          </cell>
          <cell r="C1482" t="str">
            <v>SPS SOLAR PASS BIBRA LAKE</v>
          </cell>
          <cell r="D1482" t="str">
            <v>A- actual</v>
          </cell>
          <cell r="E1482" t="str">
            <v>PS- pump station</v>
          </cell>
          <cell r="F1482" t="str">
            <v>SOLAR PASS</v>
          </cell>
          <cell r="G1482" t="str">
            <v>066-21</v>
          </cell>
          <cell r="H1482" t="str">
            <v>W- water corporation</v>
          </cell>
          <cell r="J1482" t="str">
            <v>20070702</v>
          </cell>
          <cell r="K1482" t="str">
            <v>115.81018545</v>
          </cell>
          <cell r="L1482" t="str">
            <v>-32.1046514</v>
          </cell>
          <cell r="M1482" t="str">
            <v>L</v>
          </cell>
          <cell r="N1482" t="str">
            <v>196</v>
          </cell>
          <cell r="O1482" t="str">
            <v>SOLAR</v>
          </cell>
          <cell r="P1482" t="str">
            <v>PASS</v>
          </cell>
          <cell r="R1482" t="str">
            <v>BIBRA LAKE</v>
          </cell>
          <cell r="S1482" t="str">
            <v>6163</v>
          </cell>
        </row>
        <row r="1483">
          <cell r="D1483" t="str">
            <v>A- actual</v>
          </cell>
          <cell r="E1483" t="str">
            <v>PS- pump station</v>
          </cell>
          <cell r="F1483" t="str">
            <v>LOT 102 SEWELL COURT</v>
          </cell>
          <cell r="H1483" t="str">
            <v>P- private</v>
          </cell>
          <cell r="J1483" t="str">
            <v>20080701</v>
          </cell>
          <cell r="K1483" t="str">
            <v>115.914731918</v>
          </cell>
          <cell r="L1483" t="str">
            <v>-31.8691884788</v>
          </cell>
          <cell r="M1483" t="str">
            <v>H</v>
          </cell>
          <cell r="N1483" t="str">
            <v>30</v>
          </cell>
          <cell r="O1483" t="str">
            <v>DELLA</v>
          </cell>
          <cell r="P1483" t="str">
            <v>RD</v>
          </cell>
          <cell r="R1483" t="str">
            <v>NORANDA</v>
          </cell>
          <cell r="S1483" t="str">
            <v>6062</v>
          </cell>
        </row>
        <row r="1484">
          <cell r="B1484" t="str">
            <v>S8009066</v>
          </cell>
          <cell r="C1484" t="str">
            <v>SPS ALBANY TCE AUGUSTA</v>
          </cell>
          <cell r="D1484" t="str">
            <v>A- actual</v>
          </cell>
          <cell r="E1484" t="str">
            <v>PS- pump station</v>
          </cell>
          <cell r="F1484" t="str">
            <v>ALBANY TERRACE</v>
          </cell>
          <cell r="G1484" t="str">
            <v>3</v>
          </cell>
          <cell r="H1484" t="str">
            <v>W- water corporation</v>
          </cell>
          <cell r="J1484" t="str">
            <v>20080301</v>
          </cell>
          <cell r="K1484" t="str">
            <v>115.169229734</v>
          </cell>
          <cell r="L1484" t="str">
            <v>-34.3300132745</v>
          </cell>
          <cell r="M1484" t="str">
            <v>L</v>
          </cell>
          <cell r="N1484" t="str">
            <v>497</v>
          </cell>
          <cell r="O1484" t="str">
            <v>ALBANY</v>
          </cell>
          <cell r="P1484" t="str">
            <v>TCE</v>
          </cell>
          <cell r="R1484" t="str">
            <v>AUGUSTA</v>
          </cell>
          <cell r="S1484" t="str">
            <v>6290</v>
          </cell>
        </row>
        <row r="1485">
          <cell r="D1485" t="str">
            <v>A- actual</v>
          </cell>
          <cell r="E1485" t="str">
            <v>PS- pump station</v>
          </cell>
          <cell r="F1485" t="str">
            <v>WHITFORDS BEACH SURF CLUB</v>
          </cell>
          <cell r="H1485" t="str">
            <v>P- private</v>
          </cell>
          <cell r="J1485" t="str">
            <v>19000101</v>
          </cell>
          <cell r="K1485" t="str">
            <v>115.731225655</v>
          </cell>
          <cell r="L1485" t="str">
            <v>-31.804263247</v>
          </cell>
          <cell r="M1485" t="str">
            <v>L</v>
          </cell>
          <cell r="N1485" t="str">
            <v>10789</v>
          </cell>
          <cell r="O1485" t="str">
            <v>WHITFORDS</v>
          </cell>
          <cell r="P1485" t="str">
            <v>AV</v>
          </cell>
          <cell r="R1485" t="str">
            <v>HILLARYS</v>
          </cell>
          <cell r="S1485" t="str">
            <v>6025</v>
          </cell>
        </row>
        <row r="1486">
          <cell r="D1486" t="str">
            <v>A- actual</v>
          </cell>
          <cell r="E1486" t="str">
            <v>PS- pump station</v>
          </cell>
          <cell r="F1486" t="str">
            <v>PRIVATE TAFE PEEL REGIONAL CAMPUS</v>
          </cell>
          <cell r="H1486" t="str">
            <v>P- private</v>
          </cell>
          <cell r="J1486" t="str">
            <v>20060530</v>
          </cell>
          <cell r="K1486" t="str">
            <v>115.754376675</v>
          </cell>
          <cell r="L1486" t="str">
            <v>-32.514720382</v>
          </cell>
          <cell r="M1486" t="str">
            <v>H</v>
          </cell>
          <cell r="N1486" t="str">
            <v>8</v>
          </cell>
          <cell r="O1486" t="str">
            <v>CARLETON</v>
          </cell>
          <cell r="P1486" t="str">
            <v>PL</v>
          </cell>
          <cell r="R1486" t="str">
            <v>GREENFIELDS</v>
          </cell>
          <cell r="S1486" t="str">
            <v>6210</v>
          </cell>
        </row>
        <row r="1487">
          <cell r="D1487" t="str">
            <v>A- actual</v>
          </cell>
          <cell r="E1487" t="str">
            <v>PS- pump station</v>
          </cell>
          <cell r="F1487" t="str">
            <v>SOUTHDOWN PL</v>
          </cell>
          <cell r="H1487" t="str">
            <v>P- private</v>
          </cell>
          <cell r="J1487" t="str">
            <v>19891005</v>
          </cell>
          <cell r="K1487" t="str">
            <v>115.954233572</v>
          </cell>
          <cell r="L1487" t="str">
            <v>-32.044050901</v>
          </cell>
          <cell r="M1487" t="str">
            <v>L</v>
          </cell>
          <cell r="N1487" t="str">
            <v>3214</v>
          </cell>
          <cell r="O1487" t="str">
            <v>CORRIEDALE</v>
          </cell>
          <cell r="P1487" t="str">
            <v>PL</v>
          </cell>
          <cell r="R1487" t="str">
            <v>THORNLIE</v>
          </cell>
          <cell r="S1487" t="str">
            <v>6108</v>
          </cell>
        </row>
        <row r="1488">
          <cell r="D1488" t="str">
            <v>N- not in use</v>
          </cell>
          <cell r="E1488" t="str">
            <v>PS- pump station</v>
          </cell>
          <cell r="F1488" t="str">
            <v>SERVICE STATION</v>
          </cell>
          <cell r="H1488" t="str">
            <v>W- water corporation</v>
          </cell>
          <cell r="J1488" t="str">
            <v>20020611</v>
          </cell>
          <cell r="K1488" t="str">
            <v>115.820718297</v>
          </cell>
          <cell r="L1488" t="str">
            <v>-32.3310286084</v>
          </cell>
          <cell r="M1488" t="str">
            <v>H</v>
          </cell>
          <cell r="N1488" t="str">
            <v>614</v>
          </cell>
          <cell r="O1488" t="str">
            <v>BALDIVIS</v>
          </cell>
          <cell r="P1488" t="str">
            <v>RD</v>
          </cell>
          <cell r="R1488" t="str">
            <v>BALDIVIS</v>
          </cell>
          <cell r="S1488" t="str">
            <v>6171</v>
          </cell>
        </row>
        <row r="1489">
          <cell r="D1489" t="str">
            <v>A- actual</v>
          </cell>
          <cell r="E1489" t="str">
            <v>PS- pump station</v>
          </cell>
          <cell r="F1489" t="str">
            <v>SANCTUARY WOODS EST</v>
          </cell>
          <cell r="H1489" t="str">
            <v>P- private</v>
          </cell>
          <cell r="J1489" t="str">
            <v>20060624</v>
          </cell>
          <cell r="K1489" t="str">
            <v>115.65112774</v>
          </cell>
          <cell r="L1489" t="str">
            <v>-32.59203923</v>
          </cell>
          <cell r="M1489" t="str">
            <v>H</v>
          </cell>
          <cell r="N1489" t="str">
            <v>24</v>
          </cell>
          <cell r="O1489" t="str">
            <v>ZAMIA</v>
          </cell>
          <cell r="P1489" t="str">
            <v>LOOP</v>
          </cell>
          <cell r="R1489" t="str">
            <v>WANNANUP</v>
          </cell>
          <cell r="S1489" t="str">
            <v>6210</v>
          </cell>
        </row>
        <row r="1490">
          <cell r="D1490" t="str">
            <v>N- not in use</v>
          </cell>
          <cell r="E1490" t="str">
            <v>PS- pump station</v>
          </cell>
          <cell r="F1490" t="str">
            <v>ST BRIGIDS TCE</v>
          </cell>
          <cell r="H1490" t="str">
            <v>W- water corporation</v>
          </cell>
          <cell r="J1490" t="str">
            <v>19730829</v>
          </cell>
          <cell r="K1490" t="str">
            <v>115.782947549</v>
          </cell>
          <cell r="L1490" t="str">
            <v>-31.8973564397</v>
          </cell>
          <cell r="M1490" t="str">
            <v>H</v>
          </cell>
          <cell r="N1490" t="str">
            <v>247</v>
          </cell>
          <cell r="O1490" t="str">
            <v>ST BRIGIDS</v>
          </cell>
          <cell r="P1490" t="str">
            <v>TCE</v>
          </cell>
          <cell r="R1490" t="str">
            <v>DOUBLEVIEW</v>
          </cell>
          <cell r="S1490" t="str">
            <v>6018</v>
          </cell>
        </row>
        <row r="1491">
          <cell r="D1491" t="str">
            <v>D- dead</v>
          </cell>
          <cell r="E1491" t="str">
            <v>PS- pump station</v>
          </cell>
          <cell r="F1491" t="str">
            <v>RED HILL</v>
          </cell>
          <cell r="H1491" t="str">
            <v>P- private</v>
          </cell>
          <cell r="J1491" t="str">
            <v>19000101</v>
          </cell>
          <cell r="K1491" t="str">
            <v>127.663085531</v>
          </cell>
          <cell r="L1491" t="str">
            <v>-18.2120329451</v>
          </cell>
          <cell r="M1491" t="str">
            <v>H</v>
          </cell>
          <cell r="N1491" t="str">
            <v>205</v>
          </cell>
          <cell r="O1491" t="str">
            <v>MARDIWAH</v>
          </cell>
          <cell r="P1491" t="str">
            <v>LOOP</v>
          </cell>
          <cell r="R1491" t="str">
            <v>HALLS CREEK</v>
          </cell>
          <cell r="S1491" t="str">
            <v>6770</v>
          </cell>
        </row>
        <row r="1492">
          <cell r="D1492" t="str">
            <v>A- actual</v>
          </cell>
          <cell r="E1492" t="str">
            <v>PS- pump station</v>
          </cell>
          <cell r="F1492" t="str">
            <v>PERTH AIRPORT INDUSTRIAL AREA</v>
          </cell>
          <cell r="H1492" t="str">
            <v>P- private</v>
          </cell>
          <cell r="J1492" t="str">
            <v>19881201</v>
          </cell>
          <cell r="K1492" t="str">
            <v>115.965128083</v>
          </cell>
          <cell r="L1492" t="str">
            <v>-31.9662658121</v>
          </cell>
          <cell r="M1492" t="str">
            <v>H</v>
          </cell>
          <cell r="N1492" t="str">
            <v>19</v>
          </cell>
          <cell r="O1492" t="str">
            <v>SEARLE</v>
          </cell>
          <cell r="P1492" t="str">
            <v>RD</v>
          </cell>
          <cell r="R1492" t="str">
            <v>PERTH AIRPORT</v>
          </cell>
          <cell r="S1492" t="str">
            <v>6105</v>
          </cell>
        </row>
        <row r="1493">
          <cell r="D1493" t="str">
            <v>A- actual</v>
          </cell>
          <cell r="E1493" t="str">
            <v>PS- pump station</v>
          </cell>
          <cell r="F1493" t="str">
            <v>PERTH AIRPORT CONTROL TOWER</v>
          </cell>
          <cell r="H1493" t="str">
            <v>P- private</v>
          </cell>
          <cell r="J1493" t="str">
            <v>19881201</v>
          </cell>
          <cell r="K1493" t="str">
            <v>115.975900833</v>
          </cell>
          <cell r="L1493" t="str">
            <v>-31.945970597</v>
          </cell>
          <cell r="M1493" t="str">
            <v>H</v>
          </cell>
          <cell r="N1493" t="str">
            <v>41</v>
          </cell>
          <cell r="O1493" t="str">
            <v>AFFLECK</v>
          </cell>
          <cell r="P1493" t="str">
            <v>RD</v>
          </cell>
          <cell r="R1493" t="str">
            <v>PERTH AIRPORT</v>
          </cell>
          <cell r="S1493" t="str">
            <v>6105</v>
          </cell>
        </row>
        <row r="1494">
          <cell r="D1494" t="str">
            <v>N- not in use</v>
          </cell>
          <cell r="E1494" t="str">
            <v>PS- pump station</v>
          </cell>
          <cell r="F1494" t="str">
            <v>OATLANDS RD</v>
          </cell>
          <cell r="H1494" t="str">
            <v>P- private</v>
          </cell>
          <cell r="J1494" t="str">
            <v>19000101</v>
          </cell>
          <cell r="K1494" t="str">
            <v>117.667448859</v>
          </cell>
          <cell r="L1494" t="str">
            <v>-34.6309495569</v>
          </cell>
          <cell r="M1494" t="str">
            <v>H</v>
          </cell>
          <cell r="N1494" t="str">
            <v>9</v>
          </cell>
          <cell r="O1494" t="str">
            <v>OATLANDS</v>
          </cell>
          <cell r="P1494" t="str">
            <v>RD</v>
          </cell>
          <cell r="R1494" t="str">
            <v>MOUNT BARKER</v>
          </cell>
          <cell r="S1494" t="str">
            <v>6324</v>
          </cell>
        </row>
        <row r="1495">
          <cell r="D1495" t="str">
            <v>N- not in use</v>
          </cell>
          <cell r="E1495" t="str">
            <v>PS- pump station</v>
          </cell>
          <cell r="F1495" t="str">
            <v>LOT 16 FIRST AVE</v>
          </cell>
          <cell r="H1495" t="str">
            <v>P- private</v>
          </cell>
          <cell r="J1495" t="str">
            <v>19000101</v>
          </cell>
          <cell r="K1495" t="str">
            <v>115.99271779</v>
          </cell>
          <cell r="L1495" t="str">
            <v>-31.88954225</v>
          </cell>
          <cell r="M1495" t="str">
            <v>H</v>
          </cell>
          <cell r="N1495" t="str">
            <v>19</v>
          </cell>
          <cell r="O1495" t="str">
            <v>BAYLEY</v>
          </cell>
          <cell r="P1495" t="str">
            <v>ST</v>
          </cell>
          <cell r="R1495" t="str">
            <v>WOODBRIDGE</v>
          </cell>
          <cell r="S1495" t="str">
            <v>6056</v>
          </cell>
        </row>
        <row r="1496">
          <cell r="D1496" t="str">
            <v>A- actual</v>
          </cell>
          <cell r="E1496" t="str">
            <v>PS- pump station</v>
          </cell>
          <cell r="F1496" t="str">
            <v>KONA CARAVAN PARK</v>
          </cell>
          <cell r="H1496" t="str">
            <v>P- private</v>
          </cell>
          <cell r="J1496" t="str">
            <v>19000101</v>
          </cell>
          <cell r="K1496" t="str">
            <v>128.720224634</v>
          </cell>
          <cell r="L1496" t="str">
            <v>-15.791692865</v>
          </cell>
          <cell r="M1496" t="str">
            <v>L</v>
          </cell>
          <cell r="N1496" t="str">
            <v>439</v>
          </cell>
          <cell r="O1496" t="str">
            <v>VICTORIA</v>
          </cell>
          <cell r="P1496" t="str">
            <v>HWY</v>
          </cell>
          <cell r="R1496" t="str">
            <v>KUNUNURRA</v>
          </cell>
          <cell r="S1496" t="str">
            <v>6743</v>
          </cell>
        </row>
        <row r="1497">
          <cell r="D1497" t="str">
            <v>A- actual</v>
          </cell>
          <cell r="E1497" t="str">
            <v>PS- pump station</v>
          </cell>
          <cell r="F1497" t="str">
            <v>KEWDALE FREIGHT TERMINAL</v>
          </cell>
          <cell r="H1497" t="str">
            <v>P- private</v>
          </cell>
          <cell r="J1497" t="str">
            <v>19840104</v>
          </cell>
          <cell r="K1497" t="str">
            <v>115.944473521</v>
          </cell>
          <cell r="L1497" t="str">
            <v>-31.9804194247</v>
          </cell>
          <cell r="M1497" t="str">
            <v>H</v>
          </cell>
          <cell r="N1497" t="str">
            <v>3</v>
          </cell>
          <cell r="O1497" t="str">
            <v>MILES</v>
          </cell>
          <cell r="P1497" t="str">
            <v>RD</v>
          </cell>
          <cell r="R1497" t="str">
            <v>KEWDALE</v>
          </cell>
          <cell r="S1497" t="str">
            <v>6105</v>
          </cell>
        </row>
        <row r="1498">
          <cell r="D1498" t="str">
            <v>A- actual</v>
          </cell>
          <cell r="E1498" t="str">
            <v>PS- pump station</v>
          </cell>
          <cell r="F1498" t="str">
            <v>KARRATHA COUNTRY CLUB</v>
          </cell>
          <cell r="H1498" t="str">
            <v>P- private</v>
          </cell>
          <cell r="J1498" t="str">
            <v>19910207</v>
          </cell>
          <cell r="K1498" t="str">
            <v>116.850200397</v>
          </cell>
          <cell r="L1498" t="str">
            <v>-20.725407005</v>
          </cell>
          <cell r="M1498" t="str">
            <v>H</v>
          </cell>
          <cell r="N1498" t="str">
            <v>4202</v>
          </cell>
          <cell r="O1498" t="str">
            <v>SEARIPPLE</v>
          </cell>
          <cell r="P1498" t="str">
            <v>RD</v>
          </cell>
          <cell r="R1498" t="str">
            <v>BULGARRA</v>
          </cell>
          <cell r="S1498" t="str">
            <v>6714</v>
          </cell>
        </row>
        <row r="1499">
          <cell r="D1499" t="str">
            <v>A- actual</v>
          </cell>
          <cell r="E1499" t="str">
            <v>PS- pump station</v>
          </cell>
          <cell r="F1499" t="str">
            <v>IRIS LITIS SCHOOL</v>
          </cell>
          <cell r="H1499" t="str">
            <v>P- private</v>
          </cell>
          <cell r="J1499" t="str">
            <v>19700101</v>
          </cell>
          <cell r="K1499" t="str">
            <v>117.717913711</v>
          </cell>
          <cell r="L1499" t="str">
            <v>-31.625051529</v>
          </cell>
          <cell r="M1499" t="str">
            <v>H</v>
          </cell>
          <cell r="N1499" t="str">
            <v>40</v>
          </cell>
          <cell r="O1499" t="str">
            <v>MOORE</v>
          </cell>
          <cell r="P1499" t="str">
            <v>ST</v>
          </cell>
          <cell r="R1499" t="str">
            <v>KELLERBERRIN</v>
          </cell>
          <cell r="S1499" t="str">
            <v>6410</v>
          </cell>
        </row>
        <row r="1500">
          <cell r="D1500" t="str">
            <v>N- not in use</v>
          </cell>
          <cell r="E1500" t="str">
            <v>PS- pump station</v>
          </cell>
          <cell r="H1500" t="str">
            <v>P- private</v>
          </cell>
          <cell r="J1500" t="str">
            <v>19650823</v>
          </cell>
          <cell r="K1500" t="str">
            <v>115.921867509</v>
          </cell>
          <cell r="L1500" t="str">
            <v>-31.977418852</v>
          </cell>
          <cell r="M1500" t="str">
            <v>H</v>
          </cell>
          <cell r="N1500" t="str">
            <v>26</v>
          </cell>
          <cell r="O1500" t="str">
            <v>SOLAR</v>
          </cell>
          <cell r="P1500" t="str">
            <v>WAY</v>
          </cell>
          <cell r="R1500" t="str">
            <v>CARLISLE</v>
          </cell>
          <cell r="S1500" t="str">
            <v>6101</v>
          </cell>
        </row>
        <row r="1501">
          <cell r="D1501" t="str">
            <v>A- actual</v>
          </cell>
          <cell r="E1501" t="str">
            <v>PS- pump station</v>
          </cell>
          <cell r="F1501" t="str">
            <v>HOME OF PEACE</v>
          </cell>
          <cell r="H1501" t="str">
            <v>P- private</v>
          </cell>
          <cell r="J1501" t="str">
            <v>19720204</v>
          </cell>
          <cell r="K1501" t="str">
            <v>115.878447159</v>
          </cell>
          <cell r="L1501" t="str">
            <v>-31.9121735453</v>
          </cell>
          <cell r="M1501" t="str">
            <v>H</v>
          </cell>
          <cell r="N1501" t="str">
            <v>127</v>
          </cell>
          <cell r="O1501" t="str">
            <v>DUNDAS</v>
          </cell>
          <cell r="P1501" t="str">
            <v>RD</v>
          </cell>
          <cell r="R1501" t="str">
            <v>INGLEWOOD</v>
          </cell>
          <cell r="S1501" t="str">
            <v>6052</v>
          </cell>
        </row>
        <row r="1502">
          <cell r="D1502" t="str">
            <v>N- not in use</v>
          </cell>
          <cell r="E1502" t="str">
            <v>PS- pump station</v>
          </cell>
          <cell r="F1502" t="str">
            <v>HMAS LEEUWIN</v>
          </cell>
          <cell r="H1502" t="str">
            <v>W- water corporation</v>
          </cell>
          <cell r="J1502" t="str">
            <v>19420302</v>
          </cell>
          <cell r="K1502" t="str">
            <v>115.764809293</v>
          </cell>
          <cell r="L1502" t="str">
            <v>-32.028885355</v>
          </cell>
          <cell r="M1502" t="str">
            <v>L</v>
          </cell>
          <cell r="N1502" t="str">
            <v>4785</v>
          </cell>
          <cell r="O1502" t="str">
            <v>RIVERSIDE</v>
          </cell>
          <cell r="P1502" t="str">
            <v>RD</v>
          </cell>
          <cell r="R1502" t="str">
            <v>EAST FREMANTLE</v>
          </cell>
          <cell r="S1502" t="str">
            <v>6158</v>
          </cell>
        </row>
        <row r="1503">
          <cell r="B1503" t="str">
            <v>S2018423</v>
          </cell>
          <cell r="C1503" t="str">
            <v>SPS THE ESPLANADE SCARBOROUGH</v>
          </cell>
          <cell r="D1503" t="str">
            <v>A- actual</v>
          </cell>
          <cell r="E1503" t="str">
            <v>PS- pump station</v>
          </cell>
          <cell r="F1503" t="str">
            <v>THE ESPLANADE</v>
          </cell>
          <cell r="G1503" t="str">
            <v>4</v>
          </cell>
          <cell r="H1503" t="str">
            <v>W- water corporation</v>
          </cell>
          <cell r="J1503" t="str">
            <v>20070501</v>
          </cell>
          <cell r="K1503" t="str">
            <v>115.757029648</v>
          </cell>
          <cell r="L1503" t="str">
            <v>-31.8999393998</v>
          </cell>
          <cell r="M1503" t="str">
            <v>H</v>
          </cell>
          <cell r="N1503" t="str">
            <v>211</v>
          </cell>
          <cell r="O1503" t="str">
            <v>THE ESPLANADE</v>
          </cell>
          <cell r="R1503" t="str">
            <v>SCARBOROUGH</v>
          </cell>
          <cell r="S1503" t="str">
            <v>6019</v>
          </cell>
        </row>
        <row r="1504">
          <cell r="B1504" t="str">
            <v>S0025514</v>
          </cell>
          <cell r="C1504" t="str">
            <v>SPS 2 ROBINSON ST BROOME</v>
          </cell>
          <cell r="D1504" t="str">
            <v>A- actual</v>
          </cell>
          <cell r="E1504" t="str">
            <v>PS- pump station</v>
          </cell>
          <cell r="F1504" t="str">
            <v>ROBINSON ST</v>
          </cell>
          <cell r="G1504" t="str">
            <v>2</v>
          </cell>
          <cell r="H1504" t="str">
            <v>W- water corporation</v>
          </cell>
          <cell r="J1504" t="str">
            <v>20061009</v>
          </cell>
          <cell r="K1504" t="str">
            <v>122.236267289</v>
          </cell>
          <cell r="L1504" t="str">
            <v>-17.9684989083</v>
          </cell>
          <cell r="M1504" t="str">
            <v>H</v>
          </cell>
          <cell r="N1504" t="str">
            <v>73</v>
          </cell>
          <cell r="O1504" t="str">
            <v>ROBINSON</v>
          </cell>
          <cell r="P1504" t="str">
            <v>ST</v>
          </cell>
          <cell r="R1504" t="str">
            <v>BROOME</v>
          </cell>
          <cell r="S1504" t="str">
            <v>6725</v>
          </cell>
        </row>
        <row r="1505">
          <cell r="B1505" t="str">
            <v>S0044948</v>
          </cell>
          <cell r="C1505" t="str">
            <v>SPS REUSE SOUTH WEST HWY WWTP PEMBERTON</v>
          </cell>
          <cell r="D1505" t="str">
            <v>A- actual</v>
          </cell>
          <cell r="E1505" t="str">
            <v>EPS- effluent re-use pump station</v>
          </cell>
          <cell r="F1505" t="str">
            <v>PEMBERTON</v>
          </cell>
          <cell r="H1505" t="str">
            <v>W- water corporation</v>
          </cell>
          <cell r="J1505" t="str">
            <v>20040101</v>
          </cell>
          <cell r="K1505" t="str">
            <v>116.02014403</v>
          </cell>
          <cell r="L1505" t="str">
            <v>-34.4519820927</v>
          </cell>
          <cell r="M1505" t="str">
            <v>H</v>
          </cell>
          <cell r="N1505" t="str">
            <v>13285</v>
          </cell>
          <cell r="O1505" t="str">
            <v>VASSE</v>
          </cell>
          <cell r="P1505" t="str">
            <v>HWY</v>
          </cell>
          <cell r="R1505" t="str">
            <v>CHANNYBEARUP</v>
          </cell>
          <cell r="S1505" t="str">
            <v>6260</v>
          </cell>
        </row>
        <row r="1506">
          <cell r="B1506" t="str">
            <v>S2003414</v>
          </cell>
          <cell r="C1506" t="str">
            <v>SPS MCNEILL RD CHAMPION LAKES</v>
          </cell>
          <cell r="D1506" t="str">
            <v>A- actual</v>
          </cell>
          <cell r="E1506" t="str">
            <v>PS- pump station</v>
          </cell>
          <cell r="F1506" t="str">
            <v>MCNEILL RD</v>
          </cell>
          <cell r="G1506" t="str">
            <v>6</v>
          </cell>
          <cell r="H1506" t="str">
            <v>W- water corporation</v>
          </cell>
          <cell r="J1506" t="str">
            <v>20080501</v>
          </cell>
          <cell r="K1506" t="str">
            <v>115.98155321</v>
          </cell>
          <cell r="L1506" t="str">
            <v>-32.12897827</v>
          </cell>
          <cell r="M1506" t="str">
            <v>L</v>
          </cell>
          <cell r="N1506" t="str">
            <v>4994</v>
          </cell>
          <cell r="O1506" t="str">
            <v>MCNEILL</v>
          </cell>
          <cell r="P1506" t="str">
            <v>RD</v>
          </cell>
          <cell r="R1506" t="str">
            <v>CHAMPION LAKES</v>
          </cell>
          <cell r="S1506" t="str">
            <v>6111</v>
          </cell>
        </row>
        <row r="1507">
          <cell r="B1507" t="str">
            <v>S2018310</v>
          </cell>
          <cell r="C1507" t="str">
            <v>SPS WANNEROO RD WANNEROO</v>
          </cell>
          <cell r="D1507" t="str">
            <v>A- actual</v>
          </cell>
          <cell r="E1507" t="str">
            <v>PS- pump station</v>
          </cell>
          <cell r="F1507" t="str">
            <v>WANNEROO ROAD</v>
          </cell>
          <cell r="G1507" t="str">
            <v>160-03</v>
          </cell>
          <cell r="H1507" t="str">
            <v>W- water corporation</v>
          </cell>
          <cell r="J1507" t="str">
            <v>20080624</v>
          </cell>
          <cell r="K1507" t="str">
            <v>115.782562976</v>
          </cell>
          <cell r="L1507" t="str">
            <v>-31.7200524119</v>
          </cell>
          <cell r="M1507" t="str">
            <v>H</v>
          </cell>
          <cell r="N1507" t="str">
            <v>1369</v>
          </cell>
          <cell r="O1507" t="str">
            <v>WANNEROO</v>
          </cell>
          <cell r="P1507" t="str">
            <v>RD</v>
          </cell>
          <cell r="R1507" t="str">
            <v>WANNEROO</v>
          </cell>
          <cell r="S1507" t="str">
            <v>6065</v>
          </cell>
        </row>
        <row r="1508">
          <cell r="D1508" t="str">
            <v>A- actual</v>
          </cell>
          <cell r="E1508" t="str">
            <v>PS- pump station</v>
          </cell>
          <cell r="G1508" t="str">
            <v>3</v>
          </cell>
          <cell r="H1508" t="str">
            <v>P- private</v>
          </cell>
          <cell r="J1508" t="str">
            <v>20010801</v>
          </cell>
          <cell r="K1508" t="str">
            <v>105.674529662</v>
          </cell>
          <cell r="L1508" t="str">
            <v>-10.4164340789</v>
          </cell>
          <cell r="M1508" t="str">
            <v>H</v>
          </cell>
          <cell r="N1508" t="str">
            <v>55</v>
          </cell>
          <cell r="O1508" t="str">
            <v>GAZE</v>
          </cell>
          <cell r="P1508" t="str">
            <v>RD</v>
          </cell>
          <cell r="R1508" t="str">
            <v>CHRISTMAS ISLAND</v>
          </cell>
          <cell r="S1508" t="str">
            <v>6798</v>
          </cell>
        </row>
        <row r="1509">
          <cell r="D1509" t="str">
            <v>A- actual</v>
          </cell>
          <cell r="E1509" t="str">
            <v>PS- pump station</v>
          </cell>
          <cell r="G1509" t="str">
            <v>2</v>
          </cell>
          <cell r="H1509" t="str">
            <v>P- private</v>
          </cell>
          <cell r="J1509" t="str">
            <v>20010801</v>
          </cell>
          <cell r="K1509" t="str">
            <v>105.680355364</v>
          </cell>
          <cell r="L1509" t="str">
            <v>-10.416377707</v>
          </cell>
          <cell r="M1509" t="str">
            <v>H</v>
          </cell>
          <cell r="N1509" t="str">
            <v>2</v>
          </cell>
          <cell r="O1509" t="str">
            <v>COCONUT</v>
          </cell>
          <cell r="P1509" t="str">
            <v>GR</v>
          </cell>
          <cell r="R1509" t="str">
            <v>CHRISTMAS ISLAND</v>
          </cell>
          <cell r="S1509" t="str">
            <v>6798</v>
          </cell>
        </row>
        <row r="1510">
          <cell r="B1510" t="str">
            <v>S2019810</v>
          </cell>
          <cell r="C1510" t="str">
            <v>SPS THE EMBANKMENT HAZELMERE</v>
          </cell>
          <cell r="D1510" t="str">
            <v>A- actual</v>
          </cell>
          <cell r="E1510" t="str">
            <v>PS- pump station</v>
          </cell>
          <cell r="F1510" t="str">
            <v>THE EMBANKMENT</v>
          </cell>
          <cell r="G1510" t="str">
            <v>033-01</v>
          </cell>
          <cell r="H1510" t="str">
            <v>W- water corporation</v>
          </cell>
          <cell r="J1510" t="str">
            <v>20080801</v>
          </cell>
          <cell r="K1510" t="str">
            <v>115.98226551</v>
          </cell>
          <cell r="L1510" t="str">
            <v>-31.90350019</v>
          </cell>
          <cell r="M1510" t="str">
            <v>H</v>
          </cell>
          <cell r="N1510" t="str">
            <v>43</v>
          </cell>
          <cell r="O1510" t="str">
            <v>PARKFARM</v>
          </cell>
          <cell r="P1510" t="str">
            <v>DR</v>
          </cell>
          <cell r="R1510" t="str">
            <v>SOUTH GUILDFORD</v>
          </cell>
          <cell r="S1510" t="str">
            <v>6055</v>
          </cell>
        </row>
        <row r="1511">
          <cell r="B1511" t="str">
            <v>S8000470</v>
          </cell>
          <cell r="C1511" t="str">
            <v>SPS REUSE POZZI RD DINGUP</v>
          </cell>
          <cell r="D1511" t="str">
            <v>A- actual</v>
          </cell>
          <cell r="E1511" t="str">
            <v>EPS- effluent re-use pump station</v>
          </cell>
          <cell r="F1511" t="str">
            <v>MANJIMUP TREE FARM</v>
          </cell>
          <cell r="H1511" t="str">
            <v>W- water corporation</v>
          </cell>
          <cell r="J1511" t="str">
            <v>20010101</v>
          </cell>
          <cell r="K1511" t="str">
            <v>116.23550363</v>
          </cell>
          <cell r="L1511" t="str">
            <v>-34.285683349</v>
          </cell>
          <cell r="M1511" t="str">
            <v>H</v>
          </cell>
          <cell r="N1511" t="str">
            <v>264</v>
          </cell>
          <cell r="O1511" t="str">
            <v>POZZI</v>
          </cell>
          <cell r="P1511" t="str">
            <v>RD</v>
          </cell>
          <cell r="R1511" t="str">
            <v>DINGUP</v>
          </cell>
          <cell r="S1511" t="str">
            <v>6258</v>
          </cell>
        </row>
        <row r="1512">
          <cell r="B1512" t="str">
            <v>S8002790</v>
          </cell>
          <cell r="C1512" t="str">
            <v>SRS REUSE WWTP 2 MARGARET RIVER</v>
          </cell>
          <cell r="D1512" t="str">
            <v>A- actual</v>
          </cell>
          <cell r="E1512" t="str">
            <v>EPS- effluent re-use pump station</v>
          </cell>
          <cell r="F1512" t="str">
            <v>IRRIGATION</v>
          </cell>
          <cell r="H1512" t="str">
            <v>W- water corporation</v>
          </cell>
          <cell r="J1512" t="str">
            <v>20020101</v>
          </cell>
          <cell r="K1512" t="str">
            <v>115.078324957</v>
          </cell>
          <cell r="L1512" t="str">
            <v>-33.929762481</v>
          </cell>
          <cell r="M1512" t="str">
            <v>L</v>
          </cell>
          <cell r="N1512" t="str">
            <v>4984</v>
          </cell>
          <cell r="O1512" t="str">
            <v>BUSSELL</v>
          </cell>
          <cell r="P1512" t="str">
            <v>HWY</v>
          </cell>
          <cell r="R1512" t="str">
            <v>BRAMLEY</v>
          </cell>
          <cell r="S1512" t="str">
            <v>6285</v>
          </cell>
        </row>
        <row r="1513">
          <cell r="B1513" t="str">
            <v>S8006060</v>
          </cell>
          <cell r="C1513" t="str">
            <v>SPS REUSE ROSAMEL RD WWTP KEMERTON</v>
          </cell>
          <cell r="D1513" t="str">
            <v>A- actual</v>
          </cell>
          <cell r="E1513" t="str">
            <v>PS- pump station</v>
          </cell>
          <cell r="F1513" t="str">
            <v>ROSAMEL RD</v>
          </cell>
          <cell r="H1513" t="str">
            <v>W- water corporation</v>
          </cell>
          <cell r="J1513" t="str">
            <v>20030101</v>
          </cell>
          <cell r="K1513" t="str">
            <v>115.734852053</v>
          </cell>
          <cell r="L1513" t="str">
            <v>-33.20495915</v>
          </cell>
          <cell r="M1513" t="str">
            <v>H</v>
          </cell>
          <cell r="N1513" t="str">
            <v>96</v>
          </cell>
          <cell r="O1513" t="str">
            <v>ROSAMEL</v>
          </cell>
          <cell r="P1513" t="str">
            <v>RD</v>
          </cell>
          <cell r="R1513" t="str">
            <v>PARKFIELD</v>
          </cell>
          <cell r="S1513" t="str">
            <v>6233</v>
          </cell>
        </row>
        <row r="1514">
          <cell r="B1514" t="str">
            <v>S8006778</v>
          </cell>
          <cell r="C1514" t="str">
            <v>SPS REUSE WWTP WALPOLE</v>
          </cell>
          <cell r="D1514" t="str">
            <v>A- actual</v>
          </cell>
          <cell r="E1514" t="str">
            <v>EPS- effluent re-use pump station</v>
          </cell>
          <cell r="F1514" t="str">
            <v>WALPOLE REUSE</v>
          </cell>
          <cell r="H1514" t="str">
            <v>W- water corporation</v>
          </cell>
          <cell r="J1514" t="str">
            <v>20040101</v>
          </cell>
          <cell r="K1514" t="str">
            <v>116.740855214</v>
          </cell>
          <cell r="L1514" t="str">
            <v>-34.9725569641</v>
          </cell>
          <cell r="M1514" t="str">
            <v>H</v>
          </cell>
          <cell r="N1514" t="str">
            <v>18</v>
          </cell>
          <cell r="O1514" t="str">
            <v>ROGERS</v>
          </cell>
          <cell r="P1514" t="str">
            <v>ST</v>
          </cell>
          <cell r="R1514" t="str">
            <v>WALPOLE</v>
          </cell>
          <cell r="S1514" t="str">
            <v>6398</v>
          </cell>
        </row>
        <row r="1515">
          <cell r="B1515" t="str">
            <v>S0044008</v>
          </cell>
          <cell r="C1515" t="str">
            <v>SPS MINNINUP RD WWTP BUNBURY</v>
          </cell>
          <cell r="D1515" t="str">
            <v>A- actual</v>
          </cell>
          <cell r="E1515" t="str">
            <v>EPS- effluent re-use pump station</v>
          </cell>
          <cell r="F1515" t="str">
            <v>FINAL</v>
          </cell>
          <cell r="H1515" t="str">
            <v>W- water corporation</v>
          </cell>
          <cell r="J1515" t="str">
            <v>19970101</v>
          </cell>
          <cell r="K1515" t="str">
            <v>115.611087395</v>
          </cell>
          <cell r="L1515" t="str">
            <v>-33.38063664</v>
          </cell>
          <cell r="M1515" t="str">
            <v>L</v>
          </cell>
          <cell r="N1515" t="str">
            <v>859</v>
          </cell>
          <cell r="O1515" t="str">
            <v>OCEAN</v>
          </cell>
          <cell r="P1515" t="str">
            <v>DR</v>
          </cell>
          <cell r="R1515" t="str">
            <v>USHER</v>
          </cell>
          <cell r="S1515" t="str">
            <v>6230</v>
          </cell>
        </row>
        <row r="1516">
          <cell r="B1516" t="str">
            <v>S8002860</v>
          </cell>
          <cell r="C1516" t="str">
            <v>SPS REUSE WWTP BUSSELTON AMBERGATE</v>
          </cell>
          <cell r="D1516" t="str">
            <v>A- actual</v>
          </cell>
          <cell r="E1516" t="str">
            <v>EPS- effluent re-use pump station</v>
          </cell>
          <cell r="F1516" t="str">
            <v>BUSSELTON REUSE</v>
          </cell>
          <cell r="H1516" t="str">
            <v>W- water corporation</v>
          </cell>
          <cell r="J1516" t="str">
            <v>20020101</v>
          </cell>
          <cell r="K1516" t="str">
            <v>115.319159116</v>
          </cell>
          <cell r="L1516" t="str">
            <v>-33.6876028763</v>
          </cell>
          <cell r="M1516" t="str">
            <v>H</v>
          </cell>
          <cell r="N1516" t="str">
            <v>348</v>
          </cell>
          <cell r="O1516" t="str">
            <v>QUEEN ELIZABETH</v>
          </cell>
          <cell r="P1516" t="str">
            <v>AV</v>
          </cell>
          <cell r="R1516" t="str">
            <v>AMBERGATE</v>
          </cell>
          <cell r="S1516" t="str">
            <v>6280</v>
          </cell>
        </row>
        <row r="1517">
          <cell r="B1517" t="str">
            <v>S8003559</v>
          </cell>
          <cell r="C1517" t="str">
            <v>REUSE PS WWTP 2 BRIDGTOWN</v>
          </cell>
          <cell r="D1517" t="str">
            <v>A- actual</v>
          </cell>
          <cell r="E1517" t="str">
            <v>EPS- effluent re-use pump station</v>
          </cell>
          <cell r="F1517" t="str">
            <v>BRIDGETOWN REUSE</v>
          </cell>
          <cell r="H1517" t="str">
            <v>W- water corporation</v>
          </cell>
          <cell r="J1517" t="str">
            <v>20010101</v>
          </cell>
          <cell r="K1517" t="str">
            <v>116.129752663</v>
          </cell>
          <cell r="L1517" t="str">
            <v>-33.906764473</v>
          </cell>
          <cell r="M1517" t="str">
            <v>H</v>
          </cell>
          <cell r="N1517" t="str">
            <v>161</v>
          </cell>
          <cell r="O1517" t="str">
            <v>BILL BALDOCK</v>
          </cell>
          <cell r="P1517" t="str">
            <v>DR</v>
          </cell>
          <cell r="R1517" t="str">
            <v>HESTER BROOK</v>
          </cell>
          <cell r="S1517" t="str">
            <v>6255</v>
          </cell>
        </row>
        <row r="1518">
          <cell r="D1518" t="str">
            <v>P- proposed</v>
          </cell>
          <cell r="E1518" t="str">
            <v>PS- pump station</v>
          </cell>
          <cell r="F1518" t="str">
            <v>LISFORD AVE</v>
          </cell>
          <cell r="G1518" t="str">
            <v>069-02</v>
          </cell>
          <cell r="H1518" t="str">
            <v>W- water corporation</v>
          </cell>
          <cell r="J1518" t="str">
            <v>18000101</v>
          </cell>
          <cell r="K1518" t="str">
            <v>115.588074815</v>
          </cell>
          <cell r="L1518" t="str">
            <v>-31.498867124</v>
          </cell>
          <cell r="M1518" t="str">
            <v>H</v>
          </cell>
          <cell r="N1518" t="str">
            <v>2</v>
          </cell>
          <cell r="O1518" t="str">
            <v>CHARNWOOD</v>
          </cell>
          <cell r="P1518" t="str">
            <v>AV</v>
          </cell>
          <cell r="R1518" t="str">
            <v>TWO ROCKS</v>
          </cell>
          <cell r="S1518" t="str">
            <v>6037</v>
          </cell>
        </row>
        <row r="1519">
          <cell r="D1519" t="str">
            <v>A- actual</v>
          </cell>
          <cell r="E1519" t="str">
            <v>PS- pump station</v>
          </cell>
          <cell r="F1519" t="str">
            <v>GNARABUP KIOSK</v>
          </cell>
          <cell r="H1519" t="str">
            <v>P- private</v>
          </cell>
          <cell r="J1519" t="str">
            <v>20060108</v>
          </cell>
          <cell r="K1519" t="str">
            <v>114.991115542</v>
          </cell>
          <cell r="L1519" t="str">
            <v>-33.9906064995</v>
          </cell>
          <cell r="M1519" t="str">
            <v>L</v>
          </cell>
          <cell r="N1519" t="str">
            <v>503</v>
          </cell>
          <cell r="O1519" t="str">
            <v>MITCHELL</v>
          </cell>
          <cell r="P1519" t="str">
            <v>DR</v>
          </cell>
          <cell r="R1519" t="str">
            <v>GNARABUP</v>
          </cell>
          <cell r="S1519" t="str">
            <v>6285</v>
          </cell>
        </row>
        <row r="1520">
          <cell r="D1520" t="str">
            <v>A- actual</v>
          </cell>
          <cell r="E1520" t="str">
            <v>PS- pump station</v>
          </cell>
          <cell r="F1520" t="str">
            <v>FISH FACTORIES</v>
          </cell>
          <cell r="H1520" t="str">
            <v>P- private</v>
          </cell>
          <cell r="J1520" t="str">
            <v>19940805</v>
          </cell>
          <cell r="K1520" t="str">
            <v>114.596818061</v>
          </cell>
          <cell r="L1520" t="str">
            <v>-28.779389377</v>
          </cell>
          <cell r="M1520" t="str">
            <v>L</v>
          </cell>
          <cell r="N1520" t="str">
            <v>2999</v>
          </cell>
          <cell r="O1520" t="str">
            <v>AUGUSTUS</v>
          </cell>
          <cell r="P1520" t="str">
            <v>ST</v>
          </cell>
          <cell r="R1520" t="str">
            <v>WEST END</v>
          </cell>
          <cell r="S1520" t="str">
            <v>6530</v>
          </cell>
        </row>
        <row r="1521">
          <cell r="D1521" t="str">
            <v>A- actual</v>
          </cell>
          <cell r="E1521" t="str">
            <v>PS- pump station</v>
          </cell>
          <cell r="F1521" t="str">
            <v>FISH FACTORIES</v>
          </cell>
          <cell r="H1521" t="str">
            <v>P- private</v>
          </cell>
          <cell r="J1521" t="str">
            <v>19940805</v>
          </cell>
          <cell r="K1521" t="str">
            <v>114.597223415</v>
          </cell>
          <cell r="L1521" t="str">
            <v>-28.779338698</v>
          </cell>
          <cell r="M1521" t="str">
            <v>H</v>
          </cell>
          <cell r="N1521" t="str">
            <v>393</v>
          </cell>
          <cell r="O1521" t="str">
            <v>MARINE</v>
          </cell>
          <cell r="P1521" t="str">
            <v>TCE</v>
          </cell>
          <cell r="R1521" t="str">
            <v>WEST END</v>
          </cell>
          <cell r="S1521" t="str">
            <v>6530</v>
          </cell>
        </row>
        <row r="1522">
          <cell r="D1522" t="str">
            <v>N- not in use</v>
          </cell>
          <cell r="E1522" t="str">
            <v>PS- pump station</v>
          </cell>
          <cell r="F1522" t="str">
            <v>ESSO CAMP</v>
          </cell>
          <cell r="H1522" t="str">
            <v>P- private</v>
          </cell>
          <cell r="J1522" t="str">
            <v>19970101</v>
          </cell>
          <cell r="K1522" t="str">
            <v>114.126730382</v>
          </cell>
          <cell r="L1522" t="str">
            <v>-21.9280198713</v>
          </cell>
          <cell r="M1522" t="str">
            <v>H</v>
          </cell>
          <cell r="N1522" t="str">
            <v>592</v>
          </cell>
          <cell r="O1522" t="str">
            <v>MURAT</v>
          </cell>
          <cell r="P1522" t="str">
            <v>RD</v>
          </cell>
          <cell r="R1522" t="str">
            <v>EXMOUTH</v>
          </cell>
          <cell r="S1522" t="str">
            <v>6707</v>
          </cell>
        </row>
        <row r="1523">
          <cell r="D1523" t="str">
            <v>N- not in use</v>
          </cell>
          <cell r="E1523" t="str">
            <v>PS- pump station</v>
          </cell>
          <cell r="H1523" t="str">
            <v>W- water corporation</v>
          </cell>
          <cell r="J1523" t="str">
            <v>19491104</v>
          </cell>
          <cell r="K1523" t="str">
            <v>115.858979725</v>
          </cell>
          <cell r="L1523" t="str">
            <v>-32.017646723</v>
          </cell>
          <cell r="M1523" t="str">
            <v>H</v>
          </cell>
          <cell r="N1523" t="str">
            <v>1</v>
          </cell>
          <cell r="O1523" t="str">
            <v>BENSON</v>
          </cell>
          <cell r="P1523" t="str">
            <v>CH</v>
          </cell>
          <cell r="R1523" t="str">
            <v>SALTER POINT</v>
          </cell>
          <cell r="S1523" t="str">
            <v>6152</v>
          </cell>
        </row>
        <row r="1524">
          <cell r="D1524" t="str">
            <v>A- actual</v>
          </cell>
          <cell r="E1524" t="str">
            <v>PS- pump station</v>
          </cell>
          <cell r="F1524" t="str">
            <v>CARAVAN PARK</v>
          </cell>
          <cell r="H1524" t="str">
            <v>P- private</v>
          </cell>
          <cell r="J1524" t="str">
            <v>19000101</v>
          </cell>
          <cell r="K1524" t="str">
            <v>122.235040228</v>
          </cell>
          <cell r="L1524" t="str">
            <v>-17.9700313042</v>
          </cell>
          <cell r="M1524" t="str">
            <v>H</v>
          </cell>
          <cell r="N1524" t="str">
            <v>90</v>
          </cell>
          <cell r="O1524" t="str">
            <v>ROBINSON</v>
          </cell>
          <cell r="P1524" t="str">
            <v>ST</v>
          </cell>
          <cell r="R1524" t="str">
            <v>BROOME</v>
          </cell>
          <cell r="S1524" t="str">
            <v>6725</v>
          </cell>
        </row>
        <row r="1525">
          <cell r="D1525" t="str">
            <v>A- actual</v>
          </cell>
          <cell r="E1525" t="str">
            <v>PS- pump station</v>
          </cell>
          <cell r="F1525" t="str">
            <v>BUNBURY PRISON</v>
          </cell>
          <cell r="H1525" t="str">
            <v>P- private</v>
          </cell>
          <cell r="J1525" t="str">
            <v>19000101</v>
          </cell>
          <cell r="K1525" t="str">
            <v>115.670658181</v>
          </cell>
          <cell r="L1525" t="str">
            <v>-33.384197197</v>
          </cell>
          <cell r="M1525" t="str">
            <v>L</v>
          </cell>
          <cell r="N1525" t="str">
            <v>696</v>
          </cell>
          <cell r="O1525" t="str">
            <v>CENTENARY</v>
          </cell>
          <cell r="P1525" t="str">
            <v>RD</v>
          </cell>
          <cell r="R1525" t="str">
            <v>COLLEGE GROVE</v>
          </cell>
          <cell r="S1525" t="str">
            <v>6230</v>
          </cell>
        </row>
        <row r="1526">
          <cell r="D1526" t="str">
            <v>A- actual</v>
          </cell>
          <cell r="E1526" t="str">
            <v>PS- pump station</v>
          </cell>
          <cell r="F1526" t="str">
            <v>BROOME LAUNDRY</v>
          </cell>
          <cell r="H1526" t="str">
            <v>P- private</v>
          </cell>
          <cell r="J1526" t="str">
            <v>19880101</v>
          </cell>
          <cell r="K1526" t="str">
            <v>122.223686161</v>
          </cell>
          <cell r="L1526" t="str">
            <v>-17.970996813</v>
          </cell>
          <cell r="M1526" t="str">
            <v>H</v>
          </cell>
          <cell r="N1526" t="str">
            <v>31</v>
          </cell>
          <cell r="O1526" t="str">
            <v>CLEMENTSON</v>
          </cell>
          <cell r="P1526" t="str">
            <v>ST</v>
          </cell>
          <cell r="R1526" t="str">
            <v>BROOME</v>
          </cell>
          <cell r="S1526" t="str">
            <v>6725</v>
          </cell>
        </row>
        <row r="1527">
          <cell r="D1527" t="str">
            <v>A- actual</v>
          </cell>
          <cell r="E1527" t="str">
            <v>PS- pump station</v>
          </cell>
          <cell r="F1527" t="str">
            <v>BOLTON ST</v>
          </cell>
          <cell r="H1527" t="str">
            <v>P- private</v>
          </cell>
          <cell r="J1527" t="str">
            <v>19970101</v>
          </cell>
          <cell r="K1527" t="str">
            <v>115.895736989</v>
          </cell>
          <cell r="L1527" t="str">
            <v>-31.959985335</v>
          </cell>
          <cell r="M1527" t="str">
            <v>H</v>
          </cell>
          <cell r="N1527" t="str">
            <v>201</v>
          </cell>
          <cell r="O1527" t="str">
            <v>GREAT EASTERN</v>
          </cell>
          <cell r="P1527" t="str">
            <v>HWY</v>
          </cell>
          <cell r="R1527" t="str">
            <v>BURSWOOD</v>
          </cell>
          <cell r="S1527" t="str">
            <v>6100</v>
          </cell>
        </row>
        <row r="1528">
          <cell r="D1528" t="str">
            <v>A- actual</v>
          </cell>
          <cell r="E1528" t="str">
            <v>PS- pump station</v>
          </cell>
          <cell r="F1528" t="str">
            <v>BATAVIA COAST MARINE CENTRE</v>
          </cell>
          <cell r="H1528" t="str">
            <v>P- private</v>
          </cell>
          <cell r="J1528" t="str">
            <v>20050224</v>
          </cell>
          <cell r="K1528" t="str">
            <v>114.598393898</v>
          </cell>
          <cell r="L1528" t="str">
            <v>-28.7897279086</v>
          </cell>
          <cell r="M1528" t="str">
            <v>H</v>
          </cell>
          <cell r="N1528" t="str">
            <v>133</v>
          </cell>
          <cell r="O1528" t="str">
            <v>SEPARATION POINT</v>
          </cell>
          <cell r="P1528" t="str">
            <v>CL</v>
          </cell>
          <cell r="R1528" t="str">
            <v>BEACHLANDS</v>
          </cell>
          <cell r="S1528" t="str">
            <v>6530</v>
          </cell>
        </row>
        <row r="1529">
          <cell r="D1529" t="str">
            <v>A- actual</v>
          </cell>
          <cell r="E1529" t="str">
            <v>PS- pump station</v>
          </cell>
          <cell r="F1529" t="str">
            <v>BOWLING CLUB</v>
          </cell>
          <cell r="H1529" t="str">
            <v>P- private</v>
          </cell>
          <cell r="J1529" t="str">
            <v>19980911</v>
          </cell>
          <cell r="K1529" t="str">
            <v>117.861731408</v>
          </cell>
          <cell r="L1529" t="str">
            <v>-35.000963489</v>
          </cell>
          <cell r="M1529" t="str">
            <v>H</v>
          </cell>
          <cell r="N1529" t="str">
            <v>6</v>
          </cell>
          <cell r="O1529" t="str">
            <v>BARRETT</v>
          </cell>
          <cell r="P1529" t="str">
            <v>ST</v>
          </cell>
          <cell r="R1529" t="str">
            <v>ORANA</v>
          </cell>
          <cell r="S1529" t="str">
            <v>6330</v>
          </cell>
        </row>
        <row r="1530">
          <cell r="D1530" t="str">
            <v>A- actual</v>
          </cell>
          <cell r="E1530" t="str">
            <v>PS- pump station</v>
          </cell>
          <cell r="F1530" t="str">
            <v>ALBANY LEISURE CENTRE</v>
          </cell>
          <cell r="H1530" t="str">
            <v>P- private</v>
          </cell>
          <cell r="J1530" t="str">
            <v>19860101</v>
          </cell>
          <cell r="K1530" t="str">
            <v>117.879774608</v>
          </cell>
          <cell r="L1530" t="str">
            <v>-35.008385409</v>
          </cell>
          <cell r="M1530" t="str">
            <v>H</v>
          </cell>
          <cell r="N1530" t="str">
            <v>159</v>
          </cell>
          <cell r="O1530" t="str">
            <v>NORTH</v>
          </cell>
          <cell r="P1530" t="str">
            <v>RD</v>
          </cell>
          <cell r="R1530" t="str">
            <v>CENTENNIAL PARK</v>
          </cell>
          <cell r="S1530" t="str">
            <v>6330</v>
          </cell>
        </row>
        <row r="1531">
          <cell r="D1531" t="str">
            <v>A- actual</v>
          </cell>
          <cell r="E1531" t="str">
            <v>PS- pump station</v>
          </cell>
          <cell r="F1531" t="str">
            <v>ABORIGINAL VILLAGE</v>
          </cell>
          <cell r="H1531" t="str">
            <v>P- private</v>
          </cell>
          <cell r="J1531" t="str">
            <v>19771118</v>
          </cell>
          <cell r="K1531" t="str">
            <v>116.002128477</v>
          </cell>
          <cell r="L1531" t="str">
            <v>-30.646575921</v>
          </cell>
          <cell r="M1531" t="str">
            <v>L</v>
          </cell>
          <cell r="N1531" t="str">
            <v>48</v>
          </cell>
          <cell r="O1531" t="str">
            <v>DRUMMOND</v>
          </cell>
          <cell r="P1531" t="str">
            <v>ST</v>
          </cell>
          <cell r="R1531" t="str">
            <v>MOORA</v>
          </cell>
          <cell r="S1531" t="str">
            <v>6510</v>
          </cell>
        </row>
        <row r="1532">
          <cell r="D1532" t="str">
            <v>A- actual</v>
          </cell>
          <cell r="E1532" t="str">
            <v>PS- pump station</v>
          </cell>
          <cell r="H1532" t="str">
            <v>P- private</v>
          </cell>
          <cell r="J1532" t="str">
            <v>19780101</v>
          </cell>
          <cell r="K1532" t="str">
            <v>117.88793208</v>
          </cell>
          <cell r="L1532" t="str">
            <v>-35.01984912</v>
          </cell>
          <cell r="M1532" t="str">
            <v>H</v>
          </cell>
          <cell r="N1532" t="str">
            <v>22</v>
          </cell>
          <cell r="O1532" t="str">
            <v>MUNSTER</v>
          </cell>
          <cell r="P1532" t="str">
            <v>AV</v>
          </cell>
          <cell r="R1532" t="str">
            <v>MOUNT CLARENCE</v>
          </cell>
          <cell r="S1532" t="str">
            <v>6330</v>
          </cell>
        </row>
        <row r="1533">
          <cell r="D1533" t="str">
            <v>A- actual</v>
          </cell>
          <cell r="E1533" t="str">
            <v>PS- pump station</v>
          </cell>
          <cell r="H1533" t="str">
            <v>P- private</v>
          </cell>
          <cell r="J1533" t="str">
            <v>19880101</v>
          </cell>
          <cell r="K1533" t="str">
            <v>115.298065394</v>
          </cell>
          <cell r="L1533" t="str">
            <v>-33.6592832719</v>
          </cell>
          <cell r="M1533" t="str">
            <v>H</v>
          </cell>
          <cell r="N1533" t="str">
            <v>375</v>
          </cell>
          <cell r="O1533" t="str">
            <v>BUSSELL</v>
          </cell>
          <cell r="P1533" t="str">
            <v>HWY</v>
          </cell>
          <cell r="R1533" t="str">
            <v>BROADWATER</v>
          </cell>
          <cell r="S1533" t="str">
            <v>6280</v>
          </cell>
        </row>
        <row r="1534">
          <cell r="D1534" t="str">
            <v>A- actual</v>
          </cell>
          <cell r="E1534" t="str">
            <v>PS- pump station</v>
          </cell>
          <cell r="F1534" t="str">
            <v>SCHOOL</v>
          </cell>
          <cell r="H1534" t="str">
            <v>P- private</v>
          </cell>
          <cell r="J1534" t="str">
            <v>20050701</v>
          </cell>
          <cell r="K1534" t="str">
            <v>117.668603376</v>
          </cell>
          <cell r="L1534" t="str">
            <v>-34.632836644</v>
          </cell>
          <cell r="M1534" t="str">
            <v>H</v>
          </cell>
          <cell r="N1534" t="str">
            <v>101</v>
          </cell>
          <cell r="O1534" t="str">
            <v>HASSELL</v>
          </cell>
          <cell r="P1534" t="str">
            <v>ST</v>
          </cell>
          <cell r="R1534" t="str">
            <v>MOUNT BARKER</v>
          </cell>
          <cell r="S1534" t="str">
            <v>6324</v>
          </cell>
        </row>
        <row r="1535">
          <cell r="D1535" t="str">
            <v>A- actual</v>
          </cell>
          <cell r="E1535" t="str">
            <v>PS- pump station</v>
          </cell>
          <cell r="G1535" t="str">
            <v>4</v>
          </cell>
          <cell r="H1535" t="str">
            <v>P- private</v>
          </cell>
          <cell r="J1535" t="str">
            <v>20010801</v>
          </cell>
          <cell r="K1535" t="str">
            <v>105.673592812</v>
          </cell>
          <cell r="L1535" t="str">
            <v>-10.421326586</v>
          </cell>
          <cell r="M1535" t="str">
            <v>H</v>
          </cell>
          <cell r="N1535" t="str">
            <v>16</v>
          </cell>
          <cell r="O1535" t="str">
            <v>GAZE</v>
          </cell>
          <cell r="P1535" t="str">
            <v>RD</v>
          </cell>
          <cell r="R1535" t="str">
            <v>CHRISTMAS ISLAND</v>
          </cell>
          <cell r="S1535" t="str">
            <v>6798</v>
          </cell>
        </row>
        <row r="1536">
          <cell r="B1536" t="str">
            <v>S2019040</v>
          </cell>
          <cell r="C1536" t="str">
            <v>SPS WANNEROO RD NEERABUP</v>
          </cell>
          <cell r="D1536" t="str">
            <v>A- actual</v>
          </cell>
          <cell r="E1536" t="str">
            <v>PS- pump station</v>
          </cell>
          <cell r="F1536" t="str">
            <v>WANNEROO RD</v>
          </cell>
          <cell r="G1536" t="str">
            <v>700-31</v>
          </cell>
          <cell r="H1536" t="str">
            <v>W- water corporation</v>
          </cell>
          <cell r="J1536" t="str">
            <v>20081022</v>
          </cell>
          <cell r="K1536" t="str">
            <v>115.77477188</v>
          </cell>
          <cell r="L1536" t="str">
            <v>-31.70837218</v>
          </cell>
          <cell r="M1536" t="str">
            <v>H</v>
          </cell>
          <cell r="N1536" t="str">
            <v>1511</v>
          </cell>
          <cell r="O1536" t="str">
            <v>WANNEROO</v>
          </cell>
          <cell r="P1536" t="str">
            <v>RD</v>
          </cell>
          <cell r="R1536" t="str">
            <v>NEERABUP</v>
          </cell>
          <cell r="S1536" t="str">
            <v>6031</v>
          </cell>
        </row>
        <row r="1537">
          <cell r="B1537" t="str">
            <v>S2018322</v>
          </cell>
          <cell r="C1537" t="str">
            <v>SPS CAPORN ST MOSMAN PARK</v>
          </cell>
          <cell r="D1537" t="str">
            <v>A- actual</v>
          </cell>
          <cell r="E1537" t="str">
            <v>PS- pump station</v>
          </cell>
          <cell r="F1537" t="str">
            <v>CAPORN STREET</v>
          </cell>
          <cell r="G1537" t="str">
            <v>22-12</v>
          </cell>
          <cell r="H1537" t="str">
            <v>W- water corporation</v>
          </cell>
          <cell r="J1537" t="str">
            <v>20080101</v>
          </cell>
          <cell r="K1537" t="str">
            <v>115.779542173</v>
          </cell>
          <cell r="L1537" t="str">
            <v>-32.0183596996</v>
          </cell>
          <cell r="M1537" t="str">
            <v>H</v>
          </cell>
          <cell r="N1537" t="str">
            <v>8</v>
          </cell>
          <cell r="O1537" t="str">
            <v>CAPORN</v>
          </cell>
          <cell r="P1537" t="str">
            <v>ST</v>
          </cell>
          <cell r="R1537" t="str">
            <v>MOSMAN PARK</v>
          </cell>
          <cell r="S1537" t="str">
            <v>6012</v>
          </cell>
        </row>
        <row r="1538">
          <cell r="B1538" t="str">
            <v>S2019213</v>
          </cell>
          <cell r="C1538" t="str">
            <v>SPS DISTINCTION RD WANGARA</v>
          </cell>
          <cell r="D1538" t="str">
            <v>A- actual</v>
          </cell>
          <cell r="E1538" t="str">
            <v>PS- pump station</v>
          </cell>
          <cell r="F1538" t="str">
            <v>GNANGARA</v>
          </cell>
          <cell r="G1538" t="str">
            <v>028-06</v>
          </cell>
          <cell r="H1538" t="str">
            <v>W- water corporation</v>
          </cell>
          <cell r="J1538" t="str">
            <v>20080912</v>
          </cell>
          <cell r="K1538" t="str">
            <v>115.84773719</v>
          </cell>
          <cell r="L1538" t="str">
            <v>-31.7954606389</v>
          </cell>
          <cell r="M1538" t="str">
            <v>H</v>
          </cell>
          <cell r="N1538" t="str">
            <v>112</v>
          </cell>
          <cell r="O1538" t="str">
            <v>DISTINCTION</v>
          </cell>
          <cell r="P1538" t="str">
            <v>RD</v>
          </cell>
          <cell r="R1538" t="str">
            <v>WANGARA</v>
          </cell>
          <cell r="S1538" t="str">
            <v>6065</v>
          </cell>
        </row>
        <row r="1539">
          <cell r="B1539" t="str">
            <v>S8009182</v>
          </cell>
          <cell r="C1539" t="str">
            <v>SPS BADGERUP BVD LAKELANDS</v>
          </cell>
          <cell r="D1539" t="str">
            <v>A- actual</v>
          </cell>
          <cell r="E1539" t="str">
            <v>PS- pump station</v>
          </cell>
          <cell r="F1539" t="str">
            <v>BADGERUP AVE</v>
          </cell>
          <cell r="G1539" t="str">
            <v>8</v>
          </cell>
          <cell r="H1539" t="str">
            <v>W- water corporation</v>
          </cell>
          <cell r="J1539" t="str">
            <v>20071101</v>
          </cell>
          <cell r="K1539" t="str">
            <v>115.762630567</v>
          </cell>
          <cell r="L1539" t="str">
            <v>-32.4720828003</v>
          </cell>
          <cell r="M1539" t="str">
            <v>H</v>
          </cell>
          <cell r="N1539" t="str">
            <v>116</v>
          </cell>
          <cell r="O1539" t="str">
            <v>BADGERUP</v>
          </cell>
          <cell r="P1539" t="str">
            <v>AV</v>
          </cell>
          <cell r="R1539" t="str">
            <v>LAKELANDS</v>
          </cell>
          <cell r="S1539" t="str">
            <v>6180</v>
          </cell>
        </row>
        <row r="1540">
          <cell r="B1540" t="str">
            <v>S8009320</v>
          </cell>
          <cell r="C1540" t="str">
            <v>SPS SMOKEBUSH CT COWARAMUP</v>
          </cell>
          <cell r="D1540" t="str">
            <v>A- actual</v>
          </cell>
          <cell r="E1540" t="str">
            <v>PS- pump station</v>
          </cell>
          <cell r="F1540" t="str">
            <v>SMOKEBUSH COURT</v>
          </cell>
          <cell r="G1540" t="str">
            <v>3</v>
          </cell>
          <cell r="H1540" t="str">
            <v>W- water corporation</v>
          </cell>
          <cell r="J1540" t="str">
            <v>20081028</v>
          </cell>
          <cell r="K1540" t="str">
            <v>115.08955794</v>
          </cell>
          <cell r="L1540" t="str">
            <v>-33.85632873</v>
          </cell>
          <cell r="M1540" t="str">
            <v>H</v>
          </cell>
          <cell r="N1540" t="str">
            <v>35</v>
          </cell>
          <cell r="O1540" t="str">
            <v>DAISY</v>
          </cell>
          <cell r="P1540" t="str">
            <v>RISE</v>
          </cell>
          <cell r="R1540" t="str">
            <v>COWARAMUP</v>
          </cell>
          <cell r="S1540" t="str">
            <v>6284</v>
          </cell>
        </row>
        <row r="1541">
          <cell r="D1541" t="str">
            <v>A- actual</v>
          </cell>
          <cell r="E1541" t="str">
            <v>PS- pump station</v>
          </cell>
          <cell r="F1541" t="str">
            <v>BELSWAN LIFESTYLE VILLAGE</v>
          </cell>
          <cell r="H1541" t="str">
            <v>P- private</v>
          </cell>
          <cell r="J1541" t="str">
            <v>20081101</v>
          </cell>
          <cell r="K1541" t="str">
            <v>115.864651286</v>
          </cell>
          <cell r="L1541" t="str">
            <v>-32.631730322</v>
          </cell>
          <cell r="M1541" t="str">
            <v>H</v>
          </cell>
          <cell r="N1541" t="str">
            <v>33</v>
          </cell>
          <cell r="O1541" t="str">
            <v>LOVEGROVE</v>
          </cell>
          <cell r="P1541" t="str">
            <v>ST</v>
          </cell>
          <cell r="R1541" t="str">
            <v>PINJARRA</v>
          </cell>
          <cell r="S1541" t="str">
            <v>6208</v>
          </cell>
        </row>
        <row r="1542">
          <cell r="D1542" t="str">
            <v>A- actual</v>
          </cell>
          <cell r="E1542" t="str">
            <v>PS- pump station</v>
          </cell>
          <cell r="H1542" t="str">
            <v>P- private</v>
          </cell>
          <cell r="J1542" t="str">
            <v>20081128</v>
          </cell>
          <cell r="K1542" t="str">
            <v>115.64775865</v>
          </cell>
          <cell r="L1542" t="str">
            <v>-33.34054172</v>
          </cell>
          <cell r="M1542" t="str">
            <v>H</v>
          </cell>
          <cell r="N1542" t="str">
            <v>67</v>
          </cell>
          <cell r="O1542" t="str">
            <v>FORREST</v>
          </cell>
          <cell r="P1542" t="str">
            <v>AV</v>
          </cell>
          <cell r="R1542" t="str">
            <v>SOUTH BUNBURY</v>
          </cell>
          <cell r="S1542" t="str">
            <v>6230</v>
          </cell>
        </row>
        <row r="1543">
          <cell r="D1543" t="str">
            <v>A- actual</v>
          </cell>
          <cell r="E1543" t="str">
            <v>PS- pump station</v>
          </cell>
          <cell r="H1543" t="str">
            <v>P- private</v>
          </cell>
          <cell r="J1543" t="str">
            <v>20081128</v>
          </cell>
          <cell r="K1543" t="str">
            <v>115.6472798</v>
          </cell>
          <cell r="L1543" t="str">
            <v>-33.34042597</v>
          </cell>
          <cell r="M1543" t="str">
            <v>H</v>
          </cell>
          <cell r="N1543" t="str">
            <v>59</v>
          </cell>
          <cell r="O1543" t="str">
            <v>FORREST</v>
          </cell>
          <cell r="P1543" t="str">
            <v>AV</v>
          </cell>
          <cell r="R1543" t="str">
            <v>SOUTH BUNBURY</v>
          </cell>
          <cell r="S1543" t="str">
            <v>6230</v>
          </cell>
        </row>
        <row r="1544">
          <cell r="D1544" t="str">
            <v>A- actual</v>
          </cell>
          <cell r="E1544" t="str">
            <v>PS- pump station</v>
          </cell>
          <cell r="H1544" t="str">
            <v>P- private</v>
          </cell>
          <cell r="J1544" t="str">
            <v>20070401</v>
          </cell>
          <cell r="K1544" t="str">
            <v>115.648398704</v>
          </cell>
          <cell r="L1544" t="str">
            <v>-33.341105516</v>
          </cell>
          <cell r="M1544" t="str">
            <v>H</v>
          </cell>
          <cell r="N1544" t="str">
            <v>73</v>
          </cell>
          <cell r="O1544" t="str">
            <v>FORREST</v>
          </cell>
          <cell r="P1544" t="str">
            <v>AV</v>
          </cell>
          <cell r="R1544" t="str">
            <v>SOUTH BUNBURY</v>
          </cell>
          <cell r="S1544" t="str">
            <v>6230</v>
          </cell>
        </row>
        <row r="1545">
          <cell r="D1545" t="str">
            <v>A- actual</v>
          </cell>
          <cell r="E1545" t="str">
            <v>PS- pump station</v>
          </cell>
          <cell r="F1545" t="str">
            <v>BUNBURY TROTTING TRACK</v>
          </cell>
          <cell r="H1545" t="str">
            <v>P- private</v>
          </cell>
          <cell r="J1545" t="str">
            <v>20081101</v>
          </cell>
          <cell r="K1545" t="str">
            <v>115.657130338</v>
          </cell>
          <cell r="L1545" t="str">
            <v>-33.35512358</v>
          </cell>
          <cell r="M1545" t="str">
            <v>H</v>
          </cell>
          <cell r="N1545" t="str">
            <v>2</v>
          </cell>
          <cell r="O1545" t="str">
            <v>KIMBER</v>
          </cell>
          <cell r="P1545" t="str">
            <v>ST</v>
          </cell>
          <cell r="R1545" t="str">
            <v>CAREY PARK</v>
          </cell>
          <cell r="S1545" t="str">
            <v>6230</v>
          </cell>
        </row>
        <row r="1546">
          <cell r="D1546" t="str">
            <v>A- actual</v>
          </cell>
          <cell r="E1546" t="str">
            <v>PS- pump station</v>
          </cell>
          <cell r="H1546" t="str">
            <v>P- private</v>
          </cell>
          <cell r="J1546" t="str">
            <v>20081128</v>
          </cell>
          <cell r="K1546" t="str">
            <v>116.059005174</v>
          </cell>
          <cell r="L1546" t="str">
            <v>-31.9678440079</v>
          </cell>
          <cell r="M1546" t="str">
            <v>H</v>
          </cell>
          <cell r="N1546" t="str">
            <v>5</v>
          </cell>
          <cell r="O1546" t="str">
            <v>POETS</v>
          </cell>
          <cell r="P1546" t="str">
            <v>LANE</v>
          </cell>
          <cell r="R1546" t="str">
            <v>KALAMUNDA</v>
          </cell>
          <cell r="S1546" t="str">
            <v>6076</v>
          </cell>
        </row>
        <row r="1547">
          <cell r="B1547" t="str">
            <v>S8009189</v>
          </cell>
          <cell r="C1547" t="str">
            <v>SPS LUDLOW LOOP PINJARRA</v>
          </cell>
          <cell r="D1547" t="str">
            <v>A- actual</v>
          </cell>
          <cell r="E1547" t="str">
            <v>PS- pump station</v>
          </cell>
          <cell r="F1547" t="str">
            <v>LUDLOW LOOP</v>
          </cell>
          <cell r="G1547" t="str">
            <v>8</v>
          </cell>
          <cell r="H1547" t="str">
            <v>W- water corporation</v>
          </cell>
          <cell r="J1547" t="str">
            <v>20080924</v>
          </cell>
          <cell r="K1547" t="str">
            <v>115.863206194</v>
          </cell>
          <cell r="L1547" t="str">
            <v>-32.6207032176</v>
          </cell>
          <cell r="M1547" t="str">
            <v>H</v>
          </cell>
          <cell r="N1547" t="str">
            <v>34</v>
          </cell>
          <cell r="O1547" t="str">
            <v>LUDLOW</v>
          </cell>
          <cell r="P1547" t="str">
            <v>LOOP</v>
          </cell>
          <cell r="R1547" t="str">
            <v>PINJARRA</v>
          </cell>
          <cell r="S1547" t="str">
            <v>6208</v>
          </cell>
        </row>
        <row r="1548">
          <cell r="B1548" t="str">
            <v>S8009263</v>
          </cell>
          <cell r="C1548" t="str">
            <v>SPS PLEASANT GROVE CIR FALCON</v>
          </cell>
          <cell r="D1548" t="str">
            <v>A- actual</v>
          </cell>
          <cell r="E1548" t="str">
            <v>PS- pump station</v>
          </cell>
          <cell r="F1548" t="str">
            <v>PLEASANT GROVE CIRCLE</v>
          </cell>
          <cell r="G1548" t="str">
            <v>8</v>
          </cell>
          <cell r="H1548" t="str">
            <v>W- water corporation</v>
          </cell>
          <cell r="J1548" t="str">
            <v>20081030</v>
          </cell>
          <cell r="K1548" t="str">
            <v>115.655672813</v>
          </cell>
          <cell r="L1548" t="str">
            <v>-32.590594922</v>
          </cell>
          <cell r="M1548" t="str">
            <v>H</v>
          </cell>
          <cell r="N1548" t="str">
            <v>1</v>
          </cell>
          <cell r="O1548" t="str">
            <v>PLEASANT GROVE</v>
          </cell>
          <cell r="P1548" t="str">
            <v>CIR</v>
          </cell>
          <cell r="R1548" t="str">
            <v>FALCON</v>
          </cell>
          <cell r="S1548" t="str">
            <v>6210</v>
          </cell>
        </row>
        <row r="1549">
          <cell r="B1549" t="str">
            <v>S2019791</v>
          </cell>
          <cell r="C1549" t="str">
            <v>SPS PORTOBELLO RD WELLARD</v>
          </cell>
          <cell r="D1549" t="str">
            <v>A- actual</v>
          </cell>
          <cell r="E1549" t="str">
            <v>PS- pump station</v>
          </cell>
          <cell r="F1549" t="str">
            <v>PORTOBELLO ROAD</v>
          </cell>
          <cell r="G1549" t="str">
            <v>042-11</v>
          </cell>
          <cell r="H1549" t="str">
            <v>W- water corporation</v>
          </cell>
          <cell r="J1549" t="str">
            <v>20081215</v>
          </cell>
          <cell r="K1549" t="str">
            <v>115.82221894</v>
          </cell>
          <cell r="L1549" t="str">
            <v>-32.26711303</v>
          </cell>
          <cell r="M1549" t="str">
            <v>H</v>
          </cell>
          <cell r="N1549" t="str">
            <v>134</v>
          </cell>
          <cell r="O1549" t="str">
            <v>BEAUCHAMP</v>
          </cell>
          <cell r="P1549" t="str">
            <v>LOOP</v>
          </cell>
          <cell r="R1549" t="str">
            <v>WELLARD</v>
          </cell>
          <cell r="S1549" t="str">
            <v>6170</v>
          </cell>
        </row>
        <row r="1550">
          <cell r="B1550" t="str">
            <v>S023-002-004</v>
          </cell>
          <cell r="C1550" t="str">
            <v>SPS GLENDALE RD DENMARK</v>
          </cell>
          <cell r="D1550" t="str">
            <v>A- actual</v>
          </cell>
          <cell r="E1550" t="str">
            <v>PS- pump station</v>
          </cell>
          <cell r="F1550" t="str">
            <v>GLENDALE CL</v>
          </cell>
          <cell r="G1550" t="str">
            <v>3</v>
          </cell>
          <cell r="H1550" t="str">
            <v>W- water corporation</v>
          </cell>
          <cell r="J1550" t="str">
            <v>20090213</v>
          </cell>
          <cell r="K1550" t="str">
            <v>117.36158882</v>
          </cell>
          <cell r="L1550" t="str">
            <v>-34.95332153</v>
          </cell>
          <cell r="M1550" t="str">
            <v>L</v>
          </cell>
          <cell r="N1550" t="str">
            <v>133</v>
          </cell>
          <cell r="O1550" t="str">
            <v>GLENDALE</v>
          </cell>
          <cell r="P1550" t="str">
            <v>CL</v>
          </cell>
          <cell r="R1550" t="str">
            <v>DENMARK</v>
          </cell>
          <cell r="S1550" t="str">
            <v>6333</v>
          </cell>
        </row>
        <row r="1551">
          <cell r="D1551" t="str">
            <v>A- actual</v>
          </cell>
          <cell r="E1551" t="str">
            <v>PS- pump station</v>
          </cell>
          <cell r="H1551" t="str">
            <v>P- private</v>
          </cell>
          <cell r="J1551" t="str">
            <v>20090114</v>
          </cell>
          <cell r="K1551" t="str">
            <v>116.003454255</v>
          </cell>
          <cell r="L1551" t="str">
            <v>-31.915635442</v>
          </cell>
          <cell r="M1551" t="str">
            <v>L</v>
          </cell>
          <cell r="N1551" t="str">
            <v>116</v>
          </cell>
          <cell r="O1551" t="str">
            <v>LAKES</v>
          </cell>
          <cell r="P1551" t="str">
            <v>RD</v>
          </cell>
          <cell r="R1551" t="str">
            <v>HAZELMERE</v>
          </cell>
          <cell r="S1551" t="str">
            <v>6055</v>
          </cell>
        </row>
        <row r="1552">
          <cell r="D1552" t="str">
            <v>A- actual</v>
          </cell>
          <cell r="E1552" t="str">
            <v>PS- pump station</v>
          </cell>
          <cell r="F1552" t="str">
            <v>JURIEN HEALTH CENTRE</v>
          </cell>
          <cell r="H1552" t="str">
            <v>P- private</v>
          </cell>
          <cell r="J1552" t="str">
            <v>19991105</v>
          </cell>
          <cell r="K1552" t="str">
            <v>115.043598885</v>
          </cell>
          <cell r="L1552" t="str">
            <v>-30.305113764</v>
          </cell>
          <cell r="M1552" t="str">
            <v>H</v>
          </cell>
          <cell r="N1552" t="str">
            <v>21</v>
          </cell>
          <cell r="O1552" t="str">
            <v>WHITFIELD</v>
          </cell>
          <cell r="P1552" t="str">
            <v>RD</v>
          </cell>
          <cell r="R1552" t="str">
            <v>JURIEN BAY</v>
          </cell>
          <cell r="S1552" t="str">
            <v>6516</v>
          </cell>
        </row>
        <row r="1553">
          <cell r="B1553" t="str">
            <v>S2018428</v>
          </cell>
          <cell r="C1553" t="str">
            <v>SPS WRIGHT RD PIARA WATERS</v>
          </cell>
          <cell r="D1553" t="str">
            <v>A- actual</v>
          </cell>
          <cell r="E1553" t="str">
            <v>PS- pump station</v>
          </cell>
          <cell r="F1553" t="str">
            <v>WRIGHT RD</v>
          </cell>
          <cell r="G1553" t="str">
            <v>175-02</v>
          </cell>
          <cell r="H1553" t="str">
            <v>W- water corporation</v>
          </cell>
          <cell r="J1553" t="str">
            <v>20080714</v>
          </cell>
          <cell r="K1553" t="str">
            <v>115.91760533</v>
          </cell>
          <cell r="L1553" t="str">
            <v>-32.12502728</v>
          </cell>
          <cell r="M1553" t="str">
            <v>L</v>
          </cell>
          <cell r="N1553" t="str">
            <v>956</v>
          </cell>
          <cell r="O1553" t="str">
            <v>WRIGHT</v>
          </cell>
          <cell r="P1553" t="str">
            <v>RD</v>
          </cell>
          <cell r="R1553" t="str">
            <v>PIARA WATERS</v>
          </cell>
          <cell r="S1553" t="str">
            <v>6112</v>
          </cell>
        </row>
        <row r="1554">
          <cell r="D1554" t="str">
            <v>A- actual</v>
          </cell>
          <cell r="E1554" t="str">
            <v>PS- pump station</v>
          </cell>
          <cell r="F1554" t="str">
            <v>RED SANDS UNITS</v>
          </cell>
          <cell r="H1554" t="str">
            <v>P- private</v>
          </cell>
          <cell r="J1554" t="str">
            <v>19981215</v>
          </cell>
          <cell r="K1554" t="str">
            <v>119.740321153</v>
          </cell>
          <cell r="L1554" t="str">
            <v>-23.353108622</v>
          </cell>
          <cell r="M1554" t="str">
            <v>H</v>
          </cell>
          <cell r="N1554" t="str">
            <v>1</v>
          </cell>
          <cell r="O1554" t="str">
            <v>COWRA</v>
          </cell>
          <cell r="P1554" t="str">
            <v>DR</v>
          </cell>
          <cell r="R1554" t="str">
            <v>NEWMAN</v>
          </cell>
          <cell r="S1554" t="str">
            <v>6753</v>
          </cell>
        </row>
        <row r="1555">
          <cell r="D1555" t="str">
            <v>A- actual</v>
          </cell>
          <cell r="E1555" t="str">
            <v>PS- pump station</v>
          </cell>
          <cell r="H1555" t="str">
            <v>P- private</v>
          </cell>
          <cell r="J1555" t="str">
            <v>20040201</v>
          </cell>
          <cell r="K1555" t="str">
            <v>117.873583808</v>
          </cell>
          <cell r="L1555" t="str">
            <v>-35.027165696</v>
          </cell>
          <cell r="M1555" t="str">
            <v>H</v>
          </cell>
          <cell r="N1555" t="str">
            <v>53</v>
          </cell>
          <cell r="O1555" t="str">
            <v>FESTING</v>
          </cell>
          <cell r="P1555" t="str">
            <v>ST</v>
          </cell>
          <cell r="R1555" t="str">
            <v>ALBANY</v>
          </cell>
          <cell r="S1555" t="str">
            <v>6330</v>
          </cell>
        </row>
        <row r="1556">
          <cell r="B1556" t="str">
            <v>S108-002-004</v>
          </cell>
          <cell r="C1556" t="str">
            <v>SPS HYNES CRT WILLIAMS</v>
          </cell>
          <cell r="D1556" t="str">
            <v>A- actual</v>
          </cell>
          <cell r="E1556" t="str">
            <v>PS- pump station</v>
          </cell>
          <cell r="F1556" t="str">
            <v>HYNES CT</v>
          </cell>
          <cell r="G1556" t="str">
            <v>4</v>
          </cell>
          <cell r="H1556" t="str">
            <v>W- water corporation</v>
          </cell>
          <cell r="J1556" t="str">
            <v>20081205</v>
          </cell>
          <cell r="K1556" t="str">
            <v>116.88728559</v>
          </cell>
          <cell r="L1556" t="str">
            <v>-33.02144141</v>
          </cell>
          <cell r="M1556" t="str">
            <v>H</v>
          </cell>
          <cell r="N1556" t="str">
            <v>39</v>
          </cell>
          <cell r="O1556" t="str">
            <v>HYNES</v>
          </cell>
          <cell r="P1556" t="str">
            <v>CT</v>
          </cell>
          <cell r="R1556" t="str">
            <v>WILLIAMS</v>
          </cell>
          <cell r="S1556" t="str">
            <v>6391</v>
          </cell>
        </row>
        <row r="1557">
          <cell r="D1557" t="str">
            <v>A- actual</v>
          </cell>
          <cell r="E1557" t="str">
            <v>PS- pump station</v>
          </cell>
          <cell r="G1557" t="str">
            <v>1</v>
          </cell>
          <cell r="H1557" t="str">
            <v>P- private</v>
          </cell>
          <cell r="J1557" t="str">
            <v>20010801</v>
          </cell>
          <cell r="K1557" t="str">
            <v>105.671129253</v>
          </cell>
          <cell r="L1557" t="str">
            <v>-10.428861512</v>
          </cell>
          <cell r="M1557" t="str">
            <v>H</v>
          </cell>
          <cell r="N1557" t="str">
            <v>15</v>
          </cell>
          <cell r="O1557" t="str">
            <v>JALAN PANTAI</v>
          </cell>
          <cell r="R1557" t="str">
            <v>CHRISTMAS ISLAND</v>
          </cell>
          <cell r="S1557" t="str">
            <v>6798</v>
          </cell>
        </row>
        <row r="1558">
          <cell r="D1558" t="str">
            <v>A- actual</v>
          </cell>
          <cell r="E1558" t="str">
            <v>PS- pump station</v>
          </cell>
          <cell r="G1558" t="str">
            <v>5</v>
          </cell>
          <cell r="H1558" t="str">
            <v>P- private</v>
          </cell>
          <cell r="J1558" t="str">
            <v>20010801</v>
          </cell>
          <cell r="K1558" t="str">
            <v>105.669847693</v>
          </cell>
          <cell r="L1558" t="str">
            <v>-10.430018824</v>
          </cell>
          <cell r="M1558" t="str">
            <v>H</v>
          </cell>
          <cell r="N1558" t="str">
            <v>21</v>
          </cell>
          <cell r="O1558" t="str">
            <v>JALAN PANTAI</v>
          </cell>
          <cell r="R1558" t="str">
            <v>CHRISTMAS ISLAND</v>
          </cell>
          <cell r="S1558" t="str">
            <v>6798</v>
          </cell>
        </row>
        <row r="1559">
          <cell r="D1559" t="str">
            <v>A- actual</v>
          </cell>
          <cell r="E1559" t="str">
            <v>PS- pump station</v>
          </cell>
          <cell r="G1559" t="str">
            <v>6</v>
          </cell>
          <cell r="H1559" t="str">
            <v>P- private</v>
          </cell>
          <cell r="J1559" t="str">
            <v>20010801</v>
          </cell>
          <cell r="K1559" t="str">
            <v>105.669847693</v>
          </cell>
          <cell r="L1559" t="str">
            <v>-10.430018824</v>
          </cell>
          <cell r="M1559" t="str">
            <v>H</v>
          </cell>
          <cell r="N1559" t="str">
            <v>21</v>
          </cell>
          <cell r="O1559" t="str">
            <v>JALAN PANTAI</v>
          </cell>
          <cell r="R1559" t="str">
            <v>CHRISTMAS ISLAND</v>
          </cell>
          <cell r="S1559" t="str">
            <v>6798</v>
          </cell>
        </row>
        <row r="1560">
          <cell r="D1560" t="str">
            <v>A- actual</v>
          </cell>
          <cell r="E1560" t="str">
            <v>PS- pump station</v>
          </cell>
          <cell r="G1560" t="str">
            <v>7</v>
          </cell>
          <cell r="H1560" t="str">
            <v>P- private</v>
          </cell>
          <cell r="J1560" t="str">
            <v>20010801</v>
          </cell>
          <cell r="K1560" t="str">
            <v>105.668050247</v>
          </cell>
          <cell r="L1560" t="str">
            <v>-10.434980319</v>
          </cell>
          <cell r="M1560" t="str">
            <v>H</v>
          </cell>
          <cell r="N1560" t="str">
            <v>24</v>
          </cell>
          <cell r="O1560" t="str">
            <v>SIN SANG</v>
          </cell>
          <cell r="P1560" t="str">
            <v>RD</v>
          </cell>
          <cell r="R1560" t="str">
            <v>CHRISTMAS ISLAND</v>
          </cell>
          <cell r="S1560" t="str">
            <v>6798</v>
          </cell>
        </row>
        <row r="1561">
          <cell r="B1561" t="str">
            <v>S023-002-005</v>
          </cell>
          <cell r="C1561" t="str">
            <v>SPS HODGSON ST DENMARK</v>
          </cell>
          <cell r="D1561" t="str">
            <v>A- actual</v>
          </cell>
          <cell r="E1561" t="str">
            <v>PS- pump station</v>
          </cell>
          <cell r="F1561" t="str">
            <v>HODGSON ST</v>
          </cell>
          <cell r="H1561" t="str">
            <v>W- water corporation</v>
          </cell>
          <cell r="J1561" t="str">
            <v>20090218</v>
          </cell>
          <cell r="K1561" t="str">
            <v>117.356209223</v>
          </cell>
          <cell r="L1561" t="str">
            <v>-34.9690914583</v>
          </cell>
          <cell r="M1561" t="str">
            <v>H</v>
          </cell>
          <cell r="N1561" t="str">
            <v>12</v>
          </cell>
          <cell r="O1561" t="str">
            <v>HODGSON</v>
          </cell>
          <cell r="P1561" t="str">
            <v>ST</v>
          </cell>
          <cell r="R1561" t="str">
            <v>DENMARK</v>
          </cell>
          <cell r="S1561" t="str">
            <v>6333</v>
          </cell>
        </row>
        <row r="1562">
          <cell r="B1562" t="str">
            <v>S2019369</v>
          </cell>
          <cell r="C1562" t="str">
            <v>#SPS KARANGI CIR BYFORD</v>
          </cell>
          <cell r="D1562" t="str">
            <v>D- dead</v>
          </cell>
          <cell r="E1562" t="str">
            <v>PS- pump station</v>
          </cell>
          <cell r="F1562" t="str">
            <v>KARANGI CIR</v>
          </cell>
          <cell r="G1562" t="str">
            <v>902-46</v>
          </cell>
          <cell r="H1562" t="str">
            <v>W- water corporation</v>
          </cell>
          <cell r="J1562" t="str">
            <v>20081118</v>
          </cell>
          <cell r="K1562" t="str">
            <v>116.006591922</v>
          </cell>
          <cell r="L1562" t="str">
            <v>-32.2313324929</v>
          </cell>
          <cell r="M1562" t="str">
            <v>H</v>
          </cell>
          <cell r="N1562" t="str">
            <v>26</v>
          </cell>
          <cell r="O1562" t="str">
            <v>KARANGI</v>
          </cell>
          <cell r="P1562" t="str">
            <v>CIR</v>
          </cell>
          <cell r="R1562" t="str">
            <v>BYFORD</v>
          </cell>
          <cell r="S1562" t="str">
            <v>6122</v>
          </cell>
        </row>
        <row r="1563">
          <cell r="B1563" t="str">
            <v>S2023014</v>
          </cell>
          <cell r="C1563" t="str">
            <v>SPS CONNOLLY DR BYPASS CLARKSON</v>
          </cell>
          <cell r="D1563" t="str">
            <v>A- actual</v>
          </cell>
          <cell r="E1563" t="str">
            <v>PS- pump station</v>
          </cell>
          <cell r="F1563" t="str">
            <v>MINDARIE TEMPORARY</v>
          </cell>
          <cell r="H1563" t="str">
            <v>W- water corporation</v>
          </cell>
          <cell r="J1563" t="str">
            <v>20080901</v>
          </cell>
          <cell r="K1563" t="str">
            <v>115.727795939</v>
          </cell>
          <cell r="L1563" t="str">
            <v>-31.6881964665</v>
          </cell>
          <cell r="M1563" t="str">
            <v>H</v>
          </cell>
          <cell r="N1563" t="str">
            <v>650</v>
          </cell>
          <cell r="O1563" t="str">
            <v>CONNOLLY</v>
          </cell>
          <cell r="P1563" t="str">
            <v>DR</v>
          </cell>
          <cell r="R1563" t="str">
            <v>CLARKSON</v>
          </cell>
          <cell r="S1563" t="str">
            <v>6030</v>
          </cell>
        </row>
        <row r="1564">
          <cell r="D1564" t="str">
            <v>A- actual</v>
          </cell>
          <cell r="E1564" t="str">
            <v>PS- pump station</v>
          </cell>
          <cell r="F1564" t="str">
            <v>LARK HILL THROUGHBRED TRAINING FACILITY</v>
          </cell>
          <cell r="G1564" t="str">
            <v>1</v>
          </cell>
          <cell r="H1564" t="str">
            <v>P- private</v>
          </cell>
          <cell r="J1564" t="str">
            <v>20081014</v>
          </cell>
          <cell r="K1564" t="str">
            <v>115.774861651</v>
          </cell>
          <cell r="L1564" t="str">
            <v>-32.382861131</v>
          </cell>
          <cell r="M1564" t="str">
            <v>L</v>
          </cell>
          <cell r="N1564" t="str">
            <v>1300</v>
          </cell>
          <cell r="O1564" t="str">
            <v>STAKEHILL</v>
          </cell>
          <cell r="P1564" t="str">
            <v>RD</v>
          </cell>
          <cell r="R1564" t="str">
            <v>PORT KENNEDY</v>
          </cell>
          <cell r="S1564" t="str">
            <v>6172</v>
          </cell>
        </row>
        <row r="1565">
          <cell r="D1565" t="str">
            <v>A- actual</v>
          </cell>
          <cell r="E1565" t="str">
            <v>PS- pump station</v>
          </cell>
          <cell r="F1565" t="str">
            <v>HORRIE MILLER DR</v>
          </cell>
          <cell r="H1565" t="str">
            <v>P- private</v>
          </cell>
          <cell r="J1565" t="str">
            <v>20060713</v>
          </cell>
          <cell r="K1565" t="str">
            <v>115.97439302</v>
          </cell>
          <cell r="L1565" t="str">
            <v>-31.956846671</v>
          </cell>
          <cell r="M1565" t="str">
            <v>H</v>
          </cell>
          <cell r="N1565" t="str">
            <v>60</v>
          </cell>
          <cell r="O1565" t="str">
            <v>PALTRIDGE</v>
          </cell>
          <cell r="P1565" t="str">
            <v>RD</v>
          </cell>
          <cell r="R1565" t="str">
            <v>PERTH AIRPORT</v>
          </cell>
          <cell r="S1565" t="str">
            <v>6105</v>
          </cell>
        </row>
        <row r="1566">
          <cell r="D1566" t="str">
            <v>A- actual</v>
          </cell>
          <cell r="E1566" t="str">
            <v>PS- pump station</v>
          </cell>
          <cell r="H1566" t="str">
            <v>P- private</v>
          </cell>
          <cell r="J1566" t="str">
            <v>20101223</v>
          </cell>
          <cell r="K1566" t="str">
            <v>115.811637279</v>
          </cell>
          <cell r="L1566" t="str">
            <v>-31.930483314</v>
          </cell>
          <cell r="M1566" t="str">
            <v>H</v>
          </cell>
          <cell r="N1566" t="str">
            <v>87</v>
          </cell>
          <cell r="O1566" t="str">
            <v>HERDSMAN</v>
          </cell>
          <cell r="P1566" t="str">
            <v>PDE</v>
          </cell>
          <cell r="R1566" t="str">
            <v>WEMBLEY</v>
          </cell>
          <cell r="S1566" t="str">
            <v>6014</v>
          </cell>
        </row>
        <row r="1567">
          <cell r="B1567" t="str">
            <v>S8009236</v>
          </cell>
          <cell r="C1567" t="str">
            <v>VPS GLENLEIGH RD WEST BUSSELTON</v>
          </cell>
          <cell r="D1567" t="str">
            <v>A- actual</v>
          </cell>
          <cell r="E1567" t="str">
            <v>VPS- vacuum pump station</v>
          </cell>
          <cell r="F1567" t="str">
            <v>GLENLEIGH RD</v>
          </cell>
          <cell r="G1567" t="str">
            <v>19</v>
          </cell>
          <cell r="H1567" t="str">
            <v>W- water corporation</v>
          </cell>
          <cell r="J1567" t="str">
            <v>20080901</v>
          </cell>
          <cell r="K1567" t="str">
            <v>115.31144371</v>
          </cell>
          <cell r="L1567" t="str">
            <v>-33.65589329</v>
          </cell>
          <cell r="M1567" t="str">
            <v>L</v>
          </cell>
          <cell r="N1567" t="str">
            <v>511</v>
          </cell>
          <cell r="O1567" t="str">
            <v>GLENLEIGH</v>
          </cell>
          <cell r="P1567" t="str">
            <v>RD</v>
          </cell>
          <cell r="R1567" t="str">
            <v>WEST BUSSELTON</v>
          </cell>
          <cell r="S1567" t="str">
            <v>6280</v>
          </cell>
        </row>
        <row r="1568">
          <cell r="B1568" t="str">
            <v>S2019110</v>
          </cell>
          <cell r="C1568" t="str">
            <v>SPS WEST COAST DR MARMION</v>
          </cell>
          <cell r="D1568" t="str">
            <v>A- actual</v>
          </cell>
          <cell r="E1568" t="str">
            <v>PS- pump station</v>
          </cell>
          <cell r="F1568" t="str">
            <v>WEST COAST DR MINDARIE</v>
          </cell>
          <cell r="G1568" t="str">
            <v>24</v>
          </cell>
          <cell r="H1568" t="str">
            <v>W- water corporation</v>
          </cell>
          <cell r="J1568" t="str">
            <v>20080201</v>
          </cell>
          <cell r="K1568" t="str">
            <v>115.750689668</v>
          </cell>
          <cell r="L1568" t="str">
            <v>-31.838970779</v>
          </cell>
          <cell r="M1568" t="str">
            <v>H</v>
          </cell>
          <cell r="N1568" t="str">
            <v>64</v>
          </cell>
          <cell r="O1568" t="str">
            <v>WEST COAST</v>
          </cell>
          <cell r="P1568" t="str">
            <v>DR</v>
          </cell>
          <cell r="R1568" t="str">
            <v>MARMION</v>
          </cell>
          <cell r="S1568" t="str">
            <v>6020</v>
          </cell>
        </row>
        <row r="1569">
          <cell r="D1569" t="str">
            <v>A- actual</v>
          </cell>
          <cell r="E1569" t="str">
            <v>PS- pump station</v>
          </cell>
          <cell r="F1569" t="str">
            <v>CBH</v>
          </cell>
          <cell r="H1569" t="str">
            <v>P- private</v>
          </cell>
          <cell r="J1569" t="str">
            <v>20090401</v>
          </cell>
          <cell r="K1569" t="str">
            <v>117.903637094</v>
          </cell>
          <cell r="L1569" t="str">
            <v>-35.0365950875</v>
          </cell>
          <cell r="M1569" t="str">
            <v>L</v>
          </cell>
          <cell r="N1569" t="str">
            <v>1578</v>
          </cell>
          <cell r="O1569" t="str">
            <v>PRINCESS ROYAL</v>
          </cell>
          <cell r="P1569" t="str">
            <v>DR</v>
          </cell>
          <cell r="R1569" t="str">
            <v>PORT ALBANY</v>
          </cell>
          <cell r="S1569" t="str">
            <v>6330</v>
          </cell>
        </row>
        <row r="1570">
          <cell r="D1570" t="str">
            <v>A- actual</v>
          </cell>
          <cell r="E1570" t="str">
            <v>PS- pump station</v>
          </cell>
          <cell r="F1570" t="str">
            <v>CBH</v>
          </cell>
          <cell r="H1570" t="str">
            <v>P- private</v>
          </cell>
          <cell r="J1570" t="str">
            <v>20090401</v>
          </cell>
          <cell r="K1570" t="str">
            <v>117.895627292</v>
          </cell>
          <cell r="L1570" t="str">
            <v>-35.0338707023</v>
          </cell>
          <cell r="M1570" t="str">
            <v>L</v>
          </cell>
          <cell r="N1570" t="str">
            <v>1579</v>
          </cell>
          <cell r="O1570" t="str">
            <v>PRINCESS ROYAL</v>
          </cell>
          <cell r="P1570" t="str">
            <v>DR</v>
          </cell>
          <cell r="R1570" t="str">
            <v>PORT ALBANY</v>
          </cell>
          <cell r="S1570" t="str">
            <v>6330</v>
          </cell>
        </row>
        <row r="1571">
          <cell r="D1571" t="str">
            <v>A- actual</v>
          </cell>
          <cell r="E1571" t="str">
            <v>PS- pump station</v>
          </cell>
          <cell r="F1571" t="str">
            <v>CBH</v>
          </cell>
          <cell r="H1571" t="str">
            <v>P- private</v>
          </cell>
          <cell r="J1571" t="str">
            <v>20090401</v>
          </cell>
          <cell r="K1571" t="str">
            <v>117.895627292</v>
          </cell>
          <cell r="L1571" t="str">
            <v>-35.0338707023</v>
          </cell>
          <cell r="M1571" t="str">
            <v>L</v>
          </cell>
          <cell r="N1571" t="str">
            <v>1579</v>
          </cell>
          <cell r="O1571" t="str">
            <v>PRINCESS ROYAL</v>
          </cell>
          <cell r="P1571" t="str">
            <v>DR</v>
          </cell>
          <cell r="R1571" t="str">
            <v>PORT ALBANY</v>
          </cell>
          <cell r="S1571" t="str">
            <v>6330</v>
          </cell>
        </row>
        <row r="1572">
          <cell r="D1572" t="str">
            <v>A- actual</v>
          </cell>
          <cell r="E1572" t="str">
            <v>PS- pump station</v>
          </cell>
          <cell r="H1572" t="str">
            <v>P- private</v>
          </cell>
          <cell r="J1572" t="str">
            <v>20040130</v>
          </cell>
          <cell r="K1572" t="str">
            <v>115.160947588</v>
          </cell>
          <cell r="L1572" t="str">
            <v>-34.31755348</v>
          </cell>
          <cell r="M1572" t="str">
            <v>H</v>
          </cell>
          <cell r="N1572" t="str">
            <v>14</v>
          </cell>
          <cell r="O1572" t="str">
            <v>SALKILLD</v>
          </cell>
          <cell r="P1572" t="str">
            <v>PL</v>
          </cell>
          <cell r="R1572" t="str">
            <v>AUGUSTA</v>
          </cell>
          <cell r="S1572" t="str">
            <v>6290</v>
          </cell>
        </row>
        <row r="1573">
          <cell r="D1573" t="str">
            <v>A- actual</v>
          </cell>
          <cell r="E1573" t="str">
            <v>ES- ejector station</v>
          </cell>
          <cell r="H1573" t="str">
            <v>P- private</v>
          </cell>
          <cell r="J1573" t="str">
            <v>20010801</v>
          </cell>
          <cell r="K1573" t="str">
            <v>105.668635253</v>
          </cell>
          <cell r="L1573" t="str">
            <v>-10.4404479509</v>
          </cell>
          <cell r="M1573" t="str">
            <v>L</v>
          </cell>
          <cell r="N1573" t="str">
            <v>490</v>
          </cell>
          <cell r="O1573" t="str">
            <v>MURRAY</v>
          </cell>
          <cell r="P1573" t="str">
            <v>RD</v>
          </cell>
          <cell r="R1573" t="str">
            <v>CHRISTMAS ISLAND</v>
          </cell>
          <cell r="S1573" t="str">
            <v>6798</v>
          </cell>
        </row>
        <row r="1574">
          <cell r="D1574" t="str">
            <v>A- actual</v>
          </cell>
          <cell r="E1574" t="str">
            <v>ES- ejector station</v>
          </cell>
          <cell r="H1574" t="str">
            <v>P- private</v>
          </cell>
          <cell r="J1574" t="str">
            <v>20010801</v>
          </cell>
          <cell r="K1574" t="str">
            <v>105.668635253</v>
          </cell>
          <cell r="L1574" t="str">
            <v>-10.4404479509</v>
          </cell>
          <cell r="M1574" t="str">
            <v>L</v>
          </cell>
          <cell r="N1574" t="str">
            <v>490</v>
          </cell>
          <cell r="O1574" t="str">
            <v>MURRAY</v>
          </cell>
          <cell r="P1574" t="str">
            <v>RD</v>
          </cell>
          <cell r="R1574" t="str">
            <v>CHRISTMAS ISLAND</v>
          </cell>
          <cell r="S1574" t="str">
            <v>6798</v>
          </cell>
        </row>
        <row r="1575">
          <cell r="D1575" t="str">
            <v>A- actual</v>
          </cell>
          <cell r="E1575" t="str">
            <v>ES- ejector station</v>
          </cell>
          <cell r="H1575" t="str">
            <v>P- private</v>
          </cell>
          <cell r="J1575" t="str">
            <v>20010801</v>
          </cell>
          <cell r="K1575" t="str">
            <v>105.687176775</v>
          </cell>
          <cell r="L1575" t="str">
            <v>-10.4249144724</v>
          </cell>
          <cell r="M1575" t="str">
            <v>L</v>
          </cell>
          <cell r="N1575" t="str">
            <v>557</v>
          </cell>
          <cell r="O1575" t="str">
            <v>QUARRY</v>
          </cell>
          <cell r="P1575" t="str">
            <v>RD</v>
          </cell>
          <cell r="R1575" t="str">
            <v>CHRISTMAS ISLAND</v>
          </cell>
          <cell r="S1575" t="str">
            <v>6798</v>
          </cell>
        </row>
        <row r="1576">
          <cell r="B1576" t="str">
            <v>S5010322</v>
          </cell>
          <cell r="C1576" t="str">
            <v>SPS 5 RIVERSIDE OUTLOOK NORTHAM</v>
          </cell>
          <cell r="D1576" t="str">
            <v>A- actual</v>
          </cell>
          <cell r="E1576" t="str">
            <v>PS- pump station</v>
          </cell>
          <cell r="F1576" t="str">
            <v>NORTHAM</v>
          </cell>
          <cell r="G1576" t="str">
            <v>5</v>
          </cell>
          <cell r="H1576" t="str">
            <v>W- water corporation</v>
          </cell>
          <cell r="J1576" t="str">
            <v>20090109</v>
          </cell>
          <cell r="K1576" t="str">
            <v>116.660287607</v>
          </cell>
          <cell r="L1576" t="str">
            <v>-31.6567016188</v>
          </cell>
          <cell r="M1576" t="str">
            <v>H</v>
          </cell>
          <cell r="N1576" t="str">
            <v>53</v>
          </cell>
          <cell r="O1576" t="str">
            <v>MITCHELL</v>
          </cell>
          <cell r="P1576" t="str">
            <v>AV</v>
          </cell>
          <cell r="R1576" t="str">
            <v>NORTHAM</v>
          </cell>
          <cell r="S1576" t="str">
            <v>6401</v>
          </cell>
        </row>
        <row r="1577">
          <cell r="B1577" t="str">
            <v>S2019015</v>
          </cell>
          <cell r="C1577" t="str">
            <v>SPS PORT BEACH RD NORTH FREMANTLE</v>
          </cell>
          <cell r="D1577" t="str">
            <v>A- actual</v>
          </cell>
          <cell r="E1577" t="str">
            <v>PS- pump station</v>
          </cell>
          <cell r="F1577" t="str">
            <v>PORT BEACH RD</v>
          </cell>
          <cell r="G1577" t="str">
            <v>027-05</v>
          </cell>
          <cell r="H1577" t="str">
            <v>W- water corporation</v>
          </cell>
          <cell r="J1577" t="str">
            <v>20090320</v>
          </cell>
          <cell r="K1577" t="str">
            <v>115.748880107</v>
          </cell>
          <cell r="L1577" t="str">
            <v>-32.0293319329</v>
          </cell>
          <cell r="M1577" t="str">
            <v>H</v>
          </cell>
          <cell r="N1577" t="str">
            <v>20</v>
          </cell>
          <cell r="O1577" t="str">
            <v>LEIGHTON BEACH</v>
          </cell>
          <cell r="P1577" t="str">
            <v>BVD</v>
          </cell>
          <cell r="R1577" t="str">
            <v>NORTH FREMANTLE</v>
          </cell>
          <cell r="S1577" t="str">
            <v>6159</v>
          </cell>
        </row>
        <row r="1578">
          <cell r="B1578" t="str">
            <v>S8008404</v>
          </cell>
          <cell r="C1578" t="str">
            <v>SPS LUCY VICTORIA AV EAST AUSTRALIND</v>
          </cell>
          <cell r="D1578" t="str">
            <v>A- actual</v>
          </cell>
          <cell r="E1578" t="str">
            <v>PS- pump station</v>
          </cell>
          <cell r="F1578" t="str">
            <v>LUCY VICTORIA AV EAST</v>
          </cell>
          <cell r="G1578" t="str">
            <v>11</v>
          </cell>
          <cell r="H1578" t="str">
            <v>W- water corporation</v>
          </cell>
          <cell r="J1578" t="str">
            <v>20070813</v>
          </cell>
          <cell r="K1578" t="str">
            <v>115.710740313</v>
          </cell>
          <cell r="L1578" t="str">
            <v>-33.3111880578</v>
          </cell>
          <cell r="M1578" t="str">
            <v>L</v>
          </cell>
          <cell r="N1578" t="str">
            <v>503</v>
          </cell>
          <cell r="O1578" t="str">
            <v>LUCY VICTORIA</v>
          </cell>
          <cell r="P1578" t="str">
            <v>AV</v>
          </cell>
          <cell r="R1578" t="str">
            <v>AUSTRALIND</v>
          </cell>
          <cell r="S1578" t="str">
            <v>6233</v>
          </cell>
        </row>
        <row r="1579">
          <cell r="B1579" t="str">
            <v>S7003795</v>
          </cell>
          <cell r="C1579" t="str">
            <v>SPS 2 CROYDON ST HOPETOUN</v>
          </cell>
          <cell r="D1579" t="str">
            <v>A- actual</v>
          </cell>
          <cell r="E1579" t="str">
            <v>PS- pump station</v>
          </cell>
          <cell r="F1579" t="str">
            <v>HOPETOUN</v>
          </cell>
          <cell r="G1579" t="str">
            <v>2</v>
          </cell>
          <cell r="H1579" t="str">
            <v>W- water corporation</v>
          </cell>
          <cell r="J1579" t="str">
            <v>20090301</v>
          </cell>
          <cell r="K1579" t="str">
            <v>120.120507513</v>
          </cell>
          <cell r="L1579" t="str">
            <v>-33.9460791764</v>
          </cell>
          <cell r="M1579" t="str">
            <v>H</v>
          </cell>
          <cell r="N1579" t="str">
            <v>16</v>
          </cell>
          <cell r="O1579" t="str">
            <v>TEMPLETONIA</v>
          </cell>
          <cell r="P1579" t="str">
            <v>DR</v>
          </cell>
          <cell r="R1579" t="str">
            <v>HOPETOUN</v>
          </cell>
          <cell r="S1579" t="str">
            <v>6348</v>
          </cell>
        </row>
        <row r="1580">
          <cell r="B1580" t="str">
            <v>S7003794</v>
          </cell>
          <cell r="C1580" t="str">
            <v>SPS 1 VEAL ST HOPETOUN</v>
          </cell>
          <cell r="D1580" t="str">
            <v>A- actual</v>
          </cell>
          <cell r="E1580" t="str">
            <v>PS- pump station</v>
          </cell>
          <cell r="F1580" t="str">
            <v>VEAL ST</v>
          </cell>
          <cell r="G1580" t="str">
            <v>1</v>
          </cell>
          <cell r="H1580" t="str">
            <v>W- water corporation</v>
          </cell>
          <cell r="J1580" t="str">
            <v>20090512</v>
          </cell>
          <cell r="K1580" t="str">
            <v>120.125897406</v>
          </cell>
          <cell r="L1580" t="str">
            <v>-33.9508584173</v>
          </cell>
          <cell r="M1580" t="str">
            <v>H</v>
          </cell>
          <cell r="N1580" t="str">
            <v>11</v>
          </cell>
          <cell r="O1580" t="str">
            <v>VEAL</v>
          </cell>
          <cell r="P1580" t="str">
            <v>ST</v>
          </cell>
          <cell r="R1580" t="str">
            <v>HOPETOUN</v>
          </cell>
          <cell r="S1580" t="str">
            <v>6348</v>
          </cell>
        </row>
        <row r="1581">
          <cell r="B1581" t="str">
            <v>S2019414</v>
          </cell>
          <cell r="C1581" t="str">
            <v>SPS BALDIVIS RD NTH BALDIVIS</v>
          </cell>
          <cell r="D1581" t="str">
            <v>A- actual</v>
          </cell>
          <cell r="E1581" t="str">
            <v>PS- pump station</v>
          </cell>
          <cell r="F1581" t="str">
            <v>BALDIVIS RD NORTH</v>
          </cell>
          <cell r="G1581" t="str">
            <v>199-01</v>
          </cell>
          <cell r="H1581" t="str">
            <v>W- water corporation</v>
          </cell>
          <cell r="J1581" t="str">
            <v>20081104</v>
          </cell>
          <cell r="K1581" t="str">
            <v>115.821324949</v>
          </cell>
          <cell r="L1581" t="str">
            <v>-32.309142311</v>
          </cell>
          <cell r="M1581" t="str">
            <v>H</v>
          </cell>
          <cell r="N1581" t="str">
            <v>364</v>
          </cell>
          <cell r="O1581" t="str">
            <v>BALDIVIS</v>
          </cell>
          <cell r="P1581" t="str">
            <v>RD</v>
          </cell>
          <cell r="R1581" t="str">
            <v>BALDIVIS</v>
          </cell>
          <cell r="S1581" t="str">
            <v>6171</v>
          </cell>
        </row>
        <row r="1582">
          <cell r="D1582" t="str">
            <v>A- actual</v>
          </cell>
          <cell r="E1582" t="str">
            <v>PS- pump station</v>
          </cell>
          <cell r="F1582" t="str">
            <v>ADELMA PL</v>
          </cell>
          <cell r="H1582" t="str">
            <v>P- private</v>
          </cell>
          <cell r="J1582" t="str">
            <v>20080516</v>
          </cell>
          <cell r="K1582" t="str">
            <v>115.799185474</v>
          </cell>
          <cell r="L1582" t="str">
            <v>-32.0030796806</v>
          </cell>
          <cell r="M1582" t="str">
            <v>H</v>
          </cell>
          <cell r="N1582" t="str">
            <v>3</v>
          </cell>
          <cell r="O1582" t="str">
            <v>ADELMA</v>
          </cell>
          <cell r="P1582" t="str">
            <v>PL</v>
          </cell>
          <cell r="R1582" t="str">
            <v>DALKEITH</v>
          </cell>
          <cell r="S1582" t="str">
            <v>6009</v>
          </cell>
        </row>
        <row r="1583">
          <cell r="B1583" t="str">
            <v>S2019242</v>
          </cell>
          <cell r="C1583" t="str">
            <v>SPS EDELINE ST SPEARWOOD</v>
          </cell>
          <cell r="D1583" t="str">
            <v>A- actual</v>
          </cell>
          <cell r="E1583" t="str">
            <v>PS- pump station</v>
          </cell>
          <cell r="F1583" t="str">
            <v>EDELINE ST</v>
          </cell>
          <cell r="G1583" t="str">
            <v>66-1</v>
          </cell>
          <cell r="H1583" t="str">
            <v>W- water corporation</v>
          </cell>
          <cell r="J1583" t="str">
            <v>20090501</v>
          </cell>
          <cell r="K1583" t="str">
            <v>115.792559386</v>
          </cell>
          <cell r="L1583" t="str">
            <v>-32.103429569</v>
          </cell>
          <cell r="M1583" t="str">
            <v>L</v>
          </cell>
          <cell r="N1583" t="str">
            <v>111</v>
          </cell>
          <cell r="O1583" t="str">
            <v>EDELINE</v>
          </cell>
          <cell r="P1583" t="str">
            <v>ST</v>
          </cell>
          <cell r="R1583" t="str">
            <v>SPEARWOOD</v>
          </cell>
          <cell r="S1583" t="str">
            <v>6163</v>
          </cell>
        </row>
        <row r="1584">
          <cell r="B1584" t="str">
            <v>S0022479</v>
          </cell>
          <cell r="C1584" t="str">
            <v>SPS REUSE WWTP TIMEWELL RD MCKAIL</v>
          </cell>
          <cell r="D1584" t="str">
            <v>A- actual</v>
          </cell>
          <cell r="E1584" t="str">
            <v>PS- pump station</v>
          </cell>
          <cell r="F1584" t="str">
            <v>TIMEWELL RD</v>
          </cell>
          <cell r="H1584" t="str">
            <v>W- water corporation</v>
          </cell>
          <cell r="J1584" t="str">
            <v>19950101</v>
          </cell>
          <cell r="K1584" t="str">
            <v>117.829468308</v>
          </cell>
          <cell r="L1584" t="str">
            <v>-34.992639856</v>
          </cell>
          <cell r="M1584" t="str">
            <v>H</v>
          </cell>
          <cell r="N1584" t="str">
            <v>100</v>
          </cell>
          <cell r="O1584" t="str">
            <v>TIMEWELL</v>
          </cell>
          <cell r="P1584" t="str">
            <v>RD</v>
          </cell>
          <cell r="R1584" t="str">
            <v>MCKAIL</v>
          </cell>
          <cell r="S1584" t="str">
            <v>6330</v>
          </cell>
        </row>
        <row r="1585">
          <cell r="B1585" t="str">
            <v>S8009187</v>
          </cell>
          <cell r="C1585" t="str">
            <v>VPS DOWELL RD VASSE</v>
          </cell>
          <cell r="D1585" t="str">
            <v>A- actual</v>
          </cell>
          <cell r="E1585" t="str">
            <v>VPS- vacuum pump station</v>
          </cell>
          <cell r="F1585" t="str">
            <v>DOWELL RD</v>
          </cell>
          <cell r="G1585" t="str">
            <v>22</v>
          </cell>
          <cell r="H1585" t="str">
            <v>W- water corporation</v>
          </cell>
          <cell r="J1585" t="str">
            <v>20080401</v>
          </cell>
          <cell r="K1585" t="str">
            <v>115.25253679</v>
          </cell>
          <cell r="L1585" t="str">
            <v>-33.6759924</v>
          </cell>
          <cell r="M1585" t="str">
            <v>L</v>
          </cell>
          <cell r="N1585" t="str">
            <v>503</v>
          </cell>
          <cell r="O1585" t="str">
            <v>DOWELL</v>
          </cell>
          <cell r="P1585" t="str">
            <v>RD</v>
          </cell>
          <cell r="R1585" t="str">
            <v>VASSE</v>
          </cell>
          <cell r="S1585" t="str">
            <v>6280</v>
          </cell>
        </row>
        <row r="1586">
          <cell r="D1586" t="str">
            <v>A- actual</v>
          </cell>
          <cell r="E1586" t="str">
            <v>PS- pump station</v>
          </cell>
          <cell r="F1586" t="str">
            <v>EATON SCOUT CAMP</v>
          </cell>
          <cell r="H1586" t="str">
            <v>P- private</v>
          </cell>
          <cell r="J1586" t="str">
            <v>20020517</v>
          </cell>
          <cell r="K1586" t="str">
            <v>115.720272257</v>
          </cell>
          <cell r="L1586" t="str">
            <v>-33.3090586</v>
          </cell>
          <cell r="M1586" t="str">
            <v>H</v>
          </cell>
          <cell r="N1586" t="str">
            <v>51</v>
          </cell>
          <cell r="O1586" t="str">
            <v>LEAKE</v>
          </cell>
          <cell r="P1586" t="str">
            <v>ST</v>
          </cell>
          <cell r="R1586" t="str">
            <v>EATON</v>
          </cell>
          <cell r="S1586" t="str">
            <v>6232</v>
          </cell>
        </row>
        <row r="1587">
          <cell r="D1587" t="str">
            <v>A- actual</v>
          </cell>
          <cell r="E1587" t="str">
            <v>PS- pump station</v>
          </cell>
          <cell r="F1587" t="str">
            <v>NATIONAL LIFESTYLE VILLAGES</v>
          </cell>
          <cell r="H1587" t="str">
            <v>P- private</v>
          </cell>
          <cell r="J1587" t="str">
            <v>20090120</v>
          </cell>
          <cell r="K1587" t="str">
            <v>115.792589213</v>
          </cell>
          <cell r="L1587" t="str">
            <v>-32.362970715</v>
          </cell>
          <cell r="M1587" t="str">
            <v>H</v>
          </cell>
          <cell r="N1587" t="str">
            <v>94</v>
          </cell>
          <cell r="O1587" t="str">
            <v>SIXTY EIGHT</v>
          </cell>
          <cell r="P1587" t="str">
            <v>RD</v>
          </cell>
          <cell r="R1587" t="str">
            <v>BALDIVIS</v>
          </cell>
          <cell r="S1587" t="str">
            <v>6171</v>
          </cell>
        </row>
        <row r="1588">
          <cell r="B1588" t="str">
            <v>S8000683</v>
          </cell>
          <cell r="C1588" t="str">
            <v>SPS REUSE WWTP 2 DUNSBOROUGH</v>
          </cell>
          <cell r="D1588" t="str">
            <v>A- actual</v>
          </cell>
          <cell r="E1588" t="str">
            <v>EPS- effluent re-use pump station</v>
          </cell>
          <cell r="F1588" t="str">
            <v>DUNSBOROUGH IRRIGATION</v>
          </cell>
          <cell r="H1588" t="str">
            <v>W- water corporation</v>
          </cell>
          <cell r="J1588" t="str">
            <v>19990107</v>
          </cell>
          <cell r="K1588" t="str">
            <v>115.154354644</v>
          </cell>
          <cell r="L1588" t="str">
            <v>-33.6698939229</v>
          </cell>
          <cell r="M1588" t="str">
            <v>L</v>
          </cell>
          <cell r="N1588" t="str">
            <v>4796</v>
          </cell>
          <cell r="O1588" t="str">
            <v>ANNIEBROOK</v>
          </cell>
          <cell r="P1588" t="str">
            <v>RD</v>
          </cell>
          <cell r="R1588" t="str">
            <v>ANNIEBROOK</v>
          </cell>
          <cell r="S1588" t="str">
            <v>6280</v>
          </cell>
        </row>
        <row r="1589">
          <cell r="B1589" t="str">
            <v>S2023229</v>
          </cell>
          <cell r="C1589" t="str">
            <v>SPS MARRIOTT RD JANDAKOT</v>
          </cell>
          <cell r="D1589" t="str">
            <v>A- actual</v>
          </cell>
          <cell r="E1589" t="str">
            <v>PS- pump station</v>
          </cell>
          <cell r="F1589" t="str">
            <v>MARRIOTT RD</v>
          </cell>
          <cell r="H1589" t="str">
            <v>P- private</v>
          </cell>
          <cell r="J1589" t="str">
            <v>20090501</v>
          </cell>
          <cell r="K1589" t="str">
            <v>115.874617051</v>
          </cell>
          <cell r="L1589" t="str">
            <v>-32.090582839</v>
          </cell>
          <cell r="M1589" t="str">
            <v>L</v>
          </cell>
          <cell r="N1589" t="str">
            <v>10</v>
          </cell>
          <cell r="O1589" t="str">
            <v>KAREL</v>
          </cell>
          <cell r="P1589" t="str">
            <v>AV</v>
          </cell>
          <cell r="R1589" t="str">
            <v>JANDAKOT</v>
          </cell>
          <cell r="S1589" t="str">
            <v>6164</v>
          </cell>
        </row>
        <row r="1590">
          <cell r="B1590" t="str">
            <v>S2019806</v>
          </cell>
          <cell r="C1590" t="str">
            <v>SPS MCDONALD RD BALDIVIS</v>
          </cell>
          <cell r="D1590" t="str">
            <v>A- actual</v>
          </cell>
          <cell r="E1590" t="str">
            <v>PS- pump station</v>
          </cell>
          <cell r="F1590" t="str">
            <v>MCDONALD RD</v>
          </cell>
          <cell r="G1590" t="str">
            <v>199-02</v>
          </cell>
          <cell r="H1590" t="str">
            <v>W- water corporation</v>
          </cell>
          <cell r="J1590" t="str">
            <v>20090622</v>
          </cell>
          <cell r="K1590" t="str">
            <v>115.80882232</v>
          </cell>
          <cell r="L1590" t="str">
            <v>-32.30788474</v>
          </cell>
          <cell r="M1590" t="str">
            <v>H</v>
          </cell>
          <cell r="N1590" t="str">
            <v>67</v>
          </cell>
          <cell r="O1590" t="str">
            <v>INGARFIELD</v>
          </cell>
          <cell r="P1590" t="str">
            <v>GRN</v>
          </cell>
          <cell r="R1590" t="str">
            <v>BALDIVIS</v>
          </cell>
          <cell r="S1590" t="str">
            <v>6171</v>
          </cell>
        </row>
        <row r="1591">
          <cell r="B1591" t="str">
            <v>S2019604</v>
          </cell>
          <cell r="C1591" t="str">
            <v>LPPS H42 PORTEOUS RD SORRENTO</v>
          </cell>
          <cell r="D1591" t="str">
            <v>A- actual</v>
          </cell>
          <cell r="E1591" t="str">
            <v>LPPS- low pressure pump station</v>
          </cell>
          <cell r="F1591" t="str">
            <v>PORTEOUS RD</v>
          </cell>
          <cell r="G1591" t="str">
            <v>6</v>
          </cell>
          <cell r="H1591" t="str">
            <v>W- water corporation</v>
          </cell>
          <cell r="J1591" t="str">
            <v>20080701</v>
          </cell>
          <cell r="K1591" t="str">
            <v>115.760574904</v>
          </cell>
          <cell r="L1591" t="str">
            <v>-31.829936741</v>
          </cell>
          <cell r="M1591" t="str">
            <v>H</v>
          </cell>
          <cell r="N1591" t="str">
            <v>42</v>
          </cell>
          <cell r="O1591" t="str">
            <v>PORTEOUS</v>
          </cell>
          <cell r="P1591" t="str">
            <v>RD</v>
          </cell>
          <cell r="R1591" t="str">
            <v>SORRENTO</v>
          </cell>
          <cell r="S1591" t="str">
            <v>6020</v>
          </cell>
        </row>
        <row r="1592">
          <cell r="B1592" t="str">
            <v>S2019605</v>
          </cell>
          <cell r="C1592" t="str">
            <v>LPPS H44 PORTEOUS RD SORRENTO</v>
          </cell>
          <cell r="D1592" t="str">
            <v>A- actual</v>
          </cell>
          <cell r="E1592" t="str">
            <v>LPPS- low pressure pump station</v>
          </cell>
          <cell r="F1592" t="str">
            <v>PORTEOUS RD</v>
          </cell>
          <cell r="G1592" t="str">
            <v>7</v>
          </cell>
          <cell r="H1592" t="str">
            <v>W- water corporation</v>
          </cell>
          <cell r="J1592" t="str">
            <v>20080629</v>
          </cell>
          <cell r="K1592" t="str">
            <v>115.760742607</v>
          </cell>
          <cell r="L1592" t="str">
            <v>-31.829825319</v>
          </cell>
          <cell r="M1592" t="str">
            <v>H</v>
          </cell>
          <cell r="N1592" t="str">
            <v>44</v>
          </cell>
          <cell r="O1592" t="str">
            <v>PORTEOUS</v>
          </cell>
          <cell r="P1592" t="str">
            <v>RD</v>
          </cell>
          <cell r="R1592" t="str">
            <v>SORRENTO</v>
          </cell>
          <cell r="S1592" t="str">
            <v>6020</v>
          </cell>
        </row>
        <row r="1593">
          <cell r="B1593" t="str">
            <v>S2019606</v>
          </cell>
          <cell r="C1593" t="str">
            <v>LPPS H46 PORTEOUS RD SORRENTO</v>
          </cell>
          <cell r="D1593" t="str">
            <v>A- actual</v>
          </cell>
          <cell r="E1593" t="str">
            <v>LPPS- low pressure pump station</v>
          </cell>
          <cell r="F1593" t="str">
            <v>PORTEOUS RD</v>
          </cell>
          <cell r="G1593" t="str">
            <v>8</v>
          </cell>
          <cell r="H1593" t="str">
            <v>W- water corporation</v>
          </cell>
          <cell r="J1593" t="str">
            <v>20080630</v>
          </cell>
          <cell r="K1593" t="str">
            <v>115.761078017</v>
          </cell>
          <cell r="L1593" t="str">
            <v>-31.829602471</v>
          </cell>
          <cell r="M1593" t="str">
            <v>H</v>
          </cell>
          <cell r="N1593" t="str">
            <v>48</v>
          </cell>
          <cell r="O1593" t="str">
            <v>PORTEOUS</v>
          </cell>
          <cell r="P1593" t="str">
            <v>RD</v>
          </cell>
          <cell r="R1593" t="str">
            <v>SORRENTO</v>
          </cell>
          <cell r="S1593" t="str">
            <v>6020</v>
          </cell>
        </row>
        <row r="1594">
          <cell r="B1594" t="str">
            <v>S2019607</v>
          </cell>
          <cell r="C1594" t="str">
            <v>LPPS H48 PORTEOUS RD SORRENTO</v>
          </cell>
          <cell r="D1594" t="str">
            <v>A- actual</v>
          </cell>
          <cell r="E1594" t="str">
            <v>LPPS- low pressure pump station</v>
          </cell>
          <cell r="F1594" t="str">
            <v>PORTEOUS RD</v>
          </cell>
          <cell r="G1594" t="str">
            <v>9</v>
          </cell>
          <cell r="H1594" t="str">
            <v>W- water corporation</v>
          </cell>
          <cell r="J1594" t="str">
            <v>20080629</v>
          </cell>
          <cell r="K1594" t="str">
            <v>115.761078017</v>
          </cell>
          <cell r="L1594" t="str">
            <v>-31.829602471</v>
          </cell>
          <cell r="M1594" t="str">
            <v>H</v>
          </cell>
          <cell r="N1594" t="str">
            <v>48</v>
          </cell>
          <cell r="O1594" t="str">
            <v>PORTEOUS</v>
          </cell>
          <cell r="P1594" t="str">
            <v>RD</v>
          </cell>
          <cell r="R1594" t="str">
            <v>SORRENTO</v>
          </cell>
          <cell r="S1594" t="str">
            <v>6020</v>
          </cell>
        </row>
        <row r="1595">
          <cell r="B1595" t="str">
            <v>S2019608</v>
          </cell>
          <cell r="C1595" t="str">
            <v>LPPS H50 PORTEOUS RD SORRENTO</v>
          </cell>
          <cell r="D1595" t="str">
            <v>A- actual</v>
          </cell>
          <cell r="E1595" t="str">
            <v>LPPS- low pressure pump station</v>
          </cell>
          <cell r="F1595" t="str">
            <v>PORTEOUS RD</v>
          </cell>
          <cell r="G1595" t="str">
            <v>10</v>
          </cell>
          <cell r="H1595" t="str">
            <v>W- water corporation</v>
          </cell>
          <cell r="J1595" t="str">
            <v>20080629</v>
          </cell>
          <cell r="K1595" t="str">
            <v>115.761449789</v>
          </cell>
          <cell r="L1595" t="str">
            <v>-31.829439651</v>
          </cell>
          <cell r="M1595" t="str">
            <v>H</v>
          </cell>
          <cell r="N1595" t="str">
            <v>52</v>
          </cell>
          <cell r="O1595" t="str">
            <v>PORTEOUS</v>
          </cell>
          <cell r="P1595" t="str">
            <v>RD</v>
          </cell>
          <cell r="R1595" t="str">
            <v>SORRENTO</v>
          </cell>
          <cell r="S1595" t="str">
            <v>6020</v>
          </cell>
        </row>
        <row r="1596">
          <cell r="B1596" t="str">
            <v>S2019609</v>
          </cell>
          <cell r="C1596" t="str">
            <v>LPPS H52 PORTEOUS RD SORRENTO</v>
          </cell>
          <cell r="D1596" t="str">
            <v>A- actual</v>
          </cell>
          <cell r="E1596" t="str">
            <v>LPPS- low pressure pump station</v>
          </cell>
          <cell r="F1596" t="str">
            <v>PORTEOUS RD</v>
          </cell>
          <cell r="G1596" t="str">
            <v>11</v>
          </cell>
          <cell r="H1596" t="str">
            <v>W- water corporation</v>
          </cell>
          <cell r="J1596" t="str">
            <v>20080629</v>
          </cell>
          <cell r="K1596" t="str">
            <v>115.761449789</v>
          </cell>
          <cell r="L1596" t="str">
            <v>-31.829439651</v>
          </cell>
          <cell r="M1596" t="str">
            <v>H</v>
          </cell>
          <cell r="N1596" t="str">
            <v>52</v>
          </cell>
          <cell r="O1596" t="str">
            <v>PORTEOUS</v>
          </cell>
          <cell r="P1596" t="str">
            <v>RD</v>
          </cell>
          <cell r="R1596" t="str">
            <v>SORRENTO</v>
          </cell>
          <cell r="S1596" t="str">
            <v>6020</v>
          </cell>
        </row>
        <row r="1597">
          <cell r="D1597" t="str">
            <v>A- actual</v>
          </cell>
          <cell r="E1597" t="str">
            <v>PS- pump station</v>
          </cell>
          <cell r="F1597" t="str">
            <v>LOT 124</v>
          </cell>
          <cell r="H1597" t="str">
            <v>P- private</v>
          </cell>
          <cell r="J1597" t="str">
            <v>20090609</v>
          </cell>
          <cell r="K1597" t="str">
            <v>115.722115622</v>
          </cell>
          <cell r="L1597" t="str">
            <v>-33.4815271718</v>
          </cell>
          <cell r="M1597" t="str">
            <v>H</v>
          </cell>
          <cell r="N1597" t="str">
            <v>21</v>
          </cell>
          <cell r="O1597" t="str">
            <v>RAY</v>
          </cell>
          <cell r="P1597" t="str">
            <v>ST</v>
          </cell>
          <cell r="R1597" t="str">
            <v>BOYANUP</v>
          </cell>
          <cell r="S1597" t="str">
            <v>6237</v>
          </cell>
        </row>
        <row r="1598">
          <cell r="D1598" t="str">
            <v>A- actual</v>
          </cell>
          <cell r="E1598" t="str">
            <v>PS- pump station</v>
          </cell>
          <cell r="F1598" t="str">
            <v>TOM BATEMAN RESERVE</v>
          </cell>
          <cell r="H1598" t="str">
            <v>P- private</v>
          </cell>
          <cell r="J1598" t="str">
            <v>20041026</v>
          </cell>
          <cell r="K1598" t="str">
            <v>115.938360645</v>
          </cell>
          <cell r="L1598" t="str">
            <v>-32.058711991</v>
          </cell>
          <cell r="M1598" t="str">
            <v>H</v>
          </cell>
          <cell r="N1598" t="str">
            <v>29</v>
          </cell>
          <cell r="O1598" t="str">
            <v>NYANDI</v>
          </cell>
          <cell r="P1598" t="str">
            <v>CT</v>
          </cell>
          <cell r="R1598" t="str">
            <v>THORNLIE</v>
          </cell>
          <cell r="S1598" t="str">
            <v>6108</v>
          </cell>
        </row>
        <row r="1599">
          <cell r="B1599" t="str">
            <v>S2019685</v>
          </cell>
          <cell r="C1599" t="str">
            <v>LPPS H07 RIVERSIDE DR MOSMAN PK</v>
          </cell>
          <cell r="D1599" t="str">
            <v>A- actual</v>
          </cell>
          <cell r="E1599" t="str">
            <v>LPPS- low pressure pump station</v>
          </cell>
          <cell r="F1599" t="str">
            <v>RIVERSIDE DR</v>
          </cell>
          <cell r="G1599" t="str">
            <v>4</v>
          </cell>
          <cell r="H1599" t="str">
            <v>W- water corporation</v>
          </cell>
          <cell r="J1599" t="str">
            <v>20080720</v>
          </cell>
          <cell r="K1599" t="str">
            <v>115.778404764</v>
          </cell>
          <cell r="L1599" t="str">
            <v>-32.019384554</v>
          </cell>
          <cell r="M1599" t="str">
            <v>H</v>
          </cell>
          <cell r="N1599" t="str">
            <v>7</v>
          </cell>
          <cell r="O1599" t="str">
            <v>RIVERSIDE</v>
          </cell>
          <cell r="P1599" t="str">
            <v>DR</v>
          </cell>
          <cell r="R1599" t="str">
            <v>MOSMAN PARK</v>
          </cell>
          <cell r="S1599" t="str">
            <v>6012</v>
          </cell>
        </row>
        <row r="1600">
          <cell r="B1600" t="str">
            <v>S8010776</v>
          </cell>
          <cell r="C1600" t="str">
            <v>SPS KARRI ST WALPOLE</v>
          </cell>
          <cell r="D1600" t="str">
            <v>A- actual</v>
          </cell>
          <cell r="E1600" t="str">
            <v>PS- pump station</v>
          </cell>
          <cell r="F1600" t="str">
            <v>KARRI ST</v>
          </cell>
          <cell r="G1600" t="str">
            <v>3</v>
          </cell>
          <cell r="H1600" t="str">
            <v>W- water corporation</v>
          </cell>
          <cell r="J1600" t="str">
            <v>20080826</v>
          </cell>
          <cell r="K1600" t="str">
            <v>116.714519659</v>
          </cell>
          <cell r="L1600" t="str">
            <v>-34.9802543642</v>
          </cell>
          <cell r="M1600" t="str">
            <v>H</v>
          </cell>
          <cell r="N1600" t="str">
            <v>89</v>
          </cell>
          <cell r="O1600" t="str">
            <v>KARRI</v>
          </cell>
          <cell r="P1600" t="str">
            <v>ST</v>
          </cell>
          <cell r="R1600" t="str">
            <v>WALPOLE</v>
          </cell>
          <cell r="S1600" t="str">
            <v>6398</v>
          </cell>
        </row>
        <row r="1601">
          <cell r="B1601" t="str">
            <v>S2019682</v>
          </cell>
          <cell r="C1601" t="str">
            <v>LPPS H13 BIRD ST MOSMAN PK</v>
          </cell>
          <cell r="D1601" t="str">
            <v>A- actual</v>
          </cell>
          <cell r="E1601" t="str">
            <v>LPPS- low pressure pump station</v>
          </cell>
          <cell r="F1601" t="str">
            <v>BIRD ST</v>
          </cell>
          <cell r="G1601" t="str">
            <v>1</v>
          </cell>
          <cell r="H1601" t="str">
            <v>W- water corporation</v>
          </cell>
          <cell r="J1601" t="str">
            <v>20080722</v>
          </cell>
          <cell r="K1601" t="str">
            <v>115.778313636</v>
          </cell>
          <cell r="L1601" t="str">
            <v>-32.018981502</v>
          </cell>
          <cell r="M1601" t="str">
            <v>H</v>
          </cell>
          <cell r="N1601" t="str">
            <v>8</v>
          </cell>
          <cell r="O1601" t="str">
            <v>RIVERSIDE</v>
          </cell>
          <cell r="P1601" t="str">
            <v>DR</v>
          </cell>
          <cell r="R1601" t="str">
            <v>MOSMAN PARK</v>
          </cell>
          <cell r="S1601" t="str">
            <v>6012</v>
          </cell>
        </row>
        <row r="1602">
          <cell r="B1602" t="str">
            <v>S2019736</v>
          </cell>
          <cell r="C1602" t="str">
            <v>LPPS H03 FAIRBAIRN ST MOSMAN PK</v>
          </cell>
          <cell r="D1602" t="str">
            <v>A- actual</v>
          </cell>
          <cell r="E1602" t="str">
            <v>LPPS- low pressure pump station</v>
          </cell>
          <cell r="F1602" t="str">
            <v>FAIRBAIRN ST</v>
          </cell>
          <cell r="G1602" t="str">
            <v>14</v>
          </cell>
          <cell r="H1602" t="str">
            <v>W- water corporation</v>
          </cell>
          <cell r="J1602" t="str">
            <v>20080706</v>
          </cell>
          <cell r="K1602" t="str">
            <v>115.769350709</v>
          </cell>
          <cell r="L1602" t="str">
            <v>-32.0216348505</v>
          </cell>
          <cell r="M1602" t="str">
            <v>H</v>
          </cell>
          <cell r="N1602" t="str">
            <v>3</v>
          </cell>
          <cell r="O1602" t="str">
            <v>FAIRBAIRN</v>
          </cell>
          <cell r="P1602" t="str">
            <v>ST</v>
          </cell>
          <cell r="R1602" t="str">
            <v>MOSMAN PARK</v>
          </cell>
          <cell r="S1602" t="str">
            <v>6012</v>
          </cell>
        </row>
        <row r="1603">
          <cell r="B1603" t="str">
            <v>S2019728</v>
          </cell>
          <cell r="C1603" t="str">
            <v>LPPS H15 FAIRBAIRN ST MOSMAN PK</v>
          </cell>
          <cell r="D1603" t="str">
            <v>A- actual</v>
          </cell>
          <cell r="E1603" t="str">
            <v>LPPS- low pressure pump station</v>
          </cell>
          <cell r="F1603" t="str">
            <v>FAIRBAIRN ST</v>
          </cell>
          <cell r="G1603" t="str">
            <v>6</v>
          </cell>
          <cell r="H1603" t="str">
            <v>W- water corporation</v>
          </cell>
          <cell r="J1603" t="str">
            <v>20080706</v>
          </cell>
          <cell r="K1603" t="str">
            <v>115.768606501</v>
          </cell>
          <cell r="L1603" t="str">
            <v>-32.021127516</v>
          </cell>
          <cell r="M1603" t="str">
            <v>H</v>
          </cell>
          <cell r="N1603" t="str">
            <v>15</v>
          </cell>
          <cell r="O1603" t="str">
            <v>FAIRBAIRN</v>
          </cell>
          <cell r="P1603" t="str">
            <v>ST</v>
          </cell>
          <cell r="R1603" t="str">
            <v>MOSMAN PARK</v>
          </cell>
          <cell r="S1603" t="str">
            <v>6012</v>
          </cell>
        </row>
        <row r="1604">
          <cell r="B1604" t="str">
            <v>S2019727</v>
          </cell>
          <cell r="C1604" t="str">
            <v>LPPS H17 FAIRBAIRN ST MOSMAN PK</v>
          </cell>
          <cell r="D1604" t="str">
            <v>A- actual</v>
          </cell>
          <cell r="E1604" t="str">
            <v>LPPS- low pressure pump station</v>
          </cell>
          <cell r="F1604" t="str">
            <v>FAIRBAIRN ST</v>
          </cell>
          <cell r="G1604" t="str">
            <v>5</v>
          </cell>
          <cell r="H1604" t="str">
            <v>W- water corporation</v>
          </cell>
          <cell r="J1604" t="str">
            <v>20080706</v>
          </cell>
          <cell r="K1604" t="str">
            <v>115.768886754</v>
          </cell>
          <cell r="L1604" t="str">
            <v>-32.0211875796</v>
          </cell>
          <cell r="M1604" t="str">
            <v>H</v>
          </cell>
          <cell r="N1604" t="str">
            <v>17</v>
          </cell>
          <cell r="O1604" t="str">
            <v>FAIRBAIRN</v>
          </cell>
          <cell r="P1604" t="str">
            <v>ST</v>
          </cell>
          <cell r="R1604" t="str">
            <v>MOSMAN PARK</v>
          </cell>
          <cell r="S1604" t="str">
            <v>6012</v>
          </cell>
        </row>
        <row r="1605">
          <cell r="B1605" t="str">
            <v>S2019726</v>
          </cell>
          <cell r="C1605" t="str">
            <v>LPPS H19 FAIRBAIRN ST MOSMAN PK</v>
          </cell>
          <cell r="D1605" t="str">
            <v>A- actual</v>
          </cell>
          <cell r="E1605" t="str">
            <v>LPPS- low pressure pump station</v>
          </cell>
          <cell r="F1605" t="str">
            <v>FAIRBAIRN ST</v>
          </cell>
          <cell r="G1605" t="str">
            <v>4</v>
          </cell>
          <cell r="H1605" t="str">
            <v>W- water corporation</v>
          </cell>
          <cell r="J1605" t="str">
            <v>20080710</v>
          </cell>
          <cell r="K1605" t="str">
            <v>115.769105086</v>
          </cell>
          <cell r="L1605" t="str">
            <v>-32.0211940651</v>
          </cell>
          <cell r="M1605" t="str">
            <v>H</v>
          </cell>
          <cell r="N1605" t="str">
            <v>19</v>
          </cell>
          <cell r="O1605" t="str">
            <v>FAIRBAIRN</v>
          </cell>
          <cell r="P1605" t="str">
            <v>ST</v>
          </cell>
          <cell r="R1605" t="str">
            <v>MOSMAN PARK</v>
          </cell>
          <cell r="S1605" t="str">
            <v>6012</v>
          </cell>
        </row>
        <row r="1606">
          <cell r="B1606" t="str">
            <v>S2019724</v>
          </cell>
          <cell r="C1606" t="str">
            <v>LPPS H23 FAIRBAIRN ST MOSMAN PK</v>
          </cell>
          <cell r="D1606" t="str">
            <v>A- actual</v>
          </cell>
          <cell r="E1606" t="str">
            <v>LPPS- low pressure pump station</v>
          </cell>
          <cell r="F1606" t="str">
            <v>FAIRBAIRN ST</v>
          </cell>
          <cell r="G1606" t="str">
            <v>2</v>
          </cell>
          <cell r="H1606" t="str">
            <v>W- water corporation</v>
          </cell>
          <cell r="J1606" t="str">
            <v>20080706</v>
          </cell>
          <cell r="K1606" t="str">
            <v>115.769510326</v>
          </cell>
          <cell r="L1606" t="str">
            <v>-32.0211944215</v>
          </cell>
          <cell r="M1606" t="str">
            <v>H</v>
          </cell>
          <cell r="N1606" t="str">
            <v>23</v>
          </cell>
          <cell r="O1606" t="str">
            <v>FAIRBAIRN</v>
          </cell>
          <cell r="P1606" t="str">
            <v>ST</v>
          </cell>
          <cell r="R1606" t="str">
            <v>MOSMAN PARK</v>
          </cell>
          <cell r="S1606" t="str">
            <v>6012</v>
          </cell>
        </row>
        <row r="1607">
          <cell r="B1607" t="str">
            <v>S2019656</v>
          </cell>
          <cell r="C1607" t="str">
            <v>LPPS H01 KOTT TCE CLAREMONT</v>
          </cell>
          <cell r="D1607" t="str">
            <v>A- actual</v>
          </cell>
          <cell r="E1607" t="str">
            <v>LPPS- low pressure pump station</v>
          </cell>
          <cell r="F1607" t="str">
            <v>KOTT TCE</v>
          </cell>
          <cell r="G1607" t="str">
            <v>8</v>
          </cell>
          <cell r="H1607" t="str">
            <v>W- water corporation</v>
          </cell>
          <cell r="J1607" t="str">
            <v>20080722</v>
          </cell>
          <cell r="K1607" t="str">
            <v>115.77792879</v>
          </cell>
          <cell r="L1607" t="str">
            <v>-31.9788729631</v>
          </cell>
          <cell r="M1607" t="str">
            <v>H</v>
          </cell>
          <cell r="N1607" t="str">
            <v>1</v>
          </cell>
          <cell r="O1607" t="str">
            <v>KOTT</v>
          </cell>
          <cell r="P1607" t="str">
            <v>TCE</v>
          </cell>
          <cell r="R1607" t="str">
            <v>CLAREMONT</v>
          </cell>
          <cell r="S1607" t="str">
            <v>6010</v>
          </cell>
        </row>
        <row r="1608">
          <cell r="B1608" t="str">
            <v>S2019649</v>
          </cell>
          <cell r="C1608" t="str">
            <v>LPPS H03 GLOUCESTER ST SWANBOURNE</v>
          </cell>
          <cell r="D1608" t="str">
            <v>A- actual</v>
          </cell>
          <cell r="E1608" t="str">
            <v>LPPS- low pressure pump station</v>
          </cell>
          <cell r="F1608" t="str">
            <v>GLOUCESTER ST</v>
          </cell>
          <cell r="G1608" t="str">
            <v>1</v>
          </cell>
          <cell r="H1608" t="str">
            <v>W- water corporation</v>
          </cell>
          <cell r="J1608" t="str">
            <v>20080728</v>
          </cell>
          <cell r="K1608" t="str">
            <v>115.771698451</v>
          </cell>
          <cell r="L1608" t="str">
            <v>-31.9744855958</v>
          </cell>
          <cell r="M1608" t="str">
            <v>H</v>
          </cell>
          <cell r="N1608" t="str">
            <v>3</v>
          </cell>
          <cell r="O1608" t="str">
            <v>GLOUCESTER</v>
          </cell>
          <cell r="P1608" t="str">
            <v>ST</v>
          </cell>
          <cell r="R1608" t="str">
            <v>SWANBOURNE</v>
          </cell>
          <cell r="S1608" t="str">
            <v>6010</v>
          </cell>
        </row>
        <row r="1609">
          <cell r="B1609" t="str">
            <v>S2019555</v>
          </cell>
          <cell r="C1609" t="str">
            <v>LPPS H29 CLONTARF ST SORRENTO</v>
          </cell>
          <cell r="D1609" t="str">
            <v>A- actual</v>
          </cell>
          <cell r="E1609" t="str">
            <v>LPPS- low pressure pump station</v>
          </cell>
          <cell r="F1609" t="str">
            <v>CLONTARF ST</v>
          </cell>
          <cell r="G1609" t="str">
            <v>14</v>
          </cell>
          <cell r="H1609" t="str">
            <v>W- water corporation</v>
          </cell>
          <cell r="J1609" t="str">
            <v>20081011</v>
          </cell>
          <cell r="K1609" t="str">
            <v>115.752236503</v>
          </cell>
          <cell r="L1609" t="str">
            <v>-31.83516585</v>
          </cell>
          <cell r="M1609" t="str">
            <v>H</v>
          </cell>
          <cell r="N1609" t="str">
            <v>29</v>
          </cell>
          <cell r="O1609" t="str">
            <v>CLONTARF</v>
          </cell>
          <cell r="P1609" t="str">
            <v>ST</v>
          </cell>
          <cell r="R1609" t="str">
            <v>SORRENTO</v>
          </cell>
          <cell r="S1609" t="str">
            <v>6020</v>
          </cell>
        </row>
        <row r="1610">
          <cell r="B1610" t="str">
            <v>S2019545</v>
          </cell>
          <cell r="C1610" t="str">
            <v>LPPS H33 ROSS AV SORRENTO</v>
          </cell>
          <cell r="D1610" t="str">
            <v>A- actual</v>
          </cell>
          <cell r="E1610" t="str">
            <v>LPPS- low pressure pump station</v>
          </cell>
          <cell r="F1610" t="str">
            <v>ROSS AVE</v>
          </cell>
          <cell r="G1610" t="str">
            <v>4</v>
          </cell>
          <cell r="H1610" t="str">
            <v>W- water corporation</v>
          </cell>
          <cell r="J1610" t="str">
            <v>20081008</v>
          </cell>
          <cell r="K1610" t="str">
            <v>115.753448542</v>
          </cell>
          <cell r="L1610" t="str">
            <v>-31.834176836</v>
          </cell>
          <cell r="M1610" t="str">
            <v>H</v>
          </cell>
          <cell r="N1610" t="str">
            <v>33</v>
          </cell>
          <cell r="O1610" t="str">
            <v>ROSS</v>
          </cell>
          <cell r="P1610" t="str">
            <v>AV</v>
          </cell>
          <cell r="R1610" t="str">
            <v>SORRENTO</v>
          </cell>
          <cell r="S1610" t="str">
            <v>6020</v>
          </cell>
        </row>
        <row r="1611">
          <cell r="B1611" t="str">
            <v>S2019553</v>
          </cell>
          <cell r="C1611" t="str">
            <v>LPPS H33 CLONTARF ST SORRENTO</v>
          </cell>
          <cell r="D1611" t="str">
            <v>A- actual</v>
          </cell>
          <cell r="E1611" t="str">
            <v>LPPS- low pressure pump station</v>
          </cell>
          <cell r="F1611" t="str">
            <v>CLONTARF ST</v>
          </cell>
          <cell r="G1611" t="str">
            <v>12</v>
          </cell>
          <cell r="H1611" t="str">
            <v>W- water corporation</v>
          </cell>
          <cell r="J1611" t="str">
            <v>20080706</v>
          </cell>
          <cell r="K1611" t="str">
            <v>115.75260357</v>
          </cell>
          <cell r="L1611" t="str">
            <v>-31.83482401</v>
          </cell>
          <cell r="M1611" t="str">
            <v>H</v>
          </cell>
          <cell r="N1611" t="str">
            <v>101</v>
          </cell>
          <cell r="O1611" t="str">
            <v>CLIFF</v>
          </cell>
          <cell r="P1611" t="str">
            <v>ST</v>
          </cell>
          <cell r="R1611" t="str">
            <v>SORRENTO</v>
          </cell>
          <cell r="S1611" t="str">
            <v>6020</v>
          </cell>
        </row>
        <row r="1612">
          <cell r="B1612" t="str">
            <v>S2019547</v>
          </cell>
          <cell r="C1612" t="str">
            <v>LPPS H37 ROSS AV SORRENTO</v>
          </cell>
          <cell r="D1612" t="str">
            <v>A- actual</v>
          </cell>
          <cell r="E1612" t="str">
            <v>LPPS- low pressure pump station</v>
          </cell>
          <cell r="F1612" t="str">
            <v>ROSS AVE</v>
          </cell>
          <cell r="G1612" t="str">
            <v>6</v>
          </cell>
          <cell r="H1612" t="str">
            <v>W- water corporation</v>
          </cell>
          <cell r="J1612" t="str">
            <v>20080706</v>
          </cell>
          <cell r="K1612" t="str">
            <v>115.753879492</v>
          </cell>
          <cell r="L1612" t="str">
            <v>-31.8341753174</v>
          </cell>
          <cell r="M1612" t="str">
            <v>H</v>
          </cell>
          <cell r="N1612" t="str">
            <v>37</v>
          </cell>
          <cell r="O1612" t="str">
            <v>ROSS</v>
          </cell>
          <cell r="P1612" t="str">
            <v>AV</v>
          </cell>
          <cell r="R1612" t="str">
            <v>SORRENTO</v>
          </cell>
          <cell r="S1612" t="str">
            <v>6020</v>
          </cell>
        </row>
        <row r="1613">
          <cell r="B1613" t="str">
            <v>S2019542</v>
          </cell>
          <cell r="C1613" t="str">
            <v>LPPS H27 ROSS AV SORRENTO</v>
          </cell>
          <cell r="D1613" t="str">
            <v>A- actual</v>
          </cell>
          <cell r="E1613" t="str">
            <v>LPPS- low pressure pump station</v>
          </cell>
          <cell r="F1613" t="str">
            <v>ROSS AVE</v>
          </cell>
          <cell r="G1613" t="str">
            <v>1</v>
          </cell>
          <cell r="H1613" t="str">
            <v>W- water corporation</v>
          </cell>
          <cell r="J1613" t="str">
            <v>20080706</v>
          </cell>
          <cell r="K1613" t="str">
            <v>115.752810999</v>
          </cell>
          <cell r="L1613" t="str">
            <v>-31.834175437</v>
          </cell>
          <cell r="M1613" t="str">
            <v>H</v>
          </cell>
          <cell r="N1613" t="str">
            <v>27</v>
          </cell>
          <cell r="O1613" t="str">
            <v>ROSS</v>
          </cell>
          <cell r="P1613" t="str">
            <v>AV</v>
          </cell>
          <cell r="R1613" t="str">
            <v>SORRENTO</v>
          </cell>
          <cell r="S1613" t="str">
            <v>6020</v>
          </cell>
        </row>
        <row r="1614">
          <cell r="B1614" t="str">
            <v>S2019601</v>
          </cell>
          <cell r="C1614" t="str">
            <v>LPPS H36 PORTEOUS RD SORRENTO</v>
          </cell>
          <cell r="D1614" t="str">
            <v>A- actual</v>
          </cell>
          <cell r="E1614" t="str">
            <v>LPPS- low pressure pump station</v>
          </cell>
          <cell r="F1614" t="str">
            <v>PORTEOUS RD</v>
          </cell>
          <cell r="G1614" t="str">
            <v>3</v>
          </cell>
          <cell r="H1614" t="str">
            <v>W- water corporation</v>
          </cell>
          <cell r="J1614" t="str">
            <v>20081010</v>
          </cell>
          <cell r="K1614" t="str">
            <v>115.759983581</v>
          </cell>
          <cell r="L1614" t="str">
            <v>-31.830212461</v>
          </cell>
          <cell r="M1614" t="str">
            <v>H</v>
          </cell>
          <cell r="N1614" t="str">
            <v>36</v>
          </cell>
          <cell r="O1614" t="str">
            <v>PORTEOUS</v>
          </cell>
          <cell r="P1614" t="str">
            <v>RD</v>
          </cell>
          <cell r="R1614" t="str">
            <v>SORRENTO</v>
          </cell>
          <cell r="S1614" t="str">
            <v>6020</v>
          </cell>
        </row>
        <row r="1615">
          <cell r="B1615" t="str">
            <v>S2019599</v>
          </cell>
          <cell r="C1615" t="str">
            <v>LPPS H32 PORTEOUS RD SORRENTO</v>
          </cell>
          <cell r="D1615" t="str">
            <v>A- actual</v>
          </cell>
          <cell r="E1615" t="str">
            <v>LPPS- low pressure pump station</v>
          </cell>
          <cell r="F1615" t="str">
            <v>PORTEOUS RD</v>
          </cell>
          <cell r="G1615" t="str">
            <v>1</v>
          </cell>
          <cell r="H1615" t="str">
            <v>W- water corporation</v>
          </cell>
          <cell r="J1615" t="str">
            <v>20080701</v>
          </cell>
          <cell r="K1615" t="str">
            <v>115.759577587</v>
          </cell>
          <cell r="L1615" t="str">
            <v>-31.830211339</v>
          </cell>
          <cell r="M1615" t="str">
            <v>H</v>
          </cell>
          <cell r="N1615" t="str">
            <v>32</v>
          </cell>
          <cell r="O1615" t="str">
            <v>PORTEOUS</v>
          </cell>
          <cell r="P1615" t="str">
            <v>RD</v>
          </cell>
          <cell r="R1615" t="str">
            <v>SORRENTO</v>
          </cell>
          <cell r="S1615" t="str">
            <v>6020</v>
          </cell>
        </row>
        <row r="1616">
          <cell r="B1616" t="str">
            <v>S2019602</v>
          </cell>
          <cell r="C1616" t="str">
            <v>LPPS H38 PORTEOUS RD SORRENTO</v>
          </cell>
          <cell r="D1616" t="str">
            <v>A- actual</v>
          </cell>
          <cell r="E1616" t="str">
            <v>LPPS- low pressure pump station</v>
          </cell>
          <cell r="F1616" t="str">
            <v>PORTEOUS RD</v>
          </cell>
          <cell r="G1616" t="str">
            <v>4</v>
          </cell>
          <cell r="H1616" t="str">
            <v>W- water corporation</v>
          </cell>
          <cell r="J1616" t="str">
            <v>20080706</v>
          </cell>
          <cell r="K1616" t="str">
            <v>115.76019556</v>
          </cell>
          <cell r="L1616" t="str">
            <v>-31.830194632</v>
          </cell>
          <cell r="M1616" t="str">
            <v>H</v>
          </cell>
          <cell r="N1616" t="str">
            <v>38</v>
          </cell>
          <cell r="O1616" t="str">
            <v>PORTEOUS</v>
          </cell>
          <cell r="P1616" t="str">
            <v>RD</v>
          </cell>
          <cell r="R1616" t="str">
            <v>SORRENTO</v>
          </cell>
          <cell r="S1616" t="str">
            <v>6020</v>
          </cell>
        </row>
        <row r="1617">
          <cell r="B1617" t="str">
            <v>S2019603</v>
          </cell>
          <cell r="C1617" t="str">
            <v>LPPS H40 PORTEOUS RD SORRENTO</v>
          </cell>
          <cell r="D1617" t="str">
            <v>A- actual</v>
          </cell>
          <cell r="E1617" t="str">
            <v>LPPS- low pressure pump station</v>
          </cell>
          <cell r="F1617" t="str">
            <v>PORTEOUS RD</v>
          </cell>
          <cell r="G1617" t="str">
            <v>5</v>
          </cell>
          <cell r="H1617" t="str">
            <v>W- water corporation</v>
          </cell>
          <cell r="J1617" t="str">
            <v>20080701</v>
          </cell>
          <cell r="K1617" t="str">
            <v>115.76039923</v>
          </cell>
          <cell r="L1617" t="str">
            <v>-31.83007262</v>
          </cell>
          <cell r="M1617" t="str">
            <v>H</v>
          </cell>
          <cell r="N1617" t="str">
            <v>40</v>
          </cell>
          <cell r="O1617" t="str">
            <v>PORTEOUS</v>
          </cell>
          <cell r="P1617" t="str">
            <v>RD</v>
          </cell>
          <cell r="R1617" t="str">
            <v>SORRENTO</v>
          </cell>
          <cell r="S1617" t="str">
            <v>6020</v>
          </cell>
        </row>
        <row r="1618">
          <cell r="D1618" t="str">
            <v>A- actual</v>
          </cell>
          <cell r="E1618" t="str">
            <v>PS- pump station</v>
          </cell>
          <cell r="F1618" t="str">
            <v>FLOREAT BEACH SURF LIFE SAVING CLUB</v>
          </cell>
          <cell r="H1618" t="str">
            <v>P- private</v>
          </cell>
          <cell r="J1618" t="str">
            <v>20030313</v>
          </cell>
          <cell r="K1618" t="str">
            <v>115.756543638</v>
          </cell>
          <cell r="L1618" t="str">
            <v>-31.9287393058</v>
          </cell>
          <cell r="M1618" t="str">
            <v>L</v>
          </cell>
          <cell r="N1618" t="str">
            <v>1</v>
          </cell>
          <cell r="O1618" t="str">
            <v>WEST COAST</v>
          </cell>
          <cell r="P1618" t="str">
            <v>HWY</v>
          </cell>
          <cell r="R1618" t="str">
            <v>CITY BEACH</v>
          </cell>
          <cell r="S1618" t="str">
            <v>6015</v>
          </cell>
        </row>
        <row r="1619">
          <cell r="B1619" t="str">
            <v>S8011007</v>
          </cell>
          <cell r="C1619" t="str">
            <v>SPS DAWSON PL DONNYBROOK</v>
          </cell>
          <cell r="D1619" t="str">
            <v>A- actual</v>
          </cell>
          <cell r="E1619" t="str">
            <v>PS- pump station</v>
          </cell>
          <cell r="F1619" t="str">
            <v>DAWSON PL</v>
          </cell>
          <cell r="G1619" t="str">
            <v>4</v>
          </cell>
          <cell r="H1619" t="str">
            <v>W- water corporation</v>
          </cell>
          <cell r="J1619" t="str">
            <v>20090701</v>
          </cell>
          <cell r="K1619" t="str">
            <v>115.822300585</v>
          </cell>
          <cell r="L1619" t="str">
            <v>-33.5679449556</v>
          </cell>
          <cell r="M1619" t="str">
            <v>H</v>
          </cell>
          <cell r="N1619" t="str">
            <v>78</v>
          </cell>
          <cell r="O1619" t="str">
            <v>DAWSON</v>
          </cell>
          <cell r="P1619" t="str">
            <v>PL</v>
          </cell>
          <cell r="R1619" t="str">
            <v>DONNYBROOK</v>
          </cell>
          <cell r="S1619" t="str">
            <v>6239</v>
          </cell>
        </row>
        <row r="1620">
          <cell r="B1620" t="str">
            <v>S2019691</v>
          </cell>
          <cell r="C1620" t="str">
            <v>LPPS H03 RIVERSIDE DR MOSMAN PK</v>
          </cell>
          <cell r="D1620" t="str">
            <v>A- actual</v>
          </cell>
          <cell r="E1620" t="str">
            <v>LPPS- low pressure pump station</v>
          </cell>
          <cell r="F1620" t="str">
            <v>RIVERSIDE DR</v>
          </cell>
          <cell r="G1620" t="str">
            <v>10</v>
          </cell>
          <cell r="H1620" t="str">
            <v>W- water corporation</v>
          </cell>
          <cell r="J1620" t="str">
            <v>20090430</v>
          </cell>
          <cell r="K1620" t="str">
            <v>115.77918083</v>
          </cell>
          <cell r="L1620" t="str">
            <v>-32.01862574</v>
          </cell>
          <cell r="M1620" t="str">
            <v>H</v>
          </cell>
          <cell r="N1620" t="str">
            <v>3</v>
          </cell>
          <cell r="O1620" t="str">
            <v>RIVERSIDE</v>
          </cell>
          <cell r="P1620" t="str">
            <v>DR</v>
          </cell>
          <cell r="R1620" t="str">
            <v>MOSMAN PARK</v>
          </cell>
          <cell r="S1620" t="str">
            <v>6012</v>
          </cell>
        </row>
        <row r="1621">
          <cell r="B1621" t="str">
            <v>S2019689</v>
          </cell>
          <cell r="C1621" t="str">
            <v>LPPS H04 RIVERSIDE DR MOSMAN PK</v>
          </cell>
          <cell r="D1621" t="str">
            <v>A- actual</v>
          </cell>
          <cell r="E1621" t="str">
            <v>LPPS- low pressure pump station</v>
          </cell>
          <cell r="F1621" t="str">
            <v>RIVERSIDE DR</v>
          </cell>
          <cell r="G1621" t="str">
            <v>8</v>
          </cell>
          <cell r="H1621" t="str">
            <v>W- water corporation</v>
          </cell>
          <cell r="J1621" t="str">
            <v>20090430</v>
          </cell>
          <cell r="K1621" t="str">
            <v>115.779005601</v>
          </cell>
          <cell r="L1621" t="str">
            <v>-32.0188996167</v>
          </cell>
          <cell r="M1621" t="str">
            <v>H</v>
          </cell>
          <cell r="N1621" t="str">
            <v>4</v>
          </cell>
          <cell r="O1621" t="str">
            <v>RIVERSIDE</v>
          </cell>
          <cell r="P1621" t="str">
            <v>DR</v>
          </cell>
          <cell r="R1621" t="str">
            <v>MOSMAN PARK</v>
          </cell>
          <cell r="S1621" t="str">
            <v>6012</v>
          </cell>
        </row>
        <row r="1622">
          <cell r="B1622" t="str">
            <v>S2019543</v>
          </cell>
          <cell r="C1622" t="str">
            <v>LPPS H29 ROSS AV SORRENTO</v>
          </cell>
          <cell r="D1622" t="str">
            <v>A- actual</v>
          </cell>
          <cell r="E1622" t="str">
            <v>LPPS- low pressure pump station</v>
          </cell>
          <cell r="F1622" t="str">
            <v>ROSS AVE</v>
          </cell>
          <cell r="G1622" t="str">
            <v>2</v>
          </cell>
          <cell r="H1622" t="str">
            <v>W- water corporation</v>
          </cell>
          <cell r="J1622" t="str">
            <v>20090430</v>
          </cell>
          <cell r="K1622" t="str">
            <v>115.753023535</v>
          </cell>
          <cell r="L1622" t="str">
            <v>-31.834175901</v>
          </cell>
          <cell r="M1622" t="str">
            <v>H</v>
          </cell>
          <cell r="N1622" t="str">
            <v>29</v>
          </cell>
          <cell r="O1622" t="str">
            <v>ROSS</v>
          </cell>
          <cell r="P1622" t="str">
            <v>AV</v>
          </cell>
          <cell r="R1622" t="str">
            <v>SORRENTO</v>
          </cell>
          <cell r="S1622" t="str">
            <v>6020</v>
          </cell>
        </row>
        <row r="1623">
          <cell r="B1623" t="str">
            <v>S2019554</v>
          </cell>
          <cell r="C1623" t="str">
            <v>LPPS H31 CLONTARF ST SORRENTO</v>
          </cell>
          <cell r="D1623" t="str">
            <v>A- actual</v>
          </cell>
          <cell r="E1623" t="str">
            <v>LPPS- low pressure pump station</v>
          </cell>
          <cell r="F1623" t="str">
            <v>CLONTARF ST</v>
          </cell>
          <cell r="G1623" t="str">
            <v>13</v>
          </cell>
          <cell r="H1623" t="str">
            <v>W- water corporation</v>
          </cell>
          <cell r="J1623" t="str">
            <v>20090430</v>
          </cell>
          <cell r="K1623" t="str">
            <v>115.752395935</v>
          </cell>
          <cell r="L1623" t="str">
            <v>-31.835166097</v>
          </cell>
          <cell r="M1623" t="str">
            <v>H</v>
          </cell>
          <cell r="N1623" t="str">
            <v>31</v>
          </cell>
          <cell r="O1623" t="str">
            <v>CLONTARF</v>
          </cell>
          <cell r="P1623" t="str">
            <v>ST</v>
          </cell>
          <cell r="R1623" t="str">
            <v>SORRENTO</v>
          </cell>
          <cell r="S1623" t="str">
            <v>6020</v>
          </cell>
        </row>
        <row r="1624">
          <cell r="B1624" t="str">
            <v>S2019544</v>
          </cell>
          <cell r="C1624" t="str">
            <v>LPPS H31 ROSS AV SORRENTO</v>
          </cell>
          <cell r="D1624" t="str">
            <v>A- actual</v>
          </cell>
          <cell r="E1624" t="str">
            <v>LPPS- low pressure pump station</v>
          </cell>
          <cell r="F1624" t="str">
            <v>ROSS AVE</v>
          </cell>
          <cell r="G1624" t="str">
            <v>3</v>
          </cell>
          <cell r="H1624" t="str">
            <v>W- water corporation</v>
          </cell>
          <cell r="J1624" t="str">
            <v>20090430</v>
          </cell>
          <cell r="K1624" t="str">
            <v>115.753236032</v>
          </cell>
          <cell r="L1624" t="str">
            <v>-31.834176367</v>
          </cell>
          <cell r="M1624" t="str">
            <v>H</v>
          </cell>
          <cell r="N1624" t="str">
            <v>31</v>
          </cell>
          <cell r="O1624" t="str">
            <v>ROSS</v>
          </cell>
          <cell r="P1624" t="str">
            <v>AV</v>
          </cell>
          <cell r="R1624" t="str">
            <v>SORRENTO</v>
          </cell>
          <cell r="S1624" t="str">
            <v>6020</v>
          </cell>
        </row>
        <row r="1625">
          <cell r="B1625" t="str">
            <v>S2019600</v>
          </cell>
          <cell r="C1625" t="str">
            <v>LPPS H34 PORTEOUS RD SORRENTO</v>
          </cell>
          <cell r="D1625" t="str">
            <v>A- actual</v>
          </cell>
          <cell r="E1625" t="str">
            <v>LPPS- low pressure pump station</v>
          </cell>
          <cell r="F1625" t="str">
            <v>PORTEOUS RD</v>
          </cell>
          <cell r="G1625" t="str">
            <v>2</v>
          </cell>
          <cell r="H1625" t="str">
            <v>W- water corporation</v>
          </cell>
          <cell r="J1625" t="str">
            <v>20090620</v>
          </cell>
          <cell r="K1625" t="str">
            <v>115.759780578</v>
          </cell>
          <cell r="L1625" t="str">
            <v>-31.830211903</v>
          </cell>
          <cell r="M1625" t="str">
            <v>H</v>
          </cell>
          <cell r="N1625" t="str">
            <v>34</v>
          </cell>
          <cell r="O1625" t="str">
            <v>PORTEOUS</v>
          </cell>
          <cell r="P1625" t="str">
            <v>RD</v>
          </cell>
          <cell r="R1625" t="str">
            <v>SORRENTO</v>
          </cell>
          <cell r="S1625" t="str">
            <v>6020</v>
          </cell>
        </row>
        <row r="1626">
          <cell r="B1626" t="str">
            <v>S2019546</v>
          </cell>
          <cell r="C1626" t="str">
            <v>LPPS H35 ROSS AV SORRENTO</v>
          </cell>
          <cell r="D1626" t="str">
            <v>A- actual</v>
          </cell>
          <cell r="E1626" t="str">
            <v>LPPS- low pressure pump station</v>
          </cell>
          <cell r="F1626" t="str">
            <v>ROSS AVE</v>
          </cell>
          <cell r="G1626" t="str">
            <v>5</v>
          </cell>
          <cell r="H1626" t="str">
            <v>W- water corporation</v>
          </cell>
          <cell r="J1626" t="str">
            <v>20090705</v>
          </cell>
          <cell r="K1626" t="str">
            <v>115.753663478</v>
          </cell>
          <cell r="L1626" t="str">
            <v>-31.8341770648</v>
          </cell>
          <cell r="M1626" t="str">
            <v>H</v>
          </cell>
          <cell r="N1626" t="str">
            <v>35</v>
          </cell>
          <cell r="O1626" t="str">
            <v>ROSS</v>
          </cell>
          <cell r="P1626" t="str">
            <v>AV</v>
          </cell>
          <cell r="R1626" t="str">
            <v>SORRENTO</v>
          </cell>
          <cell r="S1626" t="str">
            <v>6020</v>
          </cell>
        </row>
        <row r="1627">
          <cell r="B1627" t="str">
            <v>S2019549</v>
          </cell>
          <cell r="C1627" t="str">
            <v>LPPS H41 ROSS AV SORRENTO</v>
          </cell>
          <cell r="D1627" t="str">
            <v>A- actual</v>
          </cell>
          <cell r="E1627" t="str">
            <v>LPPS- low pressure pump station</v>
          </cell>
          <cell r="F1627" t="str">
            <v>ROSS AVE</v>
          </cell>
          <cell r="G1627" t="str">
            <v>8</v>
          </cell>
          <cell r="H1627" t="str">
            <v>W- water corporation</v>
          </cell>
          <cell r="J1627" t="str">
            <v>20090430</v>
          </cell>
          <cell r="K1627" t="str">
            <v>115.754335046</v>
          </cell>
          <cell r="L1627" t="str">
            <v>-31.834204376</v>
          </cell>
          <cell r="M1627" t="str">
            <v>H</v>
          </cell>
          <cell r="N1627" t="str">
            <v>41</v>
          </cell>
          <cell r="O1627" t="str">
            <v>ROSS</v>
          </cell>
          <cell r="P1627" t="str">
            <v>AV</v>
          </cell>
          <cell r="R1627" t="str">
            <v>SORRENTO</v>
          </cell>
          <cell r="S1627" t="str">
            <v>6020</v>
          </cell>
        </row>
        <row r="1628">
          <cell r="B1628" t="str">
            <v>S2023359</v>
          </cell>
          <cell r="C1628" t="str">
            <v>LPPS H63A ELSIE ST WATERMAN</v>
          </cell>
          <cell r="D1628" t="str">
            <v>A- actual</v>
          </cell>
          <cell r="E1628" t="str">
            <v>LPPS- low pressure pump station</v>
          </cell>
          <cell r="F1628" t="str">
            <v>ELSIE ST</v>
          </cell>
          <cell r="G1628" t="str">
            <v>1</v>
          </cell>
          <cell r="H1628" t="str">
            <v>W- water corporation</v>
          </cell>
          <cell r="J1628" t="str">
            <v>20090620</v>
          </cell>
          <cell r="K1628" t="str">
            <v>115.758974804</v>
          </cell>
          <cell r="L1628" t="str">
            <v>-31.846921279</v>
          </cell>
          <cell r="M1628" t="str">
            <v>H</v>
          </cell>
          <cell r="N1628" t="str">
            <v>63</v>
          </cell>
          <cell r="O1628" t="str">
            <v>ELSIE</v>
          </cell>
          <cell r="P1628" t="str">
            <v>ST</v>
          </cell>
          <cell r="R1628" t="str">
            <v>WATERMANS BAY</v>
          </cell>
          <cell r="S1628" t="str">
            <v>6020</v>
          </cell>
        </row>
        <row r="1629">
          <cell r="D1629" t="str">
            <v>A- actual</v>
          </cell>
          <cell r="E1629" t="str">
            <v>PS- pump station</v>
          </cell>
          <cell r="H1629" t="str">
            <v>P- private</v>
          </cell>
          <cell r="J1629" t="str">
            <v>20090429</v>
          </cell>
          <cell r="K1629" t="str">
            <v>128.734573338</v>
          </cell>
          <cell r="L1629" t="str">
            <v>-15.7768072705</v>
          </cell>
          <cell r="M1629" t="str">
            <v>H</v>
          </cell>
          <cell r="N1629" t="str">
            <v>16</v>
          </cell>
          <cell r="O1629" t="str">
            <v>COOLIBAH</v>
          </cell>
          <cell r="P1629" t="str">
            <v>DR</v>
          </cell>
          <cell r="R1629" t="str">
            <v>KUNUNURRA</v>
          </cell>
          <cell r="S1629" t="str">
            <v>6743</v>
          </cell>
        </row>
        <row r="1630">
          <cell r="B1630" t="str">
            <v>S8011008</v>
          </cell>
          <cell r="C1630" t="str">
            <v>SPS HAWLEY PWY CAPEL</v>
          </cell>
          <cell r="D1630" t="str">
            <v>A- actual</v>
          </cell>
          <cell r="E1630" t="str">
            <v>PS- pump station</v>
          </cell>
          <cell r="F1630" t="str">
            <v>HAWLEY PKWY</v>
          </cell>
          <cell r="G1630" t="str">
            <v>3</v>
          </cell>
          <cell r="H1630" t="str">
            <v>W- water corporation</v>
          </cell>
          <cell r="J1630" t="str">
            <v>20090810</v>
          </cell>
          <cell r="K1630" t="str">
            <v>115.563464205</v>
          </cell>
          <cell r="L1630" t="str">
            <v>-33.568298195</v>
          </cell>
          <cell r="M1630" t="str">
            <v>H</v>
          </cell>
          <cell r="N1630" t="str">
            <v>18</v>
          </cell>
          <cell r="O1630" t="str">
            <v>HAWLEY</v>
          </cell>
          <cell r="P1630" t="str">
            <v>PWY</v>
          </cell>
          <cell r="R1630" t="str">
            <v>CAPEL</v>
          </cell>
          <cell r="S1630" t="str">
            <v>6271</v>
          </cell>
        </row>
        <row r="1631">
          <cell r="D1631" t="str">
            <v>A- actual</v>
          </cell>
          <cell r="E1631" t="str">
            <v>PS- pump station</v>
          </cell>
          <cell r="F1631" t="str">
            <v>INLET CARAVAN PARK</v>
          </cell>
          <cell r="H1631" t="str">
            <v>P- private</v>
          </cell>
          <cell r="J1631" t="str">
            <v>20040101</v>
          </cell>
          <cell r="K1631" t="str">
            <v>117.36576912</v>
          </cell>
          <cell r="L1631" t="str">
            <v>-34.9690992481</v>
          </cell>
          <cell r="M1631" t="str">
            <v>L</v>
          </cell>
          <cell r="N1631" t="str">
            <v>1023</v>
          </cell>
          <cell r="O1631" t="str">
            <v>INLET</v>
          </cell>
          <cell r="P1631" t="str">
            <v>DR</v>
          </cell>
          <cell r="R1631" t="str">
            <v>DENMARK</v>
          </cell>
          <cell r="S1631" t="str">
            <v>6333</v>
          </cell>
        </row>
        <row r="1632">
          <cell r="D1632" t="str">
            <v>A- actual</v>
          </cell>
          <cell r="E1632" t="str">
            <v>PS- pump station</v>
          </cell>
          <cell r="F1632" t="str">
            <v>LOT 51 BUSSELL HWY</v>
          </cell>
          <cell r="H1632" t="str">
            <v>P- private</v>
          </cell>
          <cell r="J1632" t="str">
            <v>20090921</v>
          </cell>
          <cell r="K1632" t="str">
            <v>115.102944981</v>
          </cell>
          <cell r="L1632" t="str">
            <v>-33.850369352</v>
          </cell>
          <cell r="M1632" t="str">
            <v>H</v>
          </cell>
          <cell r="N1632" t="str">
            <v>62</v>
          </cell>
          <cell r="O1632" t="str">
            <v>BUSSELL</v>
          </cell>
          <cell r="P1632" t="str">
            <v>HWY</v>
          </cell>
          <cell r="R1632" t="str">
            <v>COWARAMUP</v>
          </cell>
          <cell r="S1632" t="str">
            <v>6284</v>
          </cell>
        </row>
        <row r="1633">
          <cell r="D1633" t="str">
            <v>P- proposed</v>
          </cell>
          <cell r="E1633" t="str">
            <v>PS- pump station</v>
          </cell>
          <cell r="F1633" t="str">
            <v>WARNBRO VACUUM</v>
          </cell>
          <cell r="G1633" t="str">
            <v>072-05</v>
          </cell>
          <cell r="H1633" t="str">
            <v>W- water corporation</v>
          </cell>
          <cell r="J1633" t="str">
            <v>18000101</v>
          </cell>
          <cell r="K1633" t="str">
            <v>115.73334915</v>
          </cell>
          <cell r="L1633" t="str">
            <v>-32.3677313</v>
          </cell>
          <cell r="M1633" t="str">
            <v>H</v>
          </cell>
          <cell r="N1633" t="str">
            <v>2</v>
          </cell>
          <cell r="O1633" t="str">
            <v>LONG BEACH</v>
          </cell>
          <cell r="P1633" t="str">
            <v>RISE</v>
          </cell>
          <cell r="R1633" t="str">
            <v>PORT KENNEDY</v>
          </cell>
          <cell r="S1633" t="str">
            <v>6172</v>
          </cell>
        </row>
        <row r="1634">
          <cell r="B1634" t="str">
            <v>S2023413</v>
          </cell>
          <cell r="C1634" t="str">
            <v>SPS TERRACINA PWY PIARA WATERS</v>
          </cell>
          <cell r="D1634" t="str">
            <v>A- actual</v>
          </cell>
          <cell r="E1634" t="str">
            <v>PS- pump station</v>
          </cell>
          <cell r="F1634" t="str">
            <v>TERRACINA PWY</v>
          </cell>
          <cell r="G1634" t="str">
            <v>175-05</v>
          </cell>
          <cell r="H1634" t="str">
            <v>W- water corporation</v>
          </cell>
          <cell r="J1634" t="str">
            <v>20111101</v>
          </cell>
          <cell r="K1634" t="str">
            <v>115.92881969</v>
          </cell>
          <cell r="L1634" t="str">
            <v>-32.14118584</v>
          </cell>
          <cell r="M1634" t="str">
            <v>L</v>
          </cell>
          <cell r="N1634" t="str">
            <v>577</v>
          </cell>
          <cell r="O1634" t="str">
            <v>TERRACINA</v>
          </cell>
          <cell r="P1634" t="str">
            <v>PWY</v>
          </cell>
          <cell r="R1634" t="str">
            <v>PIARA WATERS</v>
          </cell>
          <cell r="S1634" t="str">
            <v>6112</v>
          </cell>
        </row>
        <row r="1635">
          <cell r="B1635" t="str">
            <v>S2030898</v>
          </cell>
          <cell r="C1635" t="str">
            <v>SPS CLOUTT LANE PIARA WATERS</v>
          </cell>
          <cell r="D1635" t="str">
            <v>A- actual</v>
          </cell>
          <cell r="E1635" t="str">
            <v>PS- pump station</v>
          </cell>
          <cell r="F1635" t="str">
            <v>BALANNUP</v>
          </cell>
          <cell r="G1635" t="str">
            <v>175-07</v>
          </cell>
          <cell r="H1635" t="str">
            <v>W- water corporation</v>
          </cell>
          <cell r="J1635" t="str">
            <v>20130601</v>
          </cell>
          <cell r="K1635" t="str">
            <v>115.912330106</v>
          </cell>
          <cell r="L1635" t="str">
            <v>-32.140707314</v>
          </cell>
          <cell r="M1635" t="str">
            <v>H</v>
          </cell>
          <cell r="N1635" t="str">
            <v>143</v>
          </cell>
          <cell r="O1635" t="str">
            <v>ROSSITER</v>
          </cell>
          <cell r="P1635" t="str">
            <v>AV</v>
          </cell>
          <cell r="R1635" t="str">
            <v>PIARA WATERS</v>
          </cell>
          <cell r="S1635" t="str">
            <v>6112</v>
          </cell>
        </row>
        <row r="1636">
          <cell r="D1636" t="str">
            <v>P- proposed</v>
          </cell>
          <cell r="E1636" t="str">
            <v>PS- pump station</v>
          </cell>
          <cell r="F1636" t="str">
            <v>MEDICAL CENTRE</v>
          </cell>
          <cell r="G1636" t="str">
            <v>2</v>
          </cell>
          <cell r="H1636" t="str">
            <v>W- water corporation</v>
          </cell>
          <cell r="J1636" t="str">
            <v>18000101</v>
          </cell>
          <cell r="K1636" t="str">
            <v>116.060551092</v>
          </cell>
          <cell r="L1636" t="str">
            <v>-31.9675723597</v>
          </cell>
          <cell r="M1636" t="str">
            <v>H</v>
          </cell>
          <cell r="N1636" t="str">
            <v>37</v>
          </cell>
          <cell r="O1636" t="str">
            <v>ELIZABETH</v>
          </cell>
          <cell r="P1636" t="str">
            <v>ST</v>
          </cell>
          <cell r="R1636" t="str">
            <v>KALAMUNDA</v>
          </cell>
          <cell r="S1636" t="str">
            <v>6076</v>
          </cell>
        </row>
        <row r="1637">
          <cell r="D1637" t="str">
            <v>P- proposed</v>
          </cell>
          <cell r="E1637" t="str">
            <v>PS- pump station</v>
          </cell>
          <cell r="H1637" t="str">
            <v>P- private</v>
          </cell>
          <cell r="J1637" t="str">
            <v>18000101</v>
          </cell>
          <cell r="K1637" t="str">
            <v>119.74051335</v>
          </cell>
          <cell r="L1637" t="str">
            <v>-23.35176165</v>
          </cell>
          <cell r="M1637" t="str">
            <v>L</v>
          </cell>
          <cell r="N1637" t="str">
            <v>21</v>
          </cell>
          <cell r="O1637" t="str">
            <v>NEWMAN</v>
          </cell>
          <cell r="P1637" t="str">
            <v>DR</v>
          </cell>
          <cell r="R1637" t="str">
            <v>NEWMAN</v>
          </cell>
          <cell r="S1637" t="str">
            <v>6753</v>
          </cell>
        </row>
        <row r="1638">
          <cell r="D1638" t="str">
            <v>A- actual</v>
          </cell>
          <cell r="E1638" t="str">
            <v>PS- pump station</v>
          </cell>
          <cell r="F1638" t="str">
            <v>LOT 93 ADELAIDE ST</v>
          </cell>
          <cell r="H1638" t="str">
            <v>P- private</v>
          </cell>
          <cell r="J1638" t="str">
            <v>20091203</v>
          </cell>
          <cell r="K1638" t="str">
            <v>114.63439015</v>
          </cell>
          <cell r="L1638" t="str">
            <v>-28.71921131</v>
          </cell>
          <cell r="M1638" t="str">
            <v>H</v>
          </cell>
          <cell r="N1638" t="str">
            <v>19</v>
          </cell>
          <cell r="O1638" t="str">
            <v>ADELAIDE</v>
          </cell>
          <cell r="P1638" t="str">
            <v>ST</v>
          </cell>
          <cell r="R1638" t="str">
            <v>WAGGRAKINE</v>
          </cell>
          <cell r="S1638" t="str">
            <v>6530</v>
          </cell>
        </row>
        <row r="1639">
          <cell r="B1639" t="str">
            <v>S2019807</v>
          </cell>
          <cell r="C1639" t="str">
            <v>SPS WARNBRO SOUND AV PORT KENNEDY</v>
          </cell>
          <cell r="D1639" t="str">
            <v>A- actual</v>
          </cell>
          <cell r="E1639" t="str">
            <v>PS- pump station</v>
          </cell>
          <cell r="F1639" t="str">
            <v>WARNBRO SOUND AVE</v>
          </cell>
          <cell r="G1639" t="str">
            <v>902-48</v>
          </cell>
          <cell r="H1639" t="str">
            <v>W- water corporation</v>
          </cell>
          <cell r="J1639" t="str">
            <v>20091001</v>
          </cell>
          <cell r="K1639" t="str">
            <v>115.75914829</v>
          </cell>
          <cell r="L1639" t="str">
            <v>-32.395824015</v>
          </cell>
          <cell r="M1639" t="str">
            <v>H</v>
          </cell>
          <cell r="N1639" t="str">
            <v>6</v>
          </cell>
          <cell r="O1639" t="str">
            <v>TROPEA</v>
          </cell>
          <cell r="P1639" t="str">
            <v>PL</v>
          </cell>
          <cell r="R1639" t="str">
            <v>SECRET HARBOUR</v>
          </cell>
          <cell r="S1639" t="str">
            <v>6173</v>
          </cell>
        </row>
        <row r="1640">
          <cell r="B1640" t="str">
            <v>S2023151</v>
          </cell>
          <cell r="C1640" t="str">
            <v>SPS BALFOUR ST SOUTHERN RIVER</v>
          </cell>
          <cell r="D1640" t="str">
            <v>A- actual</v>
          </cell>
          <cell r="E1640" t="str">
            <v>TPS- temporary pump station</v>
          </cell>
          <cell r="F1640" t="str">
            <v>BALANNUP</v>
          </cell>
          <cell r="H1640" t="str">
            <v>W- water corporation</v>
          </cell>
          <cell r="J1640" t="str">
            <v>20091101</v>
          </cell>
          <cell r="K1640" t="str">
            <v>115.951514122</v>
          </cell>
          <cell r="L1640" t="str">
            <v>-32.1003307363</v>
          </cell>
          <cell r="M1640" t="str">
            <v>L</v>
          </cell>
          <cell r="N1640" t="str">
            <v>8004</v>
          </cell>
          <cell r="O1640" t="str">
            <v>SELBOURNE</v>
          </cell>
          <cell r="P1640" t="str">
            <v>RD</v>
          </cell>
          <cell r="R1640" t="str">
            <v>SOUTHERN RIVER</v>
          </cell>
          <cell r="S1640" t="str">
            <v>6110</v>
          </cell>
        </row>
        <row r="1641">
          <cell r="D1641" t="str">
            <v>A- actual</v>
          </cell>
          <cell r="E1641" t="str">
            <v>PS- pump station</v>
          </cell>
          <cell r="F1641" t="str">
            <v>WILUNA REMOTE COMMUNITY SCHOOL</v>
          </cell>
          <cell r="H1641" t="str">
            <v>P- private</v>
          </cell>
          <cell r="J1641" t="str">
            <v>20100101</v>
          </cell>
          <cell r="K1641" t="str">
            <v>120.227924535</v>
          </cell>
          <cell r="L1641" t="str">
            <v>-26.598387304</v>
          </cell>
          <cell r="M1641" t="str">
            <v>H</v>
          </cell>
          <cell r="N1641" t="str">
            <v>20</v>
          </cell>
          <cell r="O1641" t="str">
            <v>SCOTIA</v>
          </cell>
          <cell r="P1641" t="str">
            <v>ST</v>
          </cell>
          <cell r="R1641" t="str">
            <v>WILUNA</v>
          </cell>
          <cell r="S1641" t="str">
            <v>6646</v>
          </cell>
        </row>
        <row r="1642">
          <cell r="D1642" t="str">
            <v>A- actual</v>
          </cell>
          <cell r="E1642" t="str">
            <v>PS- pump station</v>
          </cell>
          <cell r="F1642" t="str">
            <v>SOUTH ST TRANSIT STATION</v>
          </cell>
          <cell r="H1642" t="str">
            <v>P- private</v>
          </cell>
          <cell r="J1642" t="str">
            <v>20061023</v>
          </cell>
          <cell r="K1642" t="str">
            <v>115.851781342</v>
          </cell>
          <cell r="L1642" t="str">
            <v>-32.065171599</v>
          </cell>
          <cell r="M1642" t="str">
            <v>H</v>
          </cell>
          <cell r="N1642" t="str">
            <v>137</v>
          </cell>
          <cell r="O1642" t="str">
            <v>SOUTH</v>
          </cell>
          <cell r="P1642" t="str">
            <v>ST</v>
          </cell>
          <cell r="R1642" t="str">
            <v>BULL CREEK</v>
          </cell>
          <cell r="S1642" t="str">
            <v>6149</v>
          </cell>
        </row>
        <row r="1643">
          <cell r="B1643" t="str">
            <v>S2023084</v>
          </cell>
          <cell r="C1643" t="str">
            <v>SPS MARITIME DR JINDALEE</v>
          </cell>
          <cell r="D1643" t="str">
            <v>A- actual</v>
          </cell>
          <cell r="E1643" t="str">
            <v>PS- pump station</v>
          </cell>
          <cell r="F1643" t="str">
            <v>MARITIME DR</v>
          </cell>
          <cell r="G1643" t="str">
            <v>001-01</v>
          </cell>
          <cell r="H1643" t="str">
            <v>W- water corporation</v>
          </cell>
          <cell r="J1643" t="str">
            <v>20100224</v>
          </cell>
          <cell r="K1643" t="str">
            <v>115.68446568</v>
          </cell>
          <cell r="L1643" t="str">
            <v>-31.64954237</v>
          </cell>
          <cell r="M1643" t="str">
            <v>H</v>
          </cell>
          <cell r="N1643" t="str">
            <v>120</v>
          </cell>
          <cell r="O1643" t="str">
            <v>JINDALEE</v>
          </cell>
          <cell r="P1643" t="str">
            <v>BVD</v>
          </cell>
          <cell r="R1643" t="str">
            <v>JINDALEE</v>
          </cell>
          <cell r="S1643" t="str">
            <v>6036</v>
          </cell>
        </row>
        <row r="1644">
          <cell r="B1644" t="str">
            <v>S8011735</v>
          </cell>
          <cell r="C1644" t="str">
            <v>SPS SANTONS APP YALYALUP</v>
          </cell>
          <cell r="D1644" t="str">
            <v>A- actual</v>
          </cell>
          <cell r="E1644" t="str">
            <v>PS- pump station</v>
          </cell>
          <cell r="F1644" t="str">
            <v>SANTONS APP</v>
          </cell>
          <cell r="H1644" t="str">
            <v>W- water corporation</v>
          </cell>
          <cell r="J1644" t="str">
            <v>20100311</v>
          </cell>
          <cell r="K1644" t="str">
            <v>115.378473728</v>
          </cell>
          <cell r="L1644" t="str">
            <v>-33.6684860136</v>
          </cell>
          <cell r="M1644" t="str">
            <v>H</v>
          </cell>
          <cell r="N1644" t="str">
            <v>68</v>
          </cell>
          <cell r="O1644" t="str">
            <v>SANTONS</v>
          </cell>
          <cell r="P1644" t="str">
            <v>APP</v>
          </cell>
          <cell r="R1644" t="str">
            <v>YALYALUP</v>
          </cell>
          <cell r="S1644" t="str">
            <v>6280</v>
          </cell>
        </row>
        <row r="1645">
          <cell r="D1645" t="str">
            <v>A- actual</v>
          </cell>
          <cell r="E1645" t="str">
            <v>PS- pump station</v>
          </cell>
          <cell r="F1645" t="str">
            <v>WATERSIDE DRIVE TOILET BLOCK</v>
          </cell>
          <cell r="H1645" t="str">
            <v>P- private</v>
          </cell>
          <cell r="J1645" t="str">
            <v>20100115</v>
          </cell>
          <cell r="K1645" t="str">
            <v>115.719796868</v>
          </cell>
          <cell r="L1645" t="str">
            <v>-32.548592702</v>
          </cell>
          <cell r="M1645" t="str">
            <v>L</v>
          </cell>
          <cell r="N1645" t="str">
            <v>3</v>
          </cell>
          <cell r="O1645" t="str">
            <v>WATERSIDE</v>
          </cell>
          <cell r="P1645" t="str">
            <v>DR</v>
          </cell>
          <cell r="R1645" t="str">
            <v>DUDLEY PARK</v>
          </cell>
          <cell r="S1645" t="str">
            <v>6210</v>
          </cell>
        </row>
        <row r="1646">
          <cell r="B1646" t="str">
            <v>S5003275</v>
          </cell>
          <cell r="C1646" t="str">
            <v>SPS 2 PRICE RETREAT CORRIGIN</v>
          </cell>
          <cell r="D1646" t="str">
            <v>A- actual</v>
          </cell>
          <cell r="E1646" t="str">
            <v>PS- pump station</v>
          </cell>
          <cell r="F1646" t="str">
            <v>PRICE RETREAT</v>
          </cell>
          <cell r="G1646" t="str">
            <v>2</v>
          </cell>
          <cell r="H1646" t="str">
            <v>W- water corporation</v>
          </cell>
          <cell r="J1646" t="str">
            <v>20091029</v>
          </cell>
          <cell r="K1646" t="str">
            <v>117.884602989</v>
          </cell>
          <cell r="L1646" t="str">
            <v>-32.3334678251</v>
          </cell>
          <cell r="M1646" t="str">
            <v>H</v>
          </cell>
          <cell r="N1646" t="str">
            <v>6</v>
          </cell>
          <cell r="O1646" t="str">
            <v>PRICE</v>
          </cell>
          <cell r="P1646" t="str">
            <v>RTT</v>
          </cell>
          <cell r="R1646" t="str">
            <v>CORRIGIN</v>
          </cell>
          <cell r="S1646" t="str">
            <v>6375</v>
          </cell>
        </row>
        <row r="1647">
          <cell r="B1647" t="str">
            <v>S6000236</v>
          </cell>
          <cell r="C1647" t="str">
            <v>SPS DISPOSAL WWTP 1 ESPERANCE</v>
          </cell>
          <cell r="D1647" t="str">
            <v>A- actual</v>
          </cell>
          <cell r="E1647" t="str">
            <v>PS- pump station</v>
          </cell>
          <cell r="F1647" t="str">
            <v>JETTY RD</v>
          </cell>
          <cell r="H1647" t="str">
            <v>W- water corporation</v>
          </cell>
          <cell r="J1647" t="str">
            <v>20100301</v>
          </cell>
          <cell r="K1647" t="str">
            <v>121.899508001</v>
          </cell>
          <cell r="L1647" t="str">
            <v>-33.850189566</v>
          </cell>
          <cell r="M1647" t="str">
            <v>L</v>
          </cell>
          <cell r="N1647" t="str">
            <v>1019</v>
          </cell>
          <cell r="O1647" t="str">
            <v>JETTY</v>
          </cell>
          <cell r="P1647" t="str">
            <v>RD</v>
          </cell>
          <cell r="R1647" t="str">
            <v>CHADWICK</v>
          </cell>
          <cell r="S1647" t="str">
            <v>6450</v>
          </cell>
        </row>
        <row r="1648">
          <cell r="B1648" t="str">
            <v>S8011498</v>
          </cell>
          <cell r="C1648" t="str">
            <v>SPS RAILWAY ST NANNUP</v>
          </cell>
          <cell r="D1648" t="str">
            <v>A- actual</v>
          </cell>
          <cell r="E1648" t="str">
            <v>PS- pump station</v>
          </cell>
          <cell r="F1648" t="str">
            <v>RAILWAY ST</v>
          </cell>
          <cell r="G1648" t="str">
            <v>3</v>
          </cell>
          <cell r="H1648" t="str">
            <v>W- water corporation</v>
          </cell>
          <cell r="J1648" t="str">
            <v>20091211</v>
          </cell>
          <cell r="K1648" t="str">
            <v>115.759293472</v>
          </cell>
          <cell r="L1648" t="str">
            <v>-33.9851032732</v>
          </cell>
          <cell r="M1648" t="str">
            <v>L</v>
          </cell>
          <cell r="N1648" t="str">
            <v>82</v>
          </cell>
          <cell r="O1648" t="str">
            <v>WILSON</v>
          </cell>
          <cell r="P1648" t="str">
            <v>ST</v>
          </cell>
          <cell r="R1648" t="str">
            <v>NANNUP</v>
          </cell>
          <cell r="S1648" t="str">
            <v>6275</v>
          </cell>
        </row>
        <row r="1649">
          <cell r="D1649" t="str">
            <v>A- actual</v>
          </cell>
          <cell r="E1649" t="str">
            <v>PS- pump station</v>
          </cell>
          <cell r="F1649" t="str">
            <v>PYRAMIDS BEACH SURF CLUB</v>
          </cell>
          <cell r="H1649" t="str">
            <v>P- private</v>
          </cell>
          <cell r="J1649" t="str">
            <v>20100422</v>
          </cell>
          <cell r="K1649" t="str">
            <v>115.631158858</v>
          </cell>
          <cell r="L1649" t="str">
            <v>-32.6038972186</v>
          </cell>
          <cell r="M1649" t="str">
            <v>H</v>
          </cell>
          <cell r="N1649" t="str">
            <v>108</v>
          </cell>
          <cell r="O1649" t="str">
            <v>SOUTHPORT</v>
          </cell>
          <cell r="P1649" t="str">
            <v>BVD</v>
          </cell>
          <cell r="R1649" t="str">
            <v>DAWESVILLE</v>
          </cell>
          <cell r="S1649" t="str">
            <v>6211</v>
          </cell>
        </row>
        <row r="1650">
          <cell r="D1650" t="str">
            <v>A- actual</v>
          </cell>
          <cell r="E1650" t="str">
            <v>PS- pump station</v>
          </cell>
          <cell r="F1650" t="str">
            <v>BOTANIC GARDENS</v>
          </cell>
          <cell r="H1650" t="str">
            <v>P- private</v>
          </cell>
          <cell r="J1650" t="str">
            <v>20100720</v>
          </cell>
          <cell r="K1650" t="str">
            <v>115.821718167</v>
          </cell>
          <cell r="L1650" t="str">
            <v>-31.964678339</v>
          </cell>
          <cell r="M1650" t="str">
            <v>L</v>
          </cell>
          <cell r="N1650" t="str">
            <v>856</v>
          </cell>
          <cell r="O1650" t="str">
            <v>THOMAS</v>
          </cell>
          <cell r="P1650" t="str">
            <v>ST</v>
          </cell>
          <cell r="R1650" t="str">
            <v>KINGS PARK</v>
          </cell>
          <cell r="S1650" t="str">
            <v>6005</v>
          </cell>
        </row>
        <row r="1651">
          <cell r="D1651" t="str">
            <v>A- actual</v>
          </cell>
          <cell r="E1651" t="str">
            <v>PS- pump station</v>
          </cell>
          <cell r="F1651" t="str">
            <v>MINI PS C</v>
          </cell>
          <cell r="H1651" t="str">
            <v>P- private</v>
          </cell>
          <cell r="J1651" t="str">
            <v>20100720</v>
          </cell>
          <cell r="K1651" t="str">
            <v>115.823575493</v>
          </cell>
          <cell r="L1651" t="str">
            <v>-31.9584379257</v>
          </cell>
          <cell r="M1651" t="str">
            <v>H</v>
          </cell>
          <cell r="N1651" t="str">
            <v>445</v>
          </cell>
          <cell r="O1651" t="str">
            <v>ROKEBY</v>
          </cell>
          <cell r="P1651" t="str">
            <v>RD</v>
          </cell>
          <cell r="R1651" t="str">
            <v>SHENTON PARK</v>
          </cell>
          <cell r="S1651" t="str">
            <v>6008</v>
          </cell>
        </row>
        <row r="1652">
          <cell r="D1652" t="str">
            <v>P- proposed</v>
          </cell>
          <cell r="E1652" t="str">
            <v>PS- pump station</v>
          </cell>
          <cell r="F1652" t="str">
            <v>BREMER BAY</v>
          </cell>
          <cell r="G1652" t="str">
            <v>1</v>
          </cell>
          <cell r="H1652" t="str">
            <v>W- water corporation</v>
          </cell>
          <cell r="J1652" t="str">
            <v>18000101</v>
          </cell>
          <cell r="K1652" t="str">
            <v>119.373386874</v>
          </cell>
          <cell r="L1652" t="str">
            <v>-34.3902499278</v>
          </cell>
          <cell r="M1652" t="str">
            <v>H</v>
          </cell>
          <cell r="N1652" t="str">
            <v>29</v>
          </cell>
          <cell r="O1652" t="str">
            <v>MARY</v>
          </cell>
          <cell r="P1652" t="str">
            <v>ST</v>
          </cell>
          <cell r="R1652" t="str">
            <v>BREMER BAY</v>
          </cell>
          <cell r="S1652" t="str">
            <v>6338</v>
          </cell>
        </row>
        <row r="1653">
          <cell r="D1653" t="str">
            <v>P- proposed</v>
          </cell>
          <cell r="E1653" t="str">
            <v>PS- pump station</v>
          </cell>
          <cell r="F1653" t="str">
            <v>BREMER BAY</v>
          </cell>
          <cell r="G1653" t="str">
            <v>4</v>
          </cell>
          <cell r="H1653" t="str">
            <v>W- water corporation</v>
          </cell>
          <cell r="J1653" t="str">
            <v>18000101</v>
          </cell>
          <cell r="K1653" t="str">
            <v>119.387801543</v>
          </cell>
          <cell r="L1653" t="str">
            <v>-34.392870504</v>
          </cell>
          <cell r="M1653" t="str">
            <v>H</v>
          </cell>
          <cell r="N1653" t="str">
            <v>70</v>
          </cell>
          <cell r="O1653" t="str">
            <v>BREMER BAY</v>
          </cell>
          <cell r="P1653" t="str">
            <v>RD</v>
          </cell>
          <cell r="R1653" t="str">
            <v>BREMER BAY</v>
          </cell>
          <cell r="S1653" t="str">
            <v>6338</v>
          </cell>
        </row>
        <row r="1654">
          <cell r="B1654" t="str">
            <v>S4003539</v>
          </cell>
          <cell r="C1654" t="str">
            <v>SPS REUSE WWTP DONGARA</v>
          </cell>
          <cell r="D1654" t="str">
            <v>A- actual</v>
          </cell>
          <cell r="E1654" t="str">
            <v>EPS- effluent re-use pump station</v>
          </cell>
          <cell r="F1654" t="str">
            <v>DONGARA TREATED WATEWATER</v>
          </cell>
          <cell r="H1654" t="str">
            <v>W- water corporation</v>
          </cell>
          <cell r="J1654" t="str">
            <v>20100301</v>
          </cell>
          <cell r="K1654" t="str">
            <v>114.9426237</v>
          </cell>
          <cell r="L1654" t="str">
            <v>-29.26968398</v>
          </cell>
          <cell r="M1654" t="str">
            <v>L</v>
          </cell>
          <cell r="N1654" t="str">
            <v>203</v>
          </cell>
          <cell r="O1654" t="str">
            <v>BLENHEIM</v>
          </cell>
          <cell r="P1654" t="str">
            <v>RD</v>
          </cell>
          <cell r="R1654" t="str">
            <v>SPRINGFIELD</v>
          </cell>
          <cell r="S1654" t="str">
            <v>6525</v>
          </cell>
        </row>
        <row r="1655">
          <cell r="B1655" t="str">
            <v>S8012267</v>
          </cell>
          <cell r="C1655" t="str">
            <v>SPS COCKIE BEND COLLIE</v>
          </cell>
          <cell r="D1655" t="str">
            <v>A- actual</v>
          </cell>
          <cell r="E1655" t="str">
            <v>TPS- temporary pump station</v>
          </cell>
          <cell r="F1655" t="str">
            <v>COCKIE BEND</v>
          </cell>
          <cell r="G1655" t="str">
            <v>1266</v>
          </cell>
          <cell r="H1655" t="str">
            <v>W- water corporation</v>
          </cell>
          <cell r="J1655" t="str">
            <v>20100517</v>
          </cell>
          <cell r="K1655" t="str">
            <v>116.13665315</v>
          </cell>
          <cell r="L1655" t="str">
            <v>-33.34203036</v>
          </cell>
          <cell r="M1655" t="str">
            <v>H</v>
          </cell>
          <cell r="N1655" t="str">
            <v>1</v>
          </cell>
          <cell r="O1655" t="str">
            <v>COCKIE</v>
          </cell>
          <cell r="P1655" t="str">
            <v>BEND</v>
          </cell>
          <cell r="R1655" t="str">
            <v>COLLIE</v>
          </cell>
          <cell r="S1655" t="str">
            <v>6225</v>
          </cell>
        </row>
        <row r="1656">
          <cell r="B1656" t="str">
            <v>S2020124</v>
          </cell>
          <cell r="C1656" t="str">
            <v>SPS TWO ROCKS RD YANCHEP</v>
          </cell>
          <cell r="D1656" t="str">
            <v>A- actual</v>
          </cell>
          <cell r="E1656" t="str">
            <v>PS- pump station</v>
          </cell>
          <cell r="F1656" t="str">
            <v>YANCHEP</v>
          </cell>
          <cell r="G1656" t="str">
            <v>083-05</v>
          </cell>
          <cell r="H1656" t="str">
            <v>W- water corporation</v>
          </cell>
          <cell r="J1656" t="str">
            <v>20100610</v>
          </cell>
          <cell r="K1656" t="str">
            <v>115.62577422</v>
          </cell>
          <cell r="L1656" t="str">
            <v>-31.53751625</v>
          </cell>
          <cell r="M1656" t="str">
            <v>H</v>
          </cell>
          <cell r="N1656" t="str">
            <v>22</v>
          </cell>
          <cell r="O1656" t="str">
            <v>WAVESKI</v>
          </cell>
          <cell r="P1656" t="str">
            <v>ST</v>
          </cell>
          <cell r="R1656" t="str">
            <v>YANCHEP</v>
          </cell>
          <cell r="S1656" t="str">
            <v>6035</v>
          </cell>
        </row>
        <row r="1657">
          <cell r="B1657" t="str">
            <v>S8009048</v>
          </cell>
          <cell r="C1657" t="str">
            <v>SPS OLD FARM RD AUGUSTA</v>
          </cell>
          <cell r="D1657" t="str">
            <v>A- actual</v>
          </cell>
          <cell r="E1657" t="str">
            <v>TPS- temporary pump station</v>
          </cell>
          <cell r="F1657" t="str">
            <v>OLD FARM ROAD</v>
          </cell>
          <cell r="H1657" t="str">
            <v>W- water corporation</v>
          </cell>
          <cell r="J1657" t="str">
            <v>20100301</v>
          </cell>
          <cell r="K1657" t="str">
            <v>115.14367401</v>
          </cell>
          <cell r="L1657" t="str">
            <v>-34.31477775</v>
          </cell>
          <cell r="M1657" t="str">
            <v>H</v>
          </cell>
          <cell r="N1657" t="str">
            <v>10</v>
          </cell>
          <cell r="O1657" t="str">
            <v>ISLAND</v>
          </cell>
          <cell r="P1657" t="str">
            <v>DR</v>
          </cell>
          <cell r="R1657" t="str">
            <v>AUGUSTA</v>
          </cell>
          <cell r="S1657" t="str">
            <v>6290</v>
          </cell>
        </row>
        <row r="1658">
          <cell r="B1658" t="str">
            <v>S2023152</v>
          </cell>
          <cell r="C1658" t="str">
            <v>#SPS PATRICIA ST CAVERSHAM</v>
          </cell>
          <cell r="D1658" t="str">
            <v>D- dead</v>
          </cell>
          <cell r="E1658" t="str">
            <v>PS- pump station</v>
          </cell>
          <cell r="F1658" t="str">
            <v>PATRICIA ST</v>
          </cell>
          <cell r="G1658" t="str">
            <v>902-56</v>
          </cell>
          <cell r="H1658" t="str">
            <v>W- water corporation</v>
          </cell>
          <cell r="J1658" t="str">
            <v>20100617</v>
          </cell>
          <cell r="K1658" t="str">
            <v>115.969676335</v>
          </cell>
          <cell r="L1658" t="str">
            <v>-31.8666976258</v>
          </cell>
          <cell r="M1658" t="str">
            <v>H</v>
          </cell>
          <cell r="N1658" t="str">
            <v>27</v>
          </cell>
          <cell r="O1658" t="str">
            <v>SABRO</v>
          </cell>
          <cell r="P1658" t="str">
            <v>LANE</v>
          </cell>
          <cell r="R1658" t="str">
            <v>CAVERSHAM</v>
          </cell>
          <cell r="S1658" t="str">
            <v>6055</v>
          </cell>
        </row>
        <row r="1659">
          <cell r="D1659" t="str">
            <v>A- actual</v>
          </cell>
          <cell r="E1659" t="str">
            <v>PS- pump station</v>
          </cell>
          <cell r="F1659" t="str">
            <v>BUNDIYARRA COMMUNITY</v>
          </cell>
          <cell r="H1659" t="str">
            <v>P- private</v>
          </cell>
          <cell r="J1659" t="str">
            <v>19971014</v>
          </cell>
          <cell r="K1659" t="str">
            <v>114.634313173</v>
          </cell>
          <cell r="L1659" t="str">
            <v>-28.7795752967</v>
          </cell>
          <cell r="M1659" t="str">
            <v>H</v>
          </cell>
          <cell r="N1659" t="str">
            <v>10</v>
          </cell>
          <cell r="O1659" t="str">
            <v>BLENCOWE</v>
          </cell>
          <cell r="P1659" t="str">
            <v>RD</v>
          </cell>
          <cell r="R1659" t="str">
            <v>RANGEWAY</v>
          </cell>
          <cell r="S1659" t="str">
            <v>6530</v>
          </cell>
        </row>
        <row r="1660">
          <cell r="D1660" t="str">
            <v>A- actual</v>
          </cell>
          <cell r="E1660" t="str">
            <v>PS- pump station</v>
          </cell>
          <cell r="F1660" t="str">
            <v>NANNUP CARAVAN PARK</v>
          </cell>
          <cell r="H1660" t="str">
            <v>P- private</v>
          </cell>
          <cell r="J1660" t="str">
            <v>20100217</v>
          </cell>
          <cell r="K1660" t="str">
            <v>115.769381741</v>
          </cell>
          <cell r="L1660" t="str">
            <v>-33.976551043</v>
          </cell>
          <cell r="M1660" t="str">
            <v>L</v>
          </cell>
          <cell r="N1660" t="str">
            <v>401</v>
          </cell>
          <cell r="O1660" t="str">
            <v>BALINGUP-NANNUP</v>
          </cell>
          <cell r="P1660" t="str">
            <v>RD</v>
          </cell>
          <cell r="R1660" t="str">
            <v>NANNUP</v>
          </cell>
          <cell r="S1660" t="str">
            <v>6275</v>
          </cell>
        </row>
        <row r="1661">
          <cell r="D1661" t="str">
            <v>A- actual</v>
          </cell>
          <cell r="E1661" t="str">
            <v>PS- pump station</v>
          </cell>
          <cell r="F1661" t="str">
            <v>YHA</v>
          </cell>
          <cell r="H1661" t="str">
            <v>P- private</v>
          </cell>
          <cell r="J1661" t="str">
            <v>20100330</v>
          </cell>
          <cell r="K1661" t="str">
            <v>115.127206414</v>
          </cell>
          <cell r="L1661" t="str">
            <v>-33.6264601891</v>
          </cell>
          <cell r="M1661" t="str">
            <v>H</v>
          </cell>
          <cell r="N1661" t="str">
            <v>201</v>
          </cell>
          <cell r="O1661" t="str">
            <v>GEOGRAPHE BAY</v>
          </cell>
          <cell r="P1661" t="str">
            <v>RD</v>
          </cell>
          <cell r="R1661" t="str">
            <v>QUINDALUP</v>
          </cell>
          <cell r="S1661" t="str">
            <v>6281</v>
          </cell>
        </row>
        <row r="1662">
          <cell r="B1662" t="str">
            <v>S2023141</v>
          </cell>
          <cell r="C1662" t="str">
            <v>SPS MORWELL ST TEMP YANCHEP</v>
          </cell>
          <cell r="D1662" t="str">
            <v>D- dead</v>
          </cell>
          <cell r="E1662" t="str">
            <v>TPS- temporary pump station</v>
          </cell>
          <cell r="F1662" t="str">
            <v>MORWELL ST</v>
          </cell>
          <cell r="G1662" t="str">
            <v>902-53</v>
          </cell>
          <cell r="H1662" t="str">
            <v>W- water corporation</v>
          </cell>
          <cell r="J1662" t="str">
            <v>20100601</v>
          </cell>
          <cell r="K1662" t="str">
            <v>115.640227007</v>
          </cell>
          <cell r="L1662" t="str">
            <v>-31.5526130584</v>
          </cell>
          <cell r="M1662" t="str">
            <v>H</v>
          </cell>
          <cell r="N1662" t="str">
            <v>1</v>
          </cell>
          <cell r="O1662" t="str">
            <v>MORWELL</v>
          </cell>
          <cell r="P1662" t="str">
            <v>ST</v>
          </cell>
          <cell r="R1662" t="str">
            <v>YANCHEP</v>
          </cell>
          <cell r="S1662" t="str">
            <v>6035</v>
          </cell>
        </row>
        <row r="1663">
          <cell r="B1663" t="str">
            <v>S2019016</v>
          </cell>
          <cell r="C1663" t="str">
            <v>SPS PARKHILL WY WILSON</v>
          </cell>
          <cell r="D1663" t="str">
            <v>A- actual</v>
          </cell>
          <cell r="E1663" t="str">
            <v>PS- pump station</v>
          </cell>
          <cell r="F1663" t="str">
            <v>PARKHILL WAY</v>
          </cell>
          <cell r="G1663" t="str">
            <v>018-04</v>
          </cell>
          <cell r="H1663" t="str">
            <v>W- water corporation</v>
          </cell>
          <cell r="J1663" t="str">
            <v>20101101</v>
          </cell>
          <cell r="K1663" t="str">
            <v>115.8995534</v>
          </cell>
          <cell r="L1663" t="str">
            <v>-32.01501552</v>
          </cell>
          <cell r="M1663" t="str">
            <v>H</v>
          </cell>
          <cell r="N1663" t="str">
            <v>3</v>
          </cell>
          <cell r="O1663" t="str">
            <v>WENDOUREE</v>
          </cell>
          <cell r="P1663" t="str">
            <v>RD</v>
          </cell>
          <cell r="R1663" t="str">
            <v>WILSON</v>
          </cell>
          <cell r="S1663" t="str">
            <v>6107</v>
          </cell>
        </row>
        <row r="1664">
          <cell r="B1664" t="str">
            <v>S2018395</v>
          </cell>
          <cell r="C1664" t="str">
            <v>SPS ULIDIA COVE MUNSTER</v>
          </cell>
          <cell r="D1664" t="str">
            <v>A- actual</v>
          </cell>
          <cell r="E1664" t="str">
            <v>PS- pump station</v>
          </cell>
          <cell r="F1664" t="str">
            <v>ULIDIA COVE</v>
          </cell>
          <cell r="G1664" t="str">
            <v>074-07</v>
          </cell>
          <cell r="H1664" t="str">
            <v>W- water corporation</v>
          </cell>
          <cell r="J1664" t="str">
            <v>20100601</v>
          </cell>
          <cell r="K1664" t="str">
            <v>115.7868742</v>
          </cell>
          <cell r="L1664" t="str">
            <v>-32.14365537</v>
          </cell>
          <cell r="M1664" t="str">
            <v>H</v>
          </cell>
          <cell r="N1664" t="str">
            <v>7</v>
          </cell>
          <cell r="O1664" t="str">
            <v>ULIDIA</v>
          </cell>
          <cell r="P1664" t="str">
            <v>COVE</v>
          </cell>
          <cell r="R1664" t="str">
            <v>MUNSTER</v>
          </cell>
          <cell r="S1664" t="str">
            <v>6166</v>
          </cell>
        </row>
        <row r="1665">
          <cell r="B1665" t="str">
            <v>S8010678</v>
          </cell>
          <cell r="C1665" t="str">
            <v>SPS CRONIN ST MANJIMUP</v>
          </cell>
          <cell r="D1665" t="str">
            <v>A- actual</v>
          </cell>
          <cell r="E1665" t="str">
            <v>PS- pump station</v>
          </cell>
          <cell r="F1665" t="str">
            <v>CRONIN ST</v>
          </cell>
          <cell r="G1665" t="str">
            <v>5</v>
          </cell>
          <cell r="H1665" t="str">
            <v>W- water corporation</v>
          </cell>
          <cell r="J1665" t="str">
            <v>20100217</v>
          </cell>
          <cell r="K1665" t="str">
            <v>116.132616488</v>
          </cell>
          <cell r="L1665" t="str">
            <v>-34.2452576266</v>
          </cell>
          <cell r="M1665" t="str">
            <v>H</v>
          </cell>
          <cell r="N1665" t="str">
            <v>46</v>
          </cell>
          <cell r="O1665" t="str">
            <v>CRONIN</v>
          </cell>
          <cell r="P1665" t="str">
            <v>ST</v>
          </cell>
          <cell r="R1665" t="str">
            <v>MANJIMUP</v>
          </cell>
          <cell r="S1665" t="str">
            <v>6258</v>
          </cell>
        </row>
        <row r="1666">
          <cell r="D1666" t="str">
            <v>A- actual</v>
          </cell>
          <cell r="E1666" t="str">
            <v>PS- pump station</v>
          </cell>
          <cell r="F1666" t="str">
            <v>CALM DEPOT</v>
          </cell>
          <cell r="H1666" t="str">
            <v>P- private</v>
          </cell>
          <cell r="J1666" t="str">
            <v>20060712</v>
          </cell>
          <cell r="K1666" t="str">
            <v>115.677123746</v>
          </cell>
          <cell r="L1666" t="str">
            <v>-33.358207943</v>
          </cell>
          <cell r="M1666" t="str">
            <v>L</v>
          </cell>
          <cell r="N1666" t="str">
            <v>721</v>
          </cell>
          <cell r="O1666" t="str">
            <v>SOUTH WESTERN</v>
          </cell>
          <cell r="P1666" t="str">
            <v>HWY</v>
          </cell>
          <cell r="R1666" t="str">
            <v>DAVENPORT</v>
          </cell>
          <cell r="S1666" t="str">
            <v>6230</v>
          </cell>
        </row>
        <row r="1667">
          <cell r="B1667" t="str">
            <v>S2019737</v>
          </cell>
          <cell r="C1667" t="str">
            <v>LPPS H01 FAIRBAIRN ST MOSMAN PK</v>
          </cell>
          <cell r="D1667" t="str">
            <v>A- actual</v>
          </cell>
          <cell r="E1667" t="str">
            <v>LPPS- low pressure pump station</v>
          </cell>
          <cell r="F1667" t="str">
            <v>FAIRBAIRN ST</v>
          </cell>
          <cell r="G1667" t="str">
            <v>15</v>
          </cell>
          <cell r="H1667" t="str">
            <v>W- water corporation</v>
          </cell>
          <cell r="J1667" t="str">
            <v>20090914</v>
          </cell>
          <cell r="K1667" t="str">
            <v>115.769518104</v>
          </cell>
          <cell r="L1667" t="str">
            <v>-32.0216918566</v>
          </cell>
          <cell r="M1667" t="str">
            <v>H</v>
          </cell>
          <cell r="N1667" t="str">
            <v>1</v>
          </cell>
          <cell r="O1667" t="str">
            <v>FAIRBAIRN</v>
          </cell>
          <cell r="P1667" t="str">
            <v>ST</v>
          </cell>
          <cell r="R1667" t="str">
            <v>MOSMAN PARK</v>
          </cell>
          <cell r="S1667" t="str">
            <v>6012</v>
          </cell>
        </row>
        <row r="1668">
          <cell r="B1668" t="str">
            <v>S2019733</v>
          </cell>
          <cell r="C1668" t="str">
            <v>LPPS H09B FAIRBAIRN ST MOSMAN PK</v>
          </cell>
          <cell r="D1668" t="str">
            <v>A- actual</v>
          </cell>
          <cell r="E1668" t="str">
            <v>LPPS- low pressure pump station</v>
          </cell>
          <cell r="F1668" t="str">
            <v>FAIRBAIRN ST</v>
          </cell>
          <cell r="G1668" t="str">
            <v>11</v>
          </cell>
          <cell r="H1668" t="str">
            <v>W- water corporation</v>
          </cell>
          <cell r="J1668" t="str">
            <v>20090914</v>
          </cell>
          <cell r="K1668" t="str">
            <v>115.76883984</v>
          </cell>
          <cell r="L1668" t="str">
            <v>-32.0215098044</v>
          </cell>
          <cell r="M1668" t="str">
            <v>H</v>
          </cell>
          <cell r="N1668" t="str">
            <v>9</v>
          </cell>
          <cell r="O1668" t="str">
            <v>FAIRBAIRN</v>
          </cell>
          <cell r="P1668" t="str">
            <v>ST</v>
          </cell>
          <cell r="R1668" t="str">
            <v>MOSMAN PARK</v>
          </cell>
          <cell r="S1668" t="str">
            <v>6012</v>
          </cell>
        </row>
        <row r="1669">
          <cell r="B1669" t="str">
            <v>S2019731</v>
          </cell>
          <cell r="C1669" t="str">
            <v>LPPS H11 FAIRBAIRN ST MOSMAN PK</v>
          </cell>
          <cell r="D1669" t="str">
            <v>A- actual</v>
          </cell>
          <cell r="E1669" t="str">
            <v>LPPS- low pressure pump station</v>
          </cell>
          <cell r="F1669" t="str">
            <v>FAIRBAIRN ST</v>
          </cell>
          <cell r="G1669" t="str">
            <v>9</v>
          </cell>
          <cell r="H1669" t="str">
            <v>W- water corporation</v>
          </cell>
          <cell r="J1669" t="str">
            <v>20071024</v>
          </cell>
          <cell r="K1669" t="str">
            <v>115.768606501</v>
          </cell>
          <cell r="L1669" t="str">
            <v>-32.021127516</v>
          </cell>
          <cell r="M1669" t="str">
            <v>H</v>
          </cell>
          <cell r="N1669" t="str">
            <v>15</v>
          </cell>
          <cell r="O1669" t="str">
            <v>FAIRBAIRN</v>
          </cell>
          <cell r="P1669" t="str">
            <v>ST</v>
          </cell>
          <cell r="R1669" t="str">
            <v>MOSMAN PARK</v>
          </cell>
          <cell r="S1669" t="str">
            <v>6012</v>
          </cell>
        </row>
        <row r="1670">
          <cell r="B1670" t="str">
            <v>S2023385</v>
          </cell>
          <cell r="C1670" t="str">
            <v>LPPS H60 WENDOUREE RD WILSON</v>
          </cell>
          <cell r="D1670" t="str">
            <v>A- actual</v>
          </cell>
          <cell r="E1670" t="str">
            <v>LPPS- low pressure pump station</v>
          </cell>
          <cell r="F1670" t="str">
            <v>WENDOUREE RD</v>
          </cell>
          <cell r="G1670" t="str">
            <v>4</v>
          </cell>
          <cell r="H1670" t="str">
            <v>W- water corporation</v>
          </cell>
          <cell r="J1670" t="str">
            <v>20090917</v>
          </cell>
          <cell r="K1670" t="str">
            <v>115.904526784</v>
          </cell>
          <cell r="L1670" t="str">
            <v>-32.018606931</v>
          </cell>
          <cell r="M1670" t="str">
            <v>H</v>
          </cell>
          <cell r="N1670" t="str">
            <v>60</v>
          </cell>
          <cell r="O1670" t="str">
            <v>WENDOUREE</v>
          </cell>
          <cell r="P1670" t="str">
            <v>RD</v>
          </cell>
          <cell r="R1670" t="str">
            <v>WILSON</v>
          </cell>
          <cell r="S1670" t="str">
            <v>6107</v>
          </cell>
        </row>
        <row r="1671">
          <cell r="B1671" t="str">
            <v>S2023389</v>
          </cell>
          <cell r="C1671" t="str">
            <v>LPPS H62 WENDOUREE RD WILSON</v>
          </cell>
          <cell r="D1671" t="str">
            <v>A- actual</v>
          </cell>
          <cell r="E1671" t="str">
            <v>LPPS- low pressure pump station</v>
          </cell>
          <cell r="F1671" t="str">
            <v>WENDOUREE RD</v>
          </cell>
          <cell r="G1671" t="str">
            <v>5</v>
          </cell>
          <cell r="H1671" t="str">
            <v>W- water corporation</v>
          </cell>
          <cell r="J1671" t="str">
            <v>20090917</v>
          </cell>
          <cell r="K1671" t="str">
            <v>115.904643187</v>
          </cell>
          <cell r="L1671" t="str">
            <v>-32.018706572</v>
          </cell>
          <cell r="M1671" t="str">
            <v>H</v>
          </cell>
          <cell r="N1671" t="str">
            <v>62</v>
          </cell>
          <cell r="O1671" t="str">
            <v>WENDOUREE</v>
          </cell>
          <cell r="P1671" t="str">
            <v>RD</v>
          </cell>
          <cell r="R1671" t="str">
            <v>WILSON</v>
          </cell>
          <cell r="S1671" t="str">
            <v>6107</v>
          </cell>
        </row>
        <row r="1672">
          <cell r="B1672" t="str">
            <v>S2023364</v>
          </cell>
          <cell r="C1672" t="str">
            <v>LPPS H15 KNIGHT ST WEMBLEY DOWNS</v>
          </cell>
          <cell r="D1672" t="str">
            <v>A- actual</v>
          </cell>
          <cell r="E1672" t="str">
            <v>LPPS- low pressure pump station</v>
          </cell>
          <cell r="F1672" t="str">
            <v>KNIGHT ST</v>
          </cell>
          <cell r="G1672" t="str">
            <v>1</v>
          </cell>
          <cell r="H1672" t="str">
            <v>W- water corporation</v>
          </cell>
          <cell r="J1672" t="str">
            <v>20090917</v>
          </cell>
          <cell r="K1672" t="str">
            <v>115.772462912</v>
          </cell>
          <cell r="L1672" t="str">
            <v>-31.9207947525</v>
          </cell>
          <cell r="M1672" t="str">
            <v>H</v>
          </cell>
          <cell r="N1672" t="str">
            <v>15</v>
          </cell>
          <cell r="O1672" t="str">
            <v>KNIGHT</v>
          </cell>
          <cell r="P1672" t="str">
            <v>ST</v>
          </cell>
          <cell r="R1672" t="str">
            <v>WEMBLEY DOWNS</v>
          </cell>
          <cell r="S1672" t="str">
            <v>6019</v>
          </cell>
        </row>
        <row r="1673">
          <cell r="B1673" t="str">
            <v>S8010212</v>
          </cell>
          <cell r="C1673" t="str">
            <v>SPS ROTHESAY CR AUSTRALIND</v>
          </cell>
          <cell r="D1673" t="str">
            <v>A- actual</v>
          </cell>
          <cell r="E1673" t="str">
            <v>PS- pump station</v>
          </cell>
          <cell r="F1673" t="str">
            <v>ROTHESAY CR</v>
          </cell>
          <cell r="H1673" t="str">
            <v>W- water corporation</v>
          </cell>
          <cell r="J1673" t="str">
            <v>20100906</v>
          </cell>
          <cell r="K1673" t="str">
            <v>115.710259581</v>
          </cell>
          <cell r="L1673" t="str">
            <v>-33.293007588</v>
          </cell>
          <cell r="M1673" t="str">
            <v>H</v>
          </cell>
          <cell r="N1673" t="str">
            <v>191</v>
          </cell>
          <cell r="O1673" t="str">
            <v>ROTHESAY</v>
          </cell>
          <cell r="P1673" t="str">
            <v>CR</v>
          </cell>
          <cell r="R1673" t="str">
            <v>AUSTRALIND</v>
          </cell>
          <cell r="S1673" t="str">
            <v>6233</v>
          </cell>
        </row>
        <row r="1674">
          <cell r="B1674" t="str">
            <v>S2019078</v>
          </cell>
          <cell r="C1674" t="str">
            <v>SPS HOPKINSON RD SOUTH BYFORD</v>
          </cell>
          <cell r="D1674" t="str">
            <v>A- actual</v>
          </cell>
          <cell r="E1674" t="str">
            <v>PS- pump station</v>
          </cell>
          <cell r="F1674" t="str">
            <v>BYFORD</v>
          </cell>
          <cell r="G1674" t="str">
            <v>086-02</v>
          </cell>
          <cell r="H1674" t="str">
            <v>W- water corporation</v>
          </cell>
          <cell r="J1674" t="str">
            <v>20100805</v>
          </cell>
          <cell r="K1674" t="str">
            <v>115.976887273</v>
          </cell>
          <cell r="L1674" t="str">
            <v>-32.228074803</v>
          </cell>
          <cell r="M1674" t="str">
            <v>H</v>
          </cell>
          <cell r="N1674" t="str">
            <v>14</v>
          </cell>
          <cell r="O1674" t="str">
            <v>AGATE</v>
          </cell>
          <cell r="P1674" t="str">
            <v>WAY</v>
          </cell>
          <cell r="R1674" t="str">
            <v>BYFORD</v>
          </cell>
          <cell r="S1674" t="str">
            <v>6122</v>
          </cell>
        </row>
        <row r="1675">
          <cell r="B1675" t="str">
            <v>S8009323</v>
          </cell>
          <cell r="C1675" t="str">
            <v>SPS MERCHANT ST MARGARET RIVER</v>
          </cell>
          <cell r="D1675" t="str">
            <v>A- actual</v>
          </cell>
          <cell r="E1675" t="str">
            <v>PS- pump station</v>
          </cell>
          <cell r="F1675" t="str">
            <v>MERCHANT ST</v>
          </cell>
          <cell r="G1675" t="str">
            <v>6</v>
          </cell>
          <cell r="H1675" t="str">
            <v>W- water corporation</v>
          </cell>
          <cell r="J1675" t="str">
            <v>20071101</v>
          </cell>
          <cell r="K1675" t="str">
            <v>115.060141946</v>
          </cell>
          <cell r="L1675" t="str">
            <v>-33.949228963</v>
          </cell>
          <cell r="M1675" t="str">
            <v>H</v>
          </cell>
          <cell r="N1675" t="str">
            <v>40</v>
          </cell>
          <cell r="O1675" t="str">
            <v>MERCHANT</v>
          </cell>
          <cell r="P1675" t="str">
            <v>ST</v>
          </cell>
          <cell r="R1675" t="str">
            <v>MARGARET RIVER</v>
          </cell>
          <cell r="S1675" t="str">
            <v>6285</v>
          </cell>
        </row>
        <row r="1676">
          <cell r="B1676" t="str">
            <v>S2018474</v>
          </cell>
          <cell r="C1676" t="str">
            <v>SPS COROMANDEL APP NORTH COOGEE</v>
          </cell>
          <cell r="D1676" t="str">
            <v>A- actual</v>
          </cell>
          <cell r="E1676" t="str">
            <v>PS- pump station</v>
          </cell>
          <cell r="F1676" t="str">
            <v>COROMANDEL</v>
          </cell>
          <cell r="G1676" t="str">
            <v>026-08</v>
          </cell>
          <cell r="H1676" t="str">
            <v>W- water corporation</v>
          </cell>
          <cell r="J1676" t="str">
            <v>20100601</v>
          </cell>
          <cell r="K1676" t="str">
            <v>115.76188279</v>
          </cell>
          <cell r="L1676" t="str">
            <v>-32.1006690348</v>
          </cell>
          <cell r="M1676" t="str">
            <v>H</v>
          </cell>
          <cell r="N1676" t="str">
            <v>6</v>
          </cell>
          <cell r="O1676" t="str">
            <v>COROMANDEL</v>
          </cell>
          <cell r="P1676" t="str">
            <v>APP</v>
          </cell>
          <cell r="R1676" t="str">
            <v>NORTH COOGEE</v>
          </cell>
          <cell r="S1676" t="str">
            <v>6163</v>
          </cell>
        </row>
        <row r="1677">
          <cell r="D1677" t="str">
            <v>A- actual</v>
          </cell>
          <cell r="E1677" t="str">
            <v>PS- pump station</v>
          </cell>
          <cell r="F1677" t="str">
            <v>LOT 101 WAVERLEY RD</v>
          </cell>
          <cell r="H1677" t="str">
            <v>P- private</v>
          </cell>
          <cell r="J1677" t="str">
            <v>20100430</v>
          </cell>
          <cell r="K1677" t="str">
            <v>115.105166666</v>
          </cell>
          <cell r="L1677" t="str">
            <v>-33.848901476</v>
          </cell>
          <cell r="M1677" t="str">
            <v>H</v>
          </cell>
          <cell r="N1677" t="str">
            <v>5</v>
          </cell>
          <cell r="O1677" t="str">
            <v>WAVERLEY</v>
          </cell>
          <cell r="P1677" t="str">
            <v>RD</v>
          </cell>
          <cell r="R1677" t="str">
            <v>COWARAMUP</v>
          </cell>
          <cell r="S1677" t="str">
            <v>6284</v>
          </cell>
        </row>
        <row r="1678">
          <cell r="B1678" t="str">
            <v>S2023059</v>
          </cell>
          <cell r="C1678" t="str">
            <v>SPS MOONSTONE PWY WELLARD</v>
          </cell>
          <cell r="D1678" t="str">
            <v>A- actual</v>
          </cell>
          <cell r="E1678" t="str">
            <v>PS- pump station</v>
          </cell>
          <cell r="F1678" t="str">
            <v>KWINANA</v>
          </cell>
          <cell r="G1678" t="str">
            <v>042-12</v>
          </cell>
          <cell r="H1678" t="str">
            <v>W- water corporation</v>
          </cell>
          <cell r="J1678" t="str">
            <v>20100916</v>
          </cell>
          <cell r="K1678" t="str">
            <v>115.849418831</v>
          </cell>
          <cell r="L1678" t="str">
            <v>-32.268027454</v>
          </cell>
          <cell r="M1678" t="str">
            <v>H</v>
          </cell>
          <cell r="N1678" t="str">
            <v>547</v>
          </cell>
          <cell r="O1678" t="str">
            <v>MILLAR</v>
          </cell>
          <cell r="P1678" t="str">
            <v>RD</v>
          </cell>
          <cell r="R1678" t="str">
            <v>WELLARD</v>
          </cell>
          <cell r="S1678" t="str">
            <v>6170</v>
          </cell>
        </row>
        <row r="1679">
          <cell r="D1679" t="str">
            <v>A- actual</v>
          </cell>
          <cell r="E1679" t="str">
            <v>PS- pump station</v>
          </cell>
          <cell r="F1679" t="str">
            <v>LOT 3 ADELMA PL</v>
          </cell>
          <cell r="H1679" t="str">
            <v>P- private</v>
          </cell>
          <cell r="J1679" t="str">
            <v>20060501</v>
          </cell>
          <cell r="K1679" t="str">
            <v>115.79967551</v>
          </cell>
          <cell r="L1679" t="str">
            <v>-32.00297356</v>
          </cell>
          <cell r="M1679" t="str">
            <v>H</v>
          </cell>
          <cell r="N1679" t="str">
            <v>6</v>
          </cell>
          <cell r="O1679" t="str">
            <v>ADELMA</v>
          </cell>
          <cell r="P1679" t="str">
            <v>PL</v>
          </cell>
          <cell r="R1679" t="str">
            <v>DALKEITH</v>
          </cell>
          <cell r="S1679" t="str">
            <v>6009</v>
          </cell>
        </row>
        <row r="1680">
          <cell r="B1680" t="str">
            <v>S7003007</v>
          </cell>
          <cell r="C1680" t="str">
            <v>SPS BROOKS GARDEN LANGE</v>
          </cell>
          <cell r="D1680" t="str">
            <v>A- actual</v>
          </cell>
          <cell r="E1680" t="str">
            <v>PS- pump station</v>
          </cell>
          <cell r="F1680" t="str">
            <v>BROOKS GARDEN</v>
          </cell>
          <cell r="G1680" t="str">
            <v>28</v>
          </cell>
          <cell r="H1680" t="str">
            <v>W- water corporation</v>
          </cell>
          <cell r="J1680" t="str">
            <v>20091001</v>
          </cell>
          <cell r="K1680" t="str">
            <v>117.880368651</v>
          </cell>
          <cell r="L1680" t="str">
            <v>-34.989858303</v>
          </cell>
          <cell r="M1680" t="str">
            <v>H</v>
          </cell>
          <cell r="N1680" t="str">
            <v>61</v>
          </cell>
          <cell r="O1680" t="str">
            <v>CATALINA</v>
          </cell>
          <cell r="P1680" t="str">
            <v>RD</v>
          </cell>
          <cell r="R1680" t="str">
            <v>LANGE</v>
          </cell>
          <cell r="S1680" t="str">
            <v>6330</v>
          </cell>
        </row>
        <row r="1681">
          <cell r="D1681" t="str">
            <v>A- actual</v>
          </cell>
          <cell r="E1681" t="str">
            <v>PS- pump station</v>
          </cell>
          <cell r="F1681" t="str">
            <v>BEACH ST</v>
          </cell>
          <cell r="H1681" t="str">
            <v>P- private</v>
          </cell>
          <cell r="J1681" t="str">
            <v>20101102</v>
          </cell>
          <cell r="K1681" t="str">
            <v>115.7567152</v>
          </cell>
          <cell r="L1681" t="str">
            <v>-32.042046464</v>
          </cell>
          <cell r="M1681" t="str">
            <v>H</v>
          </cell>
          <cell r="N1681" t="str">
            <v>21</v>
          </cell>
          <cell r="O1681" t="str">
            <v>BEACH</v>
          </cell>
          <cell r="P1681" t="str">
            <v>ST</v>
          </cell>
          <cell r="R1681" t="str">
            <v>FREMANTLE</v>
          </cell>
          <cell r="S1681" t="str">
            <v>6160</v>
          </cell>
        </row>
        <row r="1682">
          <cell r="D1682" t="str">
            <v>A- actual</v>
          </cell>
          <cell r="E1682" t="str">
            <v>PS- pump station</v>
          </cell>
          <cell r="F1682" t="str">
            <v>LOT 4 TOMAH RD</v>
          </cell>
          <cell r="H1682" t="str">
            <v>P- private</v>
          </cell>
          <cell r="J1682" t="str">
            <v>20100511</v>
          </cell>
          <cell r="K1682" t="str">
            <v>115.977363308</v>
          </cell>
          <cell r="L1682" t="str">
            <v>-31.989535721</v>
          </cell>
          <cell r="M1682" t="str">
            <v>H</v>
          </cell>
          <cell r="N1682" t="str">
            <v>36</v>
          </cell>
          <cell r="O1682" t="str">
            <v>TOMAH</v>
          </cell>
          <cell r="P1682" t="str">
            <v>RD</v>
          </cell>
          <cell r="R1682" t="str">
            <v>WELSHPOOL</v>
          </cell>
          <cell r="S1682" t="str">
            <v>6106</v>
          </cell>
        </row>
        <row r="1683">
          <cell r="B1683" t="str">
            <v>S5004949</v>
          </cell>
          <cell r="C1683" t="str">
            <v>SPS 2 JANET MILLET LANE YORK</v>
          </cell>
          <cell r="D1683" t="str">
            <v>A- actual</v>
          </cell>
          <cell r="E1683" t="str">
            <v>PS- pump station</v>
          </cell>
          <cell r="F1683" t="str">
            <v>JANET MILLETT LANE</v>
          </cell>
          <cell r="G1683" t="str">
            <v>2</v>
          </cell>
          <cell r="H1683" t="str">
            <v>W- water corporation</v>
          </cell>
          <cell r="J1683" t="str">
            <v>20100708</v>
          </cell>
          <cell r="K1683" t="str">
            <v>116.771335353</v>
          </cell>
          <cell r="L1683" t="str">
            <v>-31.887706525</v>
          </cell>
          <cell r="M1683" t="str">
            <v>H</v>
          </cell>
          <cell r="N1683" t="str">
            <v>8</v>
          </cell>
          <cell r="O1683" t="str">
            <v>GLEBE</v>
          </cell>
          <cell r="P1683" t="str">
            <v>ST</v>
          </cell>
          <cell r="R1683" t="str">
            <v>YORK</v>
          </cell>
          <cell r="S1683" t="str">
            <v>6302</v>
          </cell>
        </row>
        <row r="1684">
          <cell r="B1684" t="str">
            <v>S400875</v>
          </cell>
          <cell r="C1684" t="str">
            <v>VPS COLLINS WAY LANCELIN</v>
          </cell>
          <cell r="D1684" t="str">
            <v>A- actual</v>
          </cell>
          <cell r="E1684" t="str">
            <v>VPS- vacuum pump station</v>
          </cell>
          <cell r="F1684" t="str">
            <v>COLLINS WAY</v>
          </cell>
          <cell r="H1684" t="str">
            <v>W- water corporation</v>
          </cell>
          <cell r="J1684" t="str">
            <v>20101201</v>
          </cell>
          <cell r="K1684" t="str">
            <v>115.335291278</v>
          </cell>
          <cell r="L1684" t="str">
            <v>-31.0152064744</v>
          </cell>
          <cell r="M1684" t="str">
            <v>L</v>
          </cell>
          <cell r="N1684" t="str">
            <v>503</v>
          </cell>
          <cell r="O1684" t="str">
            <v>COLLINS</v>
          </cell>
          <cell r="P1684" t="str">
            <v>WAY</v>
          </cell>
          <cell r="R1684" t="str">
            <v>LANCELIN</v>
          </cell>
          <cell r="S1684" t="str">
            <v>6044</v>
          </cell>
        </row>
        <row r="1685">
          <cell r="B1685" t="str">
            <v>S7012545</v>
          </cell>
          <cell r="C1685" t="str">
            <v>SPS REUSE BGM WWTP BODDINGTON</v>
          </cell>
          <cell r="D1685" t="str">
            <v>A- actual</v>
          </cell>
          <cell r="E1685" t="str">
            <v>EPS- effluent re-use pump station</v>
          </cell>
          <cell r="F1685" t="str">
            <v>BODDINGTON WWTP</v>
          </cell>
          <cell r="H1685" t="str">
            <v>W- water corporation</v>
          </cell>
          <cell r="J1685" t="str">
            <v>20100401</v>
          </cell>
          <cell r="K1685" t="str">
            <v>116.454849549</v>
          </cell>
          <cell r="L1685" t="str">
            <v>-32.7850274337</v>
          </cell>
          <cell r="M1685" t="str">
            <v>H</v>
          </cell>
          <cell r="N1685" t="str">
            <v>295</v>
          </cell>
          <cell r="O1685" t="str">
            <v>GOLD MINE</v>
          </cell>
          <cell r="P1685" t="str">
            <v>RD</v>
          </cell>
          <cell r="R1685" t="str">
            <v>BODDINGTON</v>
          </cell>
          <cell r="S1685" t="str">
            <v>6390</v>
          </cell>
        </row>
        <row r="1686">
          <cell r="B1686" t="str">
            <v>S2019548</v>
          </cell>
          <cell r="C1686" t="str">
            <v>LPPS H39 ROSS AV SORRENTO</v>
          </cell>
          <cell r="D1686" t="str">
            <v>A- actual</v>
          </cell>
          <cell r="E1686" t="str">
            <v>LPPS- low pressure pump station</v>
          </cell>
          <cell r="F1686" t="str">
            <v>ROSS AVE</v>
          </cell>
          <cell r="G1686" t="str">
            <v>7</v>
          </cell>
          <cell r="H1686" t="str">
            <v>W- water corporation</v>
          </cell>
          <cell r="J1686" t="str">
            <v>20100510</v>
          </cell>
          <cell r="K1686" t="str">
            <v>115.754085009</v>
          </cell>
          <cell r="L1686" t="str">
            <v>-31.834173028</v>
          </cell>
          <cell r="M1686" t="str">
            <v>H</v>
          </cell>
          <cell r="N1686" t="str">
            <v>39</v>
          </cell>
          <cell r="O1686" t="str">
            <v>ROSS</v>
          </cell>
          <cell r="P1686" t="str">
            <v>AV</v>
          </cell>
          <cell r="R1686" t="str">
            <v>SORRENTO</v>
          </cell>
          <cell r="S1686" t="str">
            <v>6020</v>
          </cell>
        </row>
        <row r="1687">
          <cell r="B1687" t="str">
            <v>S2019552</v>
          </cell>
          <cell r="C1687" t="str">
            <v>LPPS H41 CLONTARF ST SORRENTO</v>
          </cell>
          <cell r="D1687" t="str">
            <v>A- actual</v>
          </cell>
          <cell r="E1687" t="str">
            <v>LPPS- low pressure pump station</v>
          </cell>
          <cell r="F1687" t="str">
            <v>CLONTARF ST</v>
          </cell>
          <cell r="G1687" t="str">
            <v>11</v>
          </cell>
          <cell r="H1687" t="str">
            <v>W- water corporation</v>
          </cell>
          <cell r="J1687" t="str">
            <v>20100217</v>
          </cell>
          <cell r="K1687" t="str">
            <v>115.75340565</v>
          </cell>
          <cell r="L1687" t="str">
            <v>-31.835167688</v>
          </cell>
          <cell r="M1687" t="str">
            <v>H</v>
          </cell>
          <cell r="N1687" t="str">
            <v>41</v>
          </cell>
          <cell r="O1687" t="str">
            <v>CLONTARF</v>
          </cell>
          <cell r="P1687" t="str">
            <v>ST</v>
          </cell>
          <cell r="R1687" t="str">
            <v>SORRENTO</v>
          </cell>
          <cell r="S1687" t="str">
            <v>6020</v>
          </cell>
        </row>
        <row r="1688">
          <cell r="B1688" t="str">
            <v>S2023377</v>
          </cell>
          <cell r="C1688" t="str">
            <v>LPPS H56 WENDOUREE RD WILSON</v>
          </cell>
          <cell r="D1688" t="str">
            <v>A- actual</v>
          </cell>
          <cell r="E1688" t="str">
            <v>LPPS- low pressure pump station</v>
          </cell>
          <cell r="F1688" t="str">
            <v>WENDOUREE RD</v>
          </cell>
          <cell r="G1688" t="str">
            <v>2</v>
          </cell>
          <cell r="H1688" t="str">
            <v>W- water corporation</v>
          </cell>
          <cell r="J1688" t="str">
            <v>20090915</v>
          </cell>
          <cell r="K1688" t="str">
            <v>115.90429397</v>
          </cell>
          <cell r="L1688" t="str">
            <v>-32.018407646</v>
          </cell>
          <cell r="M1688" t="str">
            <v>H</v>
          </cell>
          <cell r="N1688" t="str">
            <v>56</v>
          </cell>
          <cell r="O1688" t="str">
            <v>WENDOUREE</v>
          </cell>
          <cell r="P1688" t="str">
            <v>RD</v>
          </cell>
          <cell r="R1688" t="str">
            <v>WILSON</v>
          </cell>
          <cell r="S1688" t="str">
            <v>6107</v>
          </cell>
        </row>
        <row r="1689">
          <cell r="B1689" t="str">
            <v>S4003450</v>
          </cell>
          <cell r="C1689" t="str">
            <v>SPS 8 TYFORD RD DONGARA</v>
          </cell>
          <cell r="D1689" t="str">
            <v>A- actual</v>
          </cell>
          <cell r="E1689" t="str">
            <v>PS- pump station</v>
          </cell>
          <cell r="F1689" t="str">
            <v>TYFORD RD</v>
          </cell>
          <cell r="G1689" t="str">
            <v>8</v>
          </cell>
          <cell r="H1689" t="str">
            <v>W- water corporation</v>
          </cell>
          <cell r="J1689" t="str">
            <v>20100801</v>
          </cell>
          <cell r="K1689" t="str">
            <v>114.93625316</v>
          </cell>
          <cell r="L1689" t="str">
            <v>-29.24469352</v>
          </cell>
          <cell r="M1689" t="str">
            <v>L</v>
          </cell>
          <cell r="N1689" t="str">
            <v>251</v>
          </cell>
          <cell r="O1689" t="str">
            <v>TYFORD</v>
          </cell>
          <cell r="P1689" t="str">
            <v>RD</v>
          </cell>
          <cell r="R1689" t="str">
            <v>DONGARA</v>
          </cell>
          <cell r="S1689" t="str">
            <v>6525</v>
          </cell>
        </row>
        <row r="1690">
          <cell r="B1690" t="str">
            <v>S2023393</v>
          </cell>
          <cell r="C1690" t="str">
            <v>LPPS H64 WENDOUREE RD WILSON</v>
          </cell>
          <cell r="D1690" t="str">
            <v>A- actual</v>
          </cell>
          <cell r="E1690" t="str">
            <v>LPPS- low pressure pump station</v>
          </cell>
          <cell r="F1690" t="str">
            <v>WENDOUREE RD</v>
          </cell>
          <cell r="G1690" t="str">
            <v>6</v>
          </cell>
          <cell r="H1690" t="str">
            <v>W- water corporation</v>
          </cell>
          <cell r="J1690" t="str">
            <v>20110209</v>
          </cell>
          <cell r="K1690" t="str">
            <v>115.904759594</v>
          </cell>
          <cell r="L1690" t="str">
            <v>-32.018806215</v>
          </cell>
          <cell r="M1690" t="str">
            <v>H</v>
          </cell>
          <cell r="N1690" t="str">
            <v>64</v>
          </cell>
          <cell r="O1690" t="str">
            <v>WENDOUREE</v>
          </cell>
          <cell r="P1690" t="str">
            <v>RD</v>
          </cell>
          <cell r="R1690" t="str">
            <v>WILSON</v>
          </cell>
          <cell r="S1690" t="str">
            <v>6107</v>
          </cell>
        </row>
        <row r="1691">
          <cell r="D1691" t="str">
            <v>P- proposed</v>
          </cell>
          <cell r="E1691" t="str">
            <v>PS- pump station</v>
          </cell>
          <cell r="H1691" t="str">
            <v>W- water corporation</v>
          </cell>
          <cell r="J1691" t="str">
            <v>20100403</v>
          </cell>
          <cell r="K1691" t="str">
            <v>115.975001082</v>
          </cell>
          <cell r="L1691" t="str">
            <v>-31.982394951</v>
          </cell>
          <cell r="M1691" t="str">
            <v>H</v>
          </cell>
          <cell r="N1691" t="str">
            <v>554</v>
          </cell>
          <cell r="O1691" t="str">
            <v>ABERNETHY</v>
          </cell>
          <cell r="P1691" t="str">
            <v>RD</v>
          </cell>
          <cell r="R1691" t="str">
            <v>KEWDALE</v>
          </cell>
          <cell r="S1691" t="str">
            <v>6105</v>
          </cell>
        </row>
        <row r="1692">
          <cell r="B1692" t="str">
            <v>S2023205</v>
          </cell>
          <cell r="C1692" t="str">
            <v>SPS CAMPOLINA AV BALDIVIS</v>
          </cell>
          <cell r="D1692" t="str">
            <v>A- actual</v>
          </cell>
          <cell r="E1692" t="str">
            <v>PS- pump station</v>
          </cell>
          <cell r="F1692" t="str">
            <v>BALDIVIS SOUTH TEMP</v>
          </cell>
          <cell r="G1692" t="str">
            <v>902-57</v>
          </cell>
          <cell r="H1692" t="str">
            <v>W- water corporation</v>
          </cell>
          <cell r="J1692" t="str">
            <v>20101101</v>
          </cell>
          <cell r="K1692" t="str">
            <v>115.83187666</v>
          </cell>
          <cell r="L1692" t="str">
            <v>-32.34792673</v>
          </cell>
          <cell r="M1692" t="str">
            <v>H</v>
          </cell>
          <cell r="N1692" t="str">
            <v>24</v>
          </cell>
          <cell r="O1692" t="str">
            <v>BRETON</v>
          </cell>
          <cell r="P1692" t="str">
            <v>BEND</v>
          </cell>
          <cell r="R1692" t="str">
            <v>BALDIVIS</v>
          </cell>
          <cell r="S1692" t="str">
            <v>6171</v>
          </cell>
        </row>
        <row r="1693">
          <cell r="B1693" t="str">
            <v>S2020172</v>
          </cell>
          <cell r="C1693" t="str">
            <v>SPS BROWNELL CR MEDINA</v>
          </cell>
          <cell r="D1693" t="str">
            <v>A- actual</v>
          </cell>
          <cell r="E1693" t="str">
            <v>PS- pump station</v>
          </cell>
          <cell r="F1693" t="str">
            <v>BROWNELL CRESCENT</v>
          </cell>
          <cell r="G1693" t="str">
            <v>700-32</v>
          </cell>
          <cell r="H1693" t="str">
            <v>W- water corporation</v>
          </cell>
          <cell r="J1693" t="str">
            <v>20100501</v>
          </cell>
          <cell r="K1693" t="str">
            <v>115.811813053</v>
          </cell>
          <cell r="L1693" t="str">
            <v>-32.234608009</v>
          </cell>
          <cell r="M1693" t="str">
            <v>H</v>
          </cell>
          <cell r="N1693" t="str">
            <v>84</v>
          </cell>
          <cell r="O1693" t="str">
            <v>BROWNELL</v>
          </cell>
          <cell r="P1693" t="str">
            <v>CR</v>
          </cell>
          <cell r="R1693" t="str">
            <v>MEDINA</v>
          </cell>
          <cell r="S1693" t="str">
            <v>6167</v>
          </cell>
        </row>
        <row r="1694">
          <cell r="D1694" t="str">
            <v>A- actual</v>
          </cell>
          <cell r="E1694" t="str">
            <v>PS- pump station</v>
          </cell>
          <cell r="F1694" t="str">
            <v>NEDLANDS YACHT CLUB</v>
          </cell>
          <cell r="H1694" t="str">
            <v>P- private</v>
          </cell>
          <cell r="J1694" t="str">
            <v>20100421</v>
          </cell>
          <cell r="K1694" t="str">
            <v>115.81102146</v>
          </cell>
          <cell r="L1694" t="str">
            <v>-31.9960139012</v>
          </cell>
          <cell r="M1694" t="str">
            <v>H</v>
          </cell>
          <cell r="N1694" t="str">
            <v>22</v>
          </cell>
          <cell r="O1694" t="str">
            <v>BIRDWOOD</v>
          </cell>
          <cell r="P1694" t="str">
            <v>PDE</v>
          </cell>
          <cell r="R1694" t="str">
            <v>DALKEITH</v>
          </cell>
          <cell r="S1694" t="str">
            <v>6009</v>
          </cell>
        </row>
        <row r="1695">
          <cell r="B1695" t="str">
            <v>S2023465</v>
          </cell>
          <cell r="C1695" t="str">
            <v>SPS ALHAMBRA PWY LANDSDALE</v>
          </cell>
          <cell r="D1695" t="str">
            <v>A- actual</v>
          </cell>
          <cell r="E1695" t="str">
            <v>PS- pump station</v>
          </cell>
          <cell r="F1695" t="str">
            <v>ALHAMBRA PWY</v>
          </cell>
          <cell r="G1695" t="str">
            <v>028-07</v>
          </cell>
          <cell r="H1695" t="str">
            <v>W- water corporation</v>
          </cell>
          <cell r="J1695" t="str">
            <v>20110311</v>
          </cell>
          <cell r="K1695" t="str">
            <v>115.871248216</v>
          </cell>
          <cell r="L1695" t="str">
            <v>-31.8120366175</v>
          </cell>
          <cell r="M1695" t="str">
            <v>H</v>
          </cell>
          <cell r="N1695" t="str">
            <v>22</v>
          </cell>
          <cell r="O1695" t="str">
            <v>ALHAMBRA</v>
          </cell>
          <cell r="P1695" t="str">
            <v>PWY</v>
          </cell>
          <cell r="R1695" t="str">
            <v>LANDSDALE</v>
          </cell>
          <cell r="S1695" t="str">
            <v>6065</v>
          </cell>
        </row>
        <row r="1696">
          <cell r="D1696" t="str">
            <v>A- actual</v>
          </cell>
          <cell r="E1696" t="str">
            <v>PS- pump station</v>
          </cell>
          <cell r="F1696" t="str">
            <v>COODE STREET</v>
          </cell>
          <cell r="H1696" t="str">
            <v>P- private</v>
          </cell>
          <cell r="J1696" t="str">
            <v>20110408</v>
          </cell>
          <cell r="K1696" t="str">
            <v>115.86526108</v>
          </cell>
          <cell r="L1696" t="str">
            <v>-31.97591876</v>
          </cell>
          <cell r="M1696" t="str">
            <v>H</v>
          </cell>
          <cell r="N1696" t="str">
            <v>2</v>
          </cell>
          <cell r="O1696" t="str">
            <v>WITCOMB</v>
          </cell>
          <cell r="P1696" t="str">
            <v>PL</v>
          </cell>
          <cell r="R1696" t="str">
            <v>SOUTH PERTH</v>
          </cell>
          <cell r="S1696" t="str">
            <v>6151</v>
          </cell>
        </row>
        <row r="1697">
          <cell r="D1697" t="str">
            <v>A- actual</v>
          </cell>
          <cell r="E1697" t="str">
            <v>PS- pump station</v>
          </cell>
          <cell r="H1697" t="str">
            <v>P- private</v>
          </cell>
          <cell r="J1697" t="str">
            <v>20100616</v>
          </cell>
          <cell r="K1697" t="str">
            <v>117.942999114</v>
          </cell>
          <cell r="L1697" t="str">
            <v>-34.995620703</v>
          </cell>
          <cell r="M1697" t="str">
            <v>H</v>
          </cell>
          <cell r="N1697" t="str">
            <v>1</v>
          </cell>
          <cell r="O1697" t="str">
            <v>SWARBRICK</v>
          </cell>
          <cell r="P1697" t="str">
            <v>ST</v>
          </cell>
          <cell r="R1697" t="str">
            <v>EMU POINT</v>
          </cell>
          <cell r="S1697" t="str">
            <v>6330</v>
          </cell>
        </row>
        <row r="1698">
          <cell r="B1698" t="str">
            <v>S7010656</v>
          </cell>
          <cell r="C1698" t="str">
            <v>SPS HOOPER RD BAYONET HEAD</v>
          </cell>
          <cell r="D1698" t="str">
            <v>A- actual</v>
          </cell>
          <cell r="E1698" t="str">
            <v>PS- pump station</v>
          </cell>
          <cell r="F1698" t="str">
            <v>HOOPER RD</v>
          </cell>
          <cell r="H1698" t="str">
            <v>W- water corporation</v>
          </cell>
          <cell r="J1698" t="str">
            <v>20110511</v>
          </cell>
          <cell r="K1698" t="str">
            <v>117.93831491</v>
          </cell>
          <cell r="L1698" t="str">
            <v>-34.96413961</v>
          </cell>
          <cell r="M1698" t="str">
            <v>H</v>
          </cell>
          <cell r="N1698" t="str">
            <v>72</v>
          </cell>
          <cell r="O1698" t="str">
            <v>ELIZABETH</v>
          </cell>
          <cell r="P1698" t="str">
            <v>ST</v>
          </cell>
          <cell r="R1698" t="str">
            <v>BAYONET HEAD</v>
          </cell>
          <cell r="S1698" t="str">
            <v>6330</v>
          </cell>
        </row>
        <row r="1699">
          <cell r="D1699" t="str">
            <v>A- actual</v>
          </cell>
          <cell r="E1699" t="str">
            <v>PS- pump station</v>
          </cell>
          <cell r="F1699" t="str">
            <v>ROCKINGHAM STATION</v>
          </cell>
          <cell r="H1699" t="str">
            <v>P- private</v>
          </cell>
          <cell r="J1699" t="str">
            <v>20080210</v>
          </cell>
          <cell r="K1699" t="str">
            <v>115.761479287</v>
          </cell>
          <cell r="L1699" t="str">
            <v>-32.291028821</v>
          </cell>
          <cell r="M1699" t="str">
            <v>H</v>
          </cell>
          <cell r="N1699" t="str">
            <v>10</v>
          </cell>
          <cell r="O1699" t="str">
            <v>GLENWAY</v>
          </cell>
          <cell r="P1699" t="str">
            <v>LOOP</v>
          </cell>
          <cell r="R1699" t="str">
            <v>COOLOONGUP</v>
          </cell>
          <cell r="S1699" t="str">
            <v>6168</v>
          </cell>
        </row>
        <row r="1700">
          <cell r="B1700" t="str">
            <v>S8009280</v>
          </cell>
          <cell r="C1700" t="str">
            <v>SPS DANDARAGAN DR DAWESVILLE</v>
          </cell>
          <cell r="D1700" t="str">
            <v>A- actual</v>
          </cell>
          <cell r="E1700" t="str">
            <v>PS- pump station</v>
          </cell>
          <cell r="F1700" t="str">
            <v>DANDARAGAN DR</v>
          </cell>
          <cell r="G1700" t="str">
            <v>12</v>
          </cell>
          <cell r="H1700" t="str">
            <v>W- water corporation</v>
          </cell>
          <cell r="J1700" t="str">
            <v>20110503</v>
          </cell>
          <cell r="K1700" t="str">
            <v>115.63016033</v>
          </cell>
          <cell r="L1700" t="str">
            <v>-32.63083985</v>
          </cell>
          <cell r="M1700" t="str">
            <v>H</v>
          </cell>
          <cell r="N1700" t="str">
            <v>79</v>
          </cell>
          <cell r="O1700" t="str">
            <v>DANDARAGAN</v>
          </cell>
          <cell r="P1700" t="str">
            <v>DR</v>
          </cell>
          <cell r="R1700" t="str">
            <v>DAWESVILLE</v>
          </cell>
          <cell r="S1700" t="str">
            <v>6211</v>
          </cell>
        </row>
        <row r="1701">
          <cell r="B1701" t="str">
            <v>S8013222</v>
          </cell>
          <cell r="C1701" t="str">
            <v>SPS YAGAN ST PINJARRA</v>
          </cell>
          <cell r="D1701" t="str">
            <v>A- actual</v>
          </cell>
          <cell r="E1701" t="str">
            <v>PS- pump station</v>
          </cell>
          <cell r="F1701" t="str">
            <v>PINJARRA</v>
          </cell>
          <cell r="G1701" t="str">
            <v>9</v>
          </cell>
          <cell r="H1701" t="str">
            <v>W- water corporation</v>
          </cell>
          <cell r="J1701" t="str">
            <v>20110822</v>
          </cell>
          <cell r="K1701" t="str">
            <v>115.85409407</v>
          </cell>
          <cell r="L1701" t="str">
            <v>-32.62907587</v>
          </cell>
          <cell r="M1701" t="str">
            <v>H</v>
          </cell>
          <cell r="N1701" t="str">
            <v>18</v>
          </cell>
          <cell r="O1701" t="str">
            <v>YAGAN</v>
          </cell>
          <cell r="P1701" t="str">
            <v>ST</v>
          </cell>
          <cell r="R1701" t="str">
            <v>PINJARRA</v>
          </cell>
          <cell r="S1701" t="str">
            <v>6208</v>
          </cell>
        </row>
        <row r="1702">
          <cell r="B1702" t="str">
            <v>S2019216</v>
          </cell>
          <cell r="C1702" t="str">
            <v>SPS FELTBUSH MEWS CANNING VALE</v>
          </cell>
          <cell r="D1702" t="str">
            <v>A- actual</v>
          </cell>
          <cell r="E1702" t="str">
            <v>PS- pump station</v>
          </cell>
          <cell r="F1702" t="str">
            <v>FELTBUSH MEWS</v>
          </cell>
          <cell r="G1702" t="str">
            <v>016-05</v>
          </cell>
          <cell r="H1702" t="str">
            <v>W- water corporation</v>
          </cell>
          <cell r="J1702" t="str">
            <v>20110301</v>
          </cell>
          <cell r="K1702" t="str">
            <v>115.920475896</v>
          </cell>
          <cell r="L1702" t="str">
            <v>-32.0784346446</v>
          </cell>
          <cell r="M1702" t="str">
            <v>L</v>
          </cell>
          <cell r="N1702" t="str">
            <v>852</v>
          </cell>
          <cell r="O1702" t="str">
            <v>NICHOLSON</v>
          </cell>
          <cell r="P1702" t="str">
            <v>RD</v>
          </cell>
          <cell r="R1702" t="str">
            <v>CANNING VALE</v>
          </cell>
          <cell r="S1702" t="str">
            <v>6155</v>
          </cell>
        </row>
        <row r="1703">
          <cell r="B1703" t="str">
            <v>S3001402</v>
          </cell>
          <cell r="C1703" t="str">
            <v>SPS 6 FALCON PDE KARRATHA</v>
          </cell>
          <cell r="D1703" t="str">
            <v>A- actual</v>
          </cell>
          <cell r="E1703" t="str">
            <v>PS- pump station</v>
          </cell>
          <cell r="F1703" t="str">
            <v>FALCON PDE</v>
          </cell>
          <cell r="G1703" t="str">
            <v>6</v>
          </cell>
          <cell r="H1703" t="str">
            <v>W- water corporation</v>
          </cell>
          <cell r="J1703" t="str">
            <v>20110501</v>
          </cell>
          <cell r="K1703" t="str">
            <v>116.79703163</v>
          </cell>
          <cell r="L1703" t="str">
            <v>-20.73725261</v>
          </cell>
          <cell r="M1703" t="str">
            <v>L</v>
          </cell>
          <cell r="N1703" t="str">
            <v>508</v>
          </cell>
          <cell r="O1703" t="str">
            <v>FALCON</v>
          </cell>
          <cell r="P1703" t="str">
            <v>PDE</v>
          </cell>
          <cell r="R1703" t="str">
            <v>NICKOL</v>
          </cell>
          <cell r="S1703" t="str">
            <v>6714</v>
          </cell>
        </row>
        <row r="1704">
          <cell r="B1704" t="str">
            <v>S2019808</v>
          </cell>
          <cell r="C1704" t="str">
            <v>SPS MILLHOUSE RD AVELEY</v>
          </cell>
          <cell r="D1704" t="str">
            <v>A- actual</v>
          </cell>
          <cell r="E1704" t="str">
            <v>PS- pump station</v>
          </cell>
          <cell r="F1704" t="str">
            <v>MILLHOUSE RD</v>
          </cell>
          <cell r="G1704" t="str">
            <v>176-06</v>
          </cell>
          <cell r="H1704" t="str">
            <v>W- water corporation</v>
          </cell>
          <cell r="J1704" t="str">
            <v>20120529</v>
          </cell>
          <cell r="K1704" t="str">
            <v>115.997035644</v>
          </cell>
          <cell r="L1704" t="str">
            <v>-31.7747960675</v>
          </cell>
          <cell r="M1704" t="str">
            <v>H</v>
          </cell>
          <cell r="N1704" t="str">
            <v>211</v>
          </cell>
          <cell r="O1704" t="str">
            <v>MILLHOUSE</v>
          </cell>
          <cell r="P1704" t="str">
            <v>RD</v>
          </cell>
          <cell r="R1704" t="str">
            <v>AVELEY</v>
          </cell>
          <cell r="S1704" t="str">
            <v>6069</v>
          </cell>
        </row>
        <row r="1705">
          <cell r="B1705" t="str">
            <v>S3000811</v>
          </cell>
          <cell r="C1705" t="str">
            <v>SPS 6B SANDERLING DR BROOME</v>
          </cell>
          <cell r="D1705" t="str">
            <v>A- actual</v>
          </cell>
          <cell r="E1705" t="str">
            <v>PS- pump station</v>
          </cell>
          <cell r="F1705" t="str">
            <v>SANDERLING DR</v>
          </cell>
          <cell r="G1705" t="str">
            <v>6</v>
          </cell>
          <cell r="H1705" t="str">
            <v>W- water corporation</v>
          </cell>
          <cell r="J1705" t="str">
            <v>20101101</v>
          </cell>
          <cell r="K1705" t="str">
            <v>122.237780455</v>
          </cell>
          <cell r="L1705" t="str">
            <v>-17.931273328</v>
          </cell>
          <cell r="M1705" t="str">
            <v>H</v>
          </cell>
          <cell r="N1705" t="str">
            <v>13</v>
          </cell>
          <cell r="O1705" t="str">
            <v>GODWIT</v>
          </cell>
          <cell r="P1705" t="str">
            <v>CR</v>
          </cell>
          <cell r="R1705" t="str">
            <v>DJUGUN</v>
          </cell>
          <cell r="S1705" t="str">
            <v>6725</v>
          </cell>
        </row>
        <row r="1706">
          <cell r="B1706" t="str">
            <v>S8013253</v>
          </cell>
          <cell r="C1706" t="str">
            <v>SPS KEEGAN CNR SOUTH YUNDERUP</v>
          </cell>
          <cell r="D1706" t="str">
            <v>A- actual</v>
          </cell>
          <cell r="E1706" t="str">
            <v>PS- pump station</v>
          </cell>
          <cell r="F1706" t="str">
            <v>KEEGAN CORNER</v>
          </cell>
          <cell r="G1706" t="str">
            <v>13</v>
          </cell>
          <cell r="H1706" t="str">
            <v>W- water corporation</v>
          </cell>
          <cell r="J1706" t="str">
            <v>20110601</v>
          </cell>
          <cell r="K1706" t="str">
            <v>115.807430395</v>
          </cell>
          <cell r="L1706" t="str">
            <v>-32.594773494</v>
          </cell>
          <cell r="M1706" t="str">
            <v>L</v>
          </cell>
          <cell r="N1706" t="str">
            <v>8020</v>
          </cell>
          <cell r="O1706" t="str">
            <v>KEEGAN</v>
          </cell>
          <cell r="P1706" t="str">
            <v>CNR</v>
          </cell>
          <cell r="R1706" t="str">
            <v>SOUTH YUNDERUP</v>
          </cell>
          <cell r="S1706" t="str">
            <v>6208</v>
          </cell>
        </row>
        <row r="1707">
          <cell r="B1707" t="str">
            <v>S2023032</v>
          </cell>
          <cell r="C1707" t="str">
            <v>SPS KENT ST SPEARWOOD</v>
          </cell>
          <cell r="D1707" t="str">
            <v>A- actual</v>
          </cell>
          <cell r="E1707" t="str">
            <v>PS- pump station</v>
          </cell>
          <cell r="F1707" t="str">
            <v>SPEARWOOD PUMPING STATION</v>
          </cell>
          <cell r="G1707" t="str">
            <v>066-22</v>
          </cell>
          <cell r="H1707" t="str">
            <v>W- water corporation</v>
          </cell>
          <cell r="J1707" t="str">
            <v>20110201</v>
          </cell>
          <cell r="K1707" t="str">
            <v>115.77872155</v>
          </cell>
          <cell r="L1707" t="str">
            <v>-32.0987844</v>
          </cell>
          <cell r="M1707" t="str">
            <v>H</v>
          </cell>
          <cell r="N1707" t="str">
            <v>23</v>
          </cell>
          <cell r="O1707" t="str">
            <v>KENT</v>
          </cell>
          <cell r="P1707" t="str">
            <v>ST</v>
          </cell>
          <cell r="R1707" t="str">
            <v>SPEARWOOD</v>
          </cell>
          <cell r="S1707" t="str">
            <v>6163</v>
          </cell>
        </row>
        <row r="1708">
          <cell r="B1708" t="str">
            <v>S2023269</v>
          </cell>
          <cell r="C1708" t="str">
            <v>SPS BURT ST QUINNS ROCKS</v>
          </cell>
          <cell r="D1708" t="str">
            <v>A- actual</v>
          </cell>
          <cell r="E1708" t="str">
            <v>PS- pump station</v>
          </cell>
          <cell r="F1708" t="str">
            <v>QUINNS</v>
          </cell>
          <cell r="G1708" t="str">
            <v>060-5</v>
          </cell>
          <cell r="H1708" t="str">
            <v>W- water corporation</v>
          </cell>
          <cell r="J1708" t="str">
            <v>20140401</v>
          </cell>
          <cell r="K1708" t="str">
            <v>115.695422201</v>
          </cell>
          <cell r="L1708" t="str">
            <v>-31.675799025</v>
          </cell>
          <cell r="M1708" t="str">
            <v>H</v>
          </cell>
          <cell r="N1708" t="str">
            <v>15</v>
          </cell>
          <cell r="O1708" t="str">
            <v>BURT</v>
          </cell>
          <cell r="P1708" t="str">
            <v>ST</v>
          </cell>
          <cell r="R1708" t="str">
            <v>QUINNS ROCKS</v>
          </cell>
          <cell r="S1708" t="str">
            <v>6030</v>
          </cell>
        </row>
        <row r="1709">
          <cell r="B1709" t="str">
            <v>S2023270</v>
          </cell>
          <cell r="C1709" t="str">
            <v>SPS GRAHAM RD QUINNS ROCKS</v>
          </cell>
          <cell r="D1709" t="str">
            <v>A- actual</v>
          </cell>
          <cell r="E1709" t="str">
            <v>PS- pump station</v>
          </cell>
          <cell r="F1709" t="str">
            <v>GRAHAM RD</v>
          </cell>
          <cell r="G1709" t="str">
            <v>6</v>
          </cell>
          <cell r="H1709" t="str">
            <v>W- water corporation</v>
          </cell>
          <cell r="J1709" t="str">
            <v>20130301</v>
          </cell>
          <cell r="K1709" t="str">
            <v>115.692863882</v>
          </cell>
          <cell r="L1709" t="str">
            <v>-31.670882677</v>
          </cell>
          <cell r="M1709" t="str">
            <v>H</v>
          </cell>
          <cell r="N1709" t="str">
            <v>42</v>
          </cell>
          <cell r="O1709" t="str">
            <v>GRAHAM</v>
          </cell>
          <cell r="P1709" t="str">
            <v>RD</v>
          </cell>
          <cell r="R1709" t="str">
            <v>QUINNS ROCKS</v>
          </cell>
          <cell r="S1709" t="str">
            <v>6030</v>
          </cell>
        </row>
        <row r="1710">
          <cell r="D1710" t="str">
            <v>A- actual</v>
          </cell>
          <cell r="E1710" t="str">
            <v>PS- pump station</v>
          </cell>
          <cell r="F1710" t="str">
            <v>DAMPIER RD</v>
          </cell>
          <cell r="H1710" t="str">
            <v>P- private</v>
          </cell>
          <cell r="J1710" t="str">
            <v>20100701</v>
          </cell>
          <cell r="K1710" t="str">
            <v>115.966972941</v>
          </cell>
          <cell r="L1710" t="str">
            <v>-31.9901570269</v>
          </cell>
          <cell r="M1710" t="str">
            <v>H</v>
          </cell>
          <cell r="N1710" t="str">
            <v>31</v>
          </cell>
          <cell r="O1710" t="str">
            <v>SHEFFIELD</v>
          </cell>
          <cell r="P1710" t="str">
            <v>RD</v>
          </cell>
          <cell r="R1710" t="str">
            <v>WELSHPOOL</v>
          </cell>
          <cell r="S1710" t="str">
            <v>6106</v>
          </cell>
        </row>
        <row r="1711">
          <cell r="D1711" t="str">
            <v>A- actual</v>
          </cell>
          <cell r="E1711" t="str">
            <v>PS- pump station</v>
          </cell>
          <cell r="F1711" t="str">
            <v>ALBANY PORT AUTHORITY BERTH 1-3</v>
          </cell>
          <cell r="G1711" t="str">
            <v>2</v>
          </cell>
          <cell r="H1711" t="str">
            <v>P- private</v>
          </cell>
          <cell r="J1711" t="str">
            <v>20110628</v>
          </cell>
          <cell r="K1711" t="str">
            <v>117.895627292</v>
          </cell>
          <cell r="L1711" t="str">
            <v>-35.0338707023</v>
          </cell>
          <cell r="M1711" t="str">
            <v>L</v>
          </cell>
          <cell r="N1711" t="str">
            <v>1579</v>
          </cell>
          <cell r="O1711" t="str">
            <v>PRINCESS ROYAL</v>
          </cell>
          <cell r="P1711" t="str">
            <v>DR</v>
          </cell>
          <cell r="R1711" t="str">
            <v>PORT ALBANY</v>
          </cell>
          <cell r="S1711" t="str">
            <v>6330</v>
          </cell>
        </row>
        <row r="1712">
          <cell r="D1712" t="str">
            <v>P- proposed</v>
          </cell>
          <cell r="E1712" t="str">
            <v>PS- pump station</v>
          </cell>
          <cell r="H1712" t="str">
            <v>P- private</v>
          </cell>
          <cell r="J1712" t="str">
            <v>18000101</v>
          </cell>
          <cell r="K1712" t="str">
            <v>116.012747029</v>
          </cell>
          <cell r="L1712" t="str">
            <v>-31.870922273</v>
          </cell>
          <cell r="M1712" t="str">
            <v>H</v>
          </cell>
          <cell r="N1712" t="str">
            <v>63</v>
          </cell>
          <cell r="O1712" t="str">
            <v>GREAT NORTHERN</v>
          </cell>
          <cell r="P1712" t="str">
            <v>HWY</v>
          </cell>
          <cell r="R1712" t="str">
            <v>MIDDLE SWAN</v>
          </cell>
          <cell r="S1712" t="str">
            <v>6056</v>
          </cell>
        </row>
        <row r="1713">
          <cell r="D1713" t="str">
            <v>A- actual</v>
          </cell>
          <cell r="E1713" t="str">
            <v>PS- pump station</v>
          </cell>
          <cell r="F1713" t="str">
            <v>JURIEN BAY LIFESTYLE VILLAGE</v>
          </cell>
          <cell r="H1713" t="str">
            <v>P- private</v>
          </cell>
          <cell r="J1713" t="str">
            <v>20120518</v>
          </cell>
          <cell r="K1713" t="str">
            <v>115.044008286</v>
          </cell>
          <cell r="L1713" t="str">
            <v>-30.303216455</v>
          </cell>
          <cell r="M1713" t="str">
            <v>H</v>
          </cell>
          <cell r="N1713" t="str">
            <v>15</v>
          </cell>
          <cell r="O1713" t="str">
            <v>BASHFORD</v>
          </cell>
          <cell r="P1713" t="str">
            <v>ST</v>
          </cell>
          <cell r="R1713" t="str">
            <v>JURIEN BAY</v>
          </cell>
          <cell r="S1713" t="str">
            <v>6516</v>
          </cell>
        </row>
        <row r="1714">
          <cell r="D1714" t="str">
            <v>A- actual</v>
          </cell>
          <cell r="E1714" t="str">
            <v>PS- pump station</v>
          </cell>
          <cell r="F1714" t="str">
            <v>LOT 111 LUISINI RD</v>
          </cell>
          <cell r="H1714" t="str">
            <v>P- private</v>
          </cell>
          <cell r="J1714" t="str">
            <v>20111019</v>
          </cell>
          <cell r="K1714" t="str">
            <v>115.829138693</v>
          </cell>
          <cell r="L1714" t="str">
            <v>-31.796666047</v>
          </cell>
          <cell r="M1714" t="str">
            <v>H</v>
          </cell>
          <cell r="N1714" t="str">
            <v>23</v>
          </cell>
          <cell r="O1714" t="str">
            <v>LUISINI</v>
          </cell>
          <cell r="P1714" t="str">
            <v>RD</v>
          </cell>
          <cell r="R1714" t="str">
            <v>WANGARA</v>
          </cell>
          <cell r="S1714" t="str">
            <v>6065</v>
          </cell>
        </row>
        <row r="1715">
          <cell r="D1715" t="str">
            <v>P- proposed</v>
          </cell>
          <cell r="E1715" t="str">
            <v>PS- pump station</v>
          </cell>
          <cell r="F1715" t="str">
            <v>EASTWELL RD</v>
          </cell>
          <cell r="G1715" t="str">
            <v>13</v>
          </cell>
          <cell r="H1715" t="str">
            <v>W- water corporation</v>
          </cell>
          <cell r="J1715" t="str">
            <v>18000101</v>
          </cell>
          <cell r="K1715" t="str">
            <v>115.717978475</v>
          </cell>
          <cell r="L1715" t="str">
            <v>-33.292246094</v>
          </cell>
          <cell r="M1715" t="str">
            <v>H</v>
          </cell>
          <cell r="N1715" t="str">
            <v>40</v>
          </cell>
          <cell r="O1715" t="str">
            <v>EASTWELL</v>
          </cell>
          <cell r="P1715" t="str">
            <v>RD</v>
          </cell>
          <cell r="R1715" t="str">
            <v>AUSTRALIND</v>
          </cell>
          <cell r="S1715" t="str">
            <v>6233</v>
          </cell>
        </row>
        <row r="1716">
          <cell r="B1716" t="str">
            <v>S2037203</v>
          </cell>
          <cell r="C1716" t="str">
            <v>SPS 7 ESTUARY RD DAWESVILLE</v>
          </cell>
          <cell r="D1716" t="str">
            <v>A- actual</v>
          </cell>
          <cell r="E1716" t="str">
            <v>PS- pump station</v>
          </cell>
          <cell r="F1716" t="str">
            <v>DAWESVILLE</v>
          </cell>
          <cell r="G1716" t="str">
            <v>7</v>
          </cell>
          <cell r="H1716" t="str">
            <v>W- water corporation</v>
          </cell>
          <cell r="J1716" t="str">
            <v>20130801</v>
          </cell>
          <cell r="K1716" t="str">
            <v>115.640767083</v>
          </cell>
          <cell r="L1716" t="str">
            <v>-32.624081538</v>
          </cell>
          <cell r="M1716" t="str">
            <v>H</v>
          </cell>
          <cell r="N1716" t="str">
            <v>166</v>
          </cell>
          <cell r="O1716" t="str">
            <v>ESTUARY</v>
          </cell>
          <cell r="P1716" t="str">
            <v>RD</v>
          </cell>
          <cell r="R1716" t="str">
            <v>DAWESVILLE</v>
          </cell>
          <cell r="S1716" t="str">
            <v>6211</v>
          </cell>
        </row>
        <row r="1717">
          <cell r="B1717" t="str">
            <v>S8010247</v>
          </cell>
          <cell r="C1717" t="str">
            <v>SPS NORTON PROM DALYELLUP</v>
          </cell>
          <cell r="D1717" t="str">
            <v>A- actual</v>
          </cell>
          <cell r="E1717" t="str">
            <v>PS- pump station</v>
          </cell>
          <cell r="F1717" t="str">
            <v>NORTON PROM</v>
          </cell>
          <cell r="G1717" t="str">
            <v>3</v>
          </cell>
          <cell r="H1717" t="str">
            <v>W- water corporation</v>
          </cell>
          <cell r="J1717" t="str">
            <v>20130101</v>
          </cell>
          <cell r="K1717" t="str">
            <v>115.637258958</v>
          </cell>
          <cell r="L1717" t="str">
            <v>-33.395724621</v>
          </cell>
          <cell r="M1717" t="str">
            <v>H</v>
          </cell>
          <cell r="N1717" t="str">
            <v>2</v>
          </cell>
          <cell r="O1717" t="str">
            <v>BLUFF</v>
          </cell>
          <cell r="P1717" t="str">
            <v>RD</v>
          </cell>
          <cell r="R1717" t="str">
            <v>DALYELLUP</v>
          </cell>
          <cell r="S1717" t="str">
            <v>6230</v>
          </cell>
        </row>
        <row r="1718">
          <cell r="B1718" t="str">
            <v>S2023420</v>
          </cell>
          <cell r="C1718" t="str">
            <v>SPS BARNEVELDER BEND SOUTHERN RIVER</v>
          </cell>
          <cell r="D1718" t="str">
            <v>A- actual</v>
          </cell>
          <cell r="E1718" t="str">
            <v>PS- pump station</v>
          </cell>
          <cell r="F1718" t="str">
            <v>BARNEVELDER BEND</v>
          </cell>
          <cell r="G1718" t="str">
            <v>175-06</v>
          </cell>
          <cell r="H1718" t="str">
            <v>W- water corporation</v>
          </cell>
          <cell r="J1718" t="str">
            <v>20120803</v>
          </cell>
          <cell r="K1718" t="str">
            <v>115.97289157</v>
          </cell>
          <cell r="L1718" t="str">
            <v>-32.0981916229</v>
          </cell>
          <cell r="M1718" t="str">
            <v>H</v>
          </cell>
          <cell r="N1718" t="str">
            <v>46</v>
          </cell>
          <cell r="O1718" t="str">
            <v>BARNEVELDER</v>
          </cell>
          <cell r="P1718" t="str">
            <v>BEND</v>
          </cell>
          <cell r="R1718" t="str">
            <v>SOUTHERN RIVER</v>
          </cell>
          <cell r="S1718" t="str">
            <v>6110</v>
          </cell>
        </row>
        <row r="1719">
          <cell r="D1719" t="str">
            <v>A- actual</v>
          </cell>
          <cell r="E1719" t="str">
            <v>PS- pump station</v>
          </cell>
          <cell r="F1719" t="str">
            <v>DERBY NURSING HOME</v>
          </cell>
          <cell r="H1719" t="str">
            <v>P- private</v>
          </cell>
          <cell r="J1719" t="str">
            <v>19940502</v>
          </cell>
          <cell r="K1719" t="str">
            <v>123.652577384</v>
          </cell>
          <cell r="L1719" t="str">
            <v>-17.3085309372</v>
          </cell>
          <cell r="M1719" t="str">
            <v>L</v>
          </cell>
          <cell r="N1719" t="str">
            <v>500</v>
          </cell>
          <cell r="O1719" t="str">
            <v>SUTHERLAND</v>
          </cell>
          <cell r="P1719" t="str">
            <v>ST</v>
          </cell>
          <cell r="R1719" t="str">
            <v>DERBY</v>
          </cell>
          <cell r="S1719" t="str">
            <v>6728</v>
          </cell>
        </row>
        <row r="1720">
          <cell r="B1720" t="str">
            <v>S8011343</v>
          </cell>
          <cell r="C1720" t="str">
            <v>SPS FERNDALE AVE DALYELLUP</v>
          </cell>
          <cell r="D1720" t="str">
            <v>A- actual</v>
          </cell>
          <cell r="E1720" t="str">
            <v>PS- pump station</v>
          </cell>
          <cell r="F1720" t="str">
            <v>FERNDALE AVE</v>
          </cell>
          <cell r="G1720" t="str">
            <v>4</v>
          </cell>
          <cell r="H1720" t="str">
            <v>W- water corporation</v>
          </cell>
          <cell r="J1720" t="str">
            <v>20111101</v>
          </cell>
          <cell r="K1720" t="str">
            <v>115.637731935</v>
          </cell>
          <cell r="L1720" t="str">
            <v>-33.3911370025</v>
          </cell>
          <cell r="M1720" t="str">
            <v>L</v>
          </cell>
          <cell r="N1720" t="str">
            <v>8512</v>
          </cell>
          <cell r="O1720" t="str">
            <v>FERNDALE</v>
          </cell>
          <cell r="P1720" t="str">
            <v>AV</v>
          </cell>
          <cell r="R1720" t="str">
            <v>DALYELLUP</v>
          </cell>
          <cell r="S1720" t="str">
            <v>6230</v>
          </cell>
        </row>
        <row r="1721">
          <cell r="D1721" t="str">
            <v>P- proposed</v>
          </cell>
          <cell r="E1721" t="str">
            <v>PS- pump station</v>
          </cell>
          <cell r="F1721" t="str">
            <v>ALBANY PORT AUTHORITY BERTH 1-3</v>
          </cell>
          <cell r="G1721" t="str">
            <v>1</v>
          </cell>
          <cell r="H1721" t="str">
            <v>P- private</v>
          </cell>
          <cell r="J1721" t="str">
            <v>18000101</v>
          </cell>
          <cell r="K1721" t="str">
            <v>117.895627292</v>
          </cell>
          <cell r="L1721" t="str">
            <v>-35.0338707023</v>
          </cell>
          <cell r="M1721" t="str">
            <v>L</v>
          </cell>
          <cell r="N1721" t="str">
            <v>1579</v>
          </cell>
          <cell r="O1721" t="str">
            <v>PRINCESS ROYAL</v>
          </cell>
          <cell r="P1721" t="str">
            <v>DR</v>
          </cell>
          <cell r="R1721" t="str">
            <v>PORT ALBANY</v>
          </cell>
          <cell r="S1721" t="str">
            <v>6330</v>
          </cell>
        </row>
        <row r="1722">
          <cell r="B1722" t="str">
            <v>S5003611</v>
          </cell>
          <cell r="C1722" t="str">
            <v>SPS 3 DRUMMOND ST TOODYAY</v>
          </cell>
          <cell r="D1722" t="str">
            <v>A- actual</v>
          </cell>
          <cell r="E1722" t="str">
            <v>PS- pump station</v>
          </cell>
          <cell r="F1722" t="str">
            <v>DRUMMOND ST</v>
          </cell>
          <cell r="G1722" t="str">
            <v>3</v>
          </cell>
          <cell r="H1722" t="str">
            <v>W- water corporation</v>
          </cell>
          <cell r="J1722" t="str">
            <v>20130401</v>
          </cell>
          <cell r="K1722" t="str">
            <v>116.47266193</v>
          </cell>
          <cell r="L1722" t="str">
            <v>-31.54802035</v>
          </cell>
          <cell r="M1722" t="str">
            <v>H</v>
          </cell>
          <cell r="N1722" t="str">
            <v>92</v>
          </cell>
          <cell r="O1722" t="str">
            <v>DRUMMOND</v>
          </cell>
          <cell r="P1722" t="str">
            <v>ST</v>
          </cell>
          <cell r="R1722" t="str">
            <v>NUNILE</v>
          </cell>
          <cell r="S1722" t="str">
            <v>6566</v>
          </cell>
        </row>
        <row r="1723">
          <cell r="B1723" t="str">
            <v>S2033374</v>
          </cell>
          <cell r="C1723" t="str">
            <v>SPS MURRAY BEND DR RAVENSWOOD</v>
          </cell>
          <cell r="D1723" t="str">
            <v>A- actual</v>
          </cell>
          <cell r="E1723" t="str">
            <v>PS- pump station</v>
          </cell>
          <cell r="F1723" t="str">
            <v>WEST MURRAY</v>
          </cell>
          <cell r="G1723" t="str">
            <v>2</v>
          </cell>
          <cell r="H1723" t="str">
            <v>W- water corporation</v>
          </cell>
          <cell r="J1723" t="str">
            <v>20131001</v>
          </cell>
          <cell r="K1723" t="str">
            <v>115.834085401</v>
          </cell>
          <cell r="L1723" t="str">
            <v>-32.6000831404</v>
          </cell>
          <cell r="M1723" t="str">
            <v>H</v>
          </cell>
          <cell r="N1723" t="str">
            <v>54</v>
          </cell>
          <cell r="O1723" t="str">
            <v>MURRAY BEND</v>
          </cell>
          <cell r="P1723" t="str">
            <v>DR</v>
          </cell>
          <cell r="R1723" t="str">
            <v>RAVENSWOOD</v>
          </cell>
          <cell r="S1723" t="str">
            <v>6208</v>
          </cell>
        </row>
        <row r="1724">
          <cell r="D1724" t="str">
            <v>A- actual</v>
          </cell>
          <cell r="E1724" t="str">
            <v>PS- pump station</v>
          </cell>
          <cell r="H1724" t="str">
            <v>P- private</v>
          </cell>
          <cell r="J1724" t="str">
            <v>20111128</v>
          </cell>
          <cell r="K1724" t="str">
            <v>115.126419134</v>
          </cell>
          <cell r="L1724" t="str">
            <v>-33.6267141664</v>
          </cell>
          <cell r="M1724" t="str">
            <v>H</v>
          </cell>
          <cell r="N1724" t="str">
            <v>200</v>
          </cell>
          <cell r="O1724" t="str">
            <v>GEOGRAPHE BAY</v>
          </cell>
          <cell r="P1724" t="str">
            <v>RD</v>
          </cell>
          <cell r="R1724" t="str">
            <v>QUINDALUP</v>
          </cell>
          <cell r="S1724" t="str">
            <v>6281</v>
          </cell>
        </row>
        <row r="1725">
          <cell r="B1725" t="str">
            <v>S8014601</v>
          </cell>
          <cell r="C1725" t="str">
            <v>VPS DAMPIER AV FALCON</v>
          </cell>
          <cell r="D1725" t="str">
            <v>A- actual</v>
          </cell>
          <cell r="E1725" t="str">
            <v>TPS- temporary pump station</v>
          </cell>
          <cell r="F1725" t="str">
            <v>DAMPIER AVE</v>
          </cell>
          <cell r="H1725" t="str">
            <v>W- water corporation</v>
          </cell>
          <cell r="J1725" t="str">
            <v>20110801</v>
          </cell>
          <cell r="K1725" t="str">
            <v>115.680872978</v>
          </cell>
          <cell r="L1725" t="str">
            <v>-32.571500989</v>
          </cell>
          <cell r="M1725" t="str">
            <v>H</v>
          </cell>
          <cell r="N1725" t="str">
            <v>23</v>
          </cell>
          <cell r="O1725" t="str">
            <v>DAMPIER</v>
          </cell>
          <cell r="P1725" t="str">
            <v>AV</v>
          </cell>
          <cell r="R1725" t="str">
            <v>FALCON</v>
          </cell>
          <cell r="S1725" t="str">
            <v>6210</v>
          </cell>
        </row>
        <row r="1726">
          <cell r="B1726" t="str">
            <v>S2023483</v>
          </cell>
          <cell r="C1726" t="str">
            <v>SPS MARMION AV TEMP ALKIMOS</v>
          </cell>
          <cell r="D1726" t="str">
            <v>A- actual</v>
          </cell>
          <cell r="E1726" t="str">
            <v>PS- pump station</v>
          </cell>
          <cell r="F1726" t="str">
            <v>MARMION AV</v>
          </cell>
          <cell r="G1726" t="str">
            <v>902-59</v>
          </cell>
          <cell r="H1726" t="str">
            <v>W- water corporation</v>
          </cell>
          <cell r="J1726" t="str">
            <v>20120201</v>
          </cell>
          <cell r="K1726" t="str">
            <v>115.68367906</v>
          </cell>
          <cell r="L1726" t="str">
            <v>-31.60255468</v>
          </cell>
          <cell r="M1726" t="str">
            <v>H</v>
          </cell>
          <cell r="N1726" t="str">
            <v>21</v>
          </cell>
          <cell r="O1726" t="str">
            <v>GANGWAY</v>
          </cell>
          <cell r="P1726" t="str">
            <v>TURN</v>
          </cell>
          <cell r="R1726" t="str">
            <v>ALKIMOS</v>
          </cell>
          <cell r="S1726" t="str">
            <v>6038</v>
          </cell>
        </row>
        <row r="1727">
          <cell r="D1727" t="str">
            <v>A- actual</v>
          </cell>
          <cell r="E1727" t="str">
            <v>PS- pump station</v>
          </cell>
          <cell r="F1727" t="str">
            <v>COOGEE BEACH CARPARK</v>
          </cell>
          <cell r="H1727" t="str">
            <v>P- private</v>
          </cell>
          <cell r="J1727" t="str">
            <v>20120315</v>
          </cell>
          <cell r="K1727" t="str">
            <v>115.764014038</v>
          </cell>
          <cell r="L1727" t="str">
            <v>-32.115203667</v>
          </cell>
          <cell r="M1727" t="str">
            <v>H</v>
          </cell>
          <cell r="N1727" t="str">
            <v>3</v>
          </cell>
          <cell r="O1727" t="str">
            <v>POWELL</v>
          </cell>
          <cell r="P1727" t="str">
            <v>RD</v>
          </cell>
          <cell r="R1727" t="str">
            <v>COOGEE</v>
          </cell>
          <cell r="S1727" t="str">
            <v>6166</v>
          </cell>
        </row>
        <row r="1728">
          <cell r="D1728" t="str">
            <v>A- actual</v>
          </cell>
          <cell r="E1728" t="str">
            <v>PS- pump station</v>
          </cell>
          <cell r="F1728" t="str">
            <v>LOT 510 KURRA ST</v>
          </cell>
          <cell r="G1728" t="str">
            <v>A</v>
          </cell>
          <cell r="H1728" t="str">
            <v>P- private</v>
          </cell>
          <cell r="J1728" t="str">
            <v>20120327</v>
          </cell>
          <cell r="K1728" t="str">
            <v>119.73531134</v>
          </cell>
          <cell r="L1728" t="str">
            <v>-23.34714112</v>
          </cell>
          <cell r="M1728" t="str">
            <v>H</v>
          </cell>
          <cell r="N1728" t="str">
            <v>28</v>
          </cell>
          <cell r="O1728" t="str">
            <v>KINGSMILLII</v>
          </cell>
          <cell r="P1728" t="str">
            <v>LOOP</v>
          </cell>
          <cell r="R1728" t="str">
            <v>NEWMAN</v>
          </cell>
          <cell r="S1728" t="str">
            <v>6753</v>
          </cell>
        </row>
        <row r="1729">
          <cell r="D1729" t="str">
            <v>A- actual</v>
          </cell>
          <cell r="E1729" t="str">
            <v>PS- pump station</v>
          </cell>
          <cell r="F1729" t="str">
            <v>LOT 510 KURRA ST</v>
          </cell>
          <cell r="G1729" t="str">
            <v>B</v>
          </cell>
          <cell r="H1729" t="str">
            <v>P- private</v>
          </cell>
          <cell r="J1729" t="str">
            <v>20120327</v>
          </cell>
          <cell r="K1729" t="str">
            <v>119.73545176</v>
          </cell>
          <cell r="L1729" t="str">
            <v>-23.34728937</v>
          </cell>
          <cell r="M1729" t="str">
            <v>H</v>
          </cell>
          <cell r="N1729" t="str">
            <v>33</v>
          </cell>
          <cell r="O1729" t="str">
            <v>LES TUTT</v>
          </cell>
          <cell r="P1729" t="str">
            <v>DR</v>
          </cell>
          <cell r="R1729" t="str">
            <v>NEWMAN</v>
          </cell>
          <cell r="S1729" t="str">
            <v>6753</v>
          </cell>
        </row>
        <row r="1730">
          <cell r="B1730" t="str">
            <v>S2032923</v>
          </cell>
          <cell r="C1730" t="str">
            <v>SPS MALMAISON WY LANDSDALE</v>
          </cell>
          <cell r="D1730" t="str">
            <v>A- actual</v>
          </cell>
          <cell r="E1730" t="str">
            <v>PS- pump station</v>
          </cell>
          <cell r="F1730" t="str">
            <v>GNANGARA PS</v>
          </cell>
          <cell r="G1730" t="str">
            <v>028-08</v>
          </cell>
          <cell r="H1730" t="str">
            <v>W- water corporation</v>
          </cell>
          <cell r="J1730" t="str">
            <v>20130725</v>
          </cell>
          <cell r="K1730" t="str">
            <v>115.871531318</v>
          </cell>
          <cell r="L1730" t="str">
            <v>-31.8026940003</v>
          </cell>
          <cell r="M1730" t="str">
            <v>H</v>
          </cell>
          <cell r="N1730" t="str">
            <v>25</v>
          </cell>
          <cell r="O1730" t="str">
            <v>MALMAISON</v>
          </cell>
          <cell r="P1730" t="str">
            <v>WAY</v>
          </cell>
          <cell r="R1730" t="str">
            <v>LANDSDALE</v>
          </cell>
          <cell r="S1730" t="str">
            <v>6065</v>
          </cell>
        </row>
        <row r="1731">
          <cell r="D1731" t="str">
            <v>A- actual</v>
          </cell>
          <cell r="E1731" t="str">
            <v>PS- pump station</v>
          </cell>
          <cell r="F1731" t="str">
            <v>GROPER CAFE</v>
          </cell>
          <cell r="H1731" t="str">
            <v>P- private</v>
          </cell>
          <cell r="J1731" t="str">
            <v>20060406</v>
          </cell>
          <cell r="K1731" t="str">
            <v>115.753215904</v>
          </cell>
          <cell r="L1731" t="str">
            <v>-31.8783172541</v>
          </cell>
          <cell r="M1731" t="str">
            <v>H</v>
          </cell>
          <cell r="N1731" t="str">
            <v>366</v>
          </cell>
          <cell r="O1731" t="str">
            <v>WEST COAST</v>
          </cell>
          <cell r="P1731" t="str">
            <v>DR</v>
          </cell>
          <cell r="R1731" t="str">
            <v>TRIGG</v>
          </cell>
          <cell r="S1731" t="str">
            <v>6029</v>
          </cell>
        </row>
        <row r="1732">
          <cell r="B1732" t="str">
            <v>S3002294</v>
          </cell>
          <cell r="C1732" t="str">
            <v>SPS 10 ANDERSON ST PT HEDLAND</v>
          </cell>
          <cell r="D1732" t="str">
            <v>A- actual</v>
          </cell>
          <cell r="E1732" t="str">
            <v>PS- pump station</v>
          </cell>
          <cell r="F1732" t="str">
            <v>ANDERSON ST</v>
          </cell>
          <cell r="G1732" t="str">
            <v>10</v>
          </cell>
          <cell r="H1732" t="str">
            <v>W- water corporation</v>
          </cell>
          <cell r="J1732" t="str">
            <v>20091001</v>
          </cell>
          <cell r="K1732" t="str">
            <v>118.608640181</v>
          </cell>
          <cell r="L1732" t="str">
            <v>-20.311051117</v>
          </cell>
          <cell r="M1732" t="str">
            <v>L</v>
          </cell>
          <cell r="N1732" t="str">
            <v>5828</v>
          </cell>
          <cell r="O1732" t="str">
            <v>ANDERSON</v>
          </cell>
          <cell r="P1732" t="str">
            <v>ST</v>
          </cell>
          <cell r="R1732" t="str">
            <v>PORT HEDLAND</v>
          </cell>
          <cell r="S1732" t="str">
            <v>6721</v>
          </cell>
        </row>
        <row r="1733">
          <cell r="D1733" t="str">
            <v>A- actual</v>
          </cell>
          <cell r="E1733" t="str">
            <v>PS- pump station</v>
          </cell>
          <cell r="H1733" t="str">
            <v>P- private</v>
          </cell>
          <cell r="J1733" t="str">
            <v>20020118</v>
          </cell>
          <cell r="K1733" t="str">
            <v>105.685607742</v>
          </cell>
          <cell r="L1733" t="str">
            <v>-10.433546612</v>
          </cell>
          <cell r="M1733" t="str">
            <v>L</v>
          </cell>
          <cell r="N1733" t="str">
            <v>518</v>
          </cell>
          <cell r="O1733" t="str">
            <v>VAGABOND</v>
          </cell>
          <cell r="P1733" t="str">
            <v>RD</v>
          </cell>
          <cell r="R1733" t="str">
            <v>CHRISTMAS ISLAND</v>
          </cell>
          <cell r="S1733" t="str">
            <v>6798</v>
          </cell>
        </row>
        <row r="1734">
          <cell r="B1734" t="str">
            <v>S4000198</v>
          </cell>
          <cell r="C1734" t="str">
            <v>SPS 5 BASHFORD ST JURIEN BAY</v>
          </cell>
          <cell r="D1734" t="str">
            <v>A- actual</v>
          </cell>
          <cell r="E1734" t="str">
            <v>PS- pump station</v>
          </cell>
          <cell r="F1734" t="str">
            <v>BASHFORD ST</v>
          </cell>
          <cell r="G1734" t="str">
            <v>5</v>
          </cell>
          <cell r="H1734" t="str">
            <v>W- water corporation</v>
          </cell>
          <cell r="J1734" t="str">
            <v>20111201</v>
          </cell>
          <cell r="K1734" t="str">
            <v>115.04202935</v>
          </cell>
          <cell r="L1734" t="str">
            <v>-30.32322688</v>
          </cell>
          <cell r="M1734" t="str">
            <v>H</v>
          </cell>
          <cell r="N1734" t="str">
            <v>10</v>
          </cell>
          <cell r="O1734" t="str">
            <v>NEWPORT</v>
          </cell>
          <cell r="P1734" t="str">
            <v>DR</v>
          </cell>
          <cell r="R1734" t="str">
            <v>JURIEN BAY</v>
          </cell>
          <cell r="S1734" t="str">
            <v>6516</v>
          </cell>
        </row>
        <row r="1735">
          <cell r="B1735" t="str">
            <v>S2032514</v>
          </cell>
          <cell r="C1735" t="str">
            <v>SPS LANDBEACH BVD ALKIMOS</v>
          </cell>
          <cell r="D1735" t="str">
            <v>A- actual</v>
          </cell>
          <cell r="E1735" t="str">
            <v>PS- pump station</v>
          </cell>
          <cell r="F1735" t="str">
            <v>ALKIMOS PS</v>
          </cell>
          <cell r="G1735" t="str">
            <v>001-002</v>
          </cell>
          <cell r="H1735" t="str">
            <v>W- water corporation</v>
          </cell>
          <cell r="J1735" t="str">
            <v>20120724</v>
          </cell>
          <cell r="K1735" t="str">
            <v>115.70665997</v>
          </cell>
          <cell r="L1735" t="str">
            <v>-31.62721479</v>
          </cell>
          <cell r="M1735" t="str">
            <v>H</v>
          </cell>
          <cell r="N1735" t="str">
            <v>3</v>
          </cell>
          <cell r="O1735" t="str">
            <v>VILLENA</v>
          </cell>
          <cell r="P1735" t="str">
            <v>PDE</v>
          </cell>
          <cell r="R1735" t="str">
            <v>ALKIMOS</v>
          </cell>
          <cell r="S1735" t="str">
            <v>6038</v>
          </cell>
        </row>
        <row r="1736">
          <cell r="B1736" t="str">
            <v>S2023412</v>
          </cell>
          <cell r="C1736" t="str">
            <v>SPS REDHEART RD CARRAMAR</v>
          </cell>
          <cell r="D1736" t="str">
            <v>A- actual</v>
          </cell>
          <cell r="E1736" t="str">
            <v>PS- pump station</v>
          </cell>
          <cell r="F1736" t="str">
            <v>REDHEART RD</v>
          </cell>
          <cell r="G1736" t="str">
            <v>160-04</v>
          </cell>
          <cell r="H1736" t="str">
            <v>W- water corporation</v>
          </cell>
          <cell r="J1736" t="str">
            <v>20120501</v>
          </cell>
          <cell r="K1736" t="str">
            <v>115.79094236</v>
          </cell>
          <cell r="L1736" t="str">
            <v>-31.69148332</v>
          </cell>
          <cell r="M1736" t="str">
            <v>H</v>
          </cell>
          <cell r="N1736" t="str">
            <v>29</v>
          </cell>
          <cell r="O1736" t="str">
            <v>REDHEART</v>
          </cell>
          <cell r="P1736" t="str">
            <v>RD</v>
          </cell>
          <cell r="R1736" t="str">
            <v>CARRAMAR</v>
          </cell>
          <cell r="S1736" t="str">
            <v>6031</v>
          </cell>
        </row>
        <row r="1737">
          <cell r="B1737" t="str">
            <v>S2018475</v>
          </cell>
          <cell r="C1737" t="str">
            <v>SPS RHODES CR CALISTA</v>
          </cell>
          <cell r="D1737" t="str">
            <v>A- actual</v>
          </cell>
          <cell r="E1737" t="str">
            <v>PS- pump station</v>
          </cell>
          <cell r="F1737" t="str">
            <v>RHODES CRES</v>
          </cell>
          <cell r="G1737" t="str">
            <v>042-10</v>
          </cell>
          <cell r="H1737" t="str">
            <v>W- water corporation</v>
          </cell>
          <cell r="J1737" t="str">
            <v>20130505</v>
          </cell>
          <cell r="K1737" t="str">
            <v>115.810980184</v>
          </cell>
          <cell r="L1737" t="str">
            <v>-32.250425689</v>
          </cell>
          <cell r="M1737" t="str">
            <v>H</v>
          </cell>
          <cell r="N1737" t="str">
            <v>9</v>
          </cell>
          <cell r="O1737" t="str">
            <v>RHODES</v>
          </cell>
          <cell r="P1737" t="str">
            <v>CR</v>
          </cell>
          <cell r="R1737" t="str">
            <v>CALISTA</v>
          </cell>
          <cell r="S1737" t="str">
            <v>6167</v>
          </cell>
        </row>
        <row r="1738">
          <cell r="B1738" t="str">
            <v>S0037426</v>
          </cell>
          <cell r="C1738" t="str">
            <v>SPS 1 ENEABBA DR ENEABBA</v>
          </cell>
          <cell r="D1738" t="str">
            <v>A- actual</v>
          </cell>
          <cell r="E1738" t="str">
            <v>PS- pump station</v>
          </cell>
          <cell r="F1738" t="str">
            <v>ENEABBA DR</v>
          </cell>
          <cell r="G1738" t="str">
            <v>1</v>
          </cell>
          <cell r="H1738" t="str">
            <v>W- water corporation</v>
          </cell>
          <cell r="J1738" t="str">
            <v>20100830</v>
          </cell>
          <cell r="K1738" t="str">
            <v>115.26660247</v>
          </cell>
          <cell r="L1738" t="str">
            <v>-29.823786286</v>
          </cell>
          <cell r="M1738" t="str">
            <v>H</v>
          </cell>
          <cell r="N1738" t="str">
            <v>20</v>
          </cell>
          <cell r="O1738" t="str">
            <v>ENEABBA</v>
          </cell>
          <cell r="P1738" t="str">
            <v>DR</v>
          </cell>
          <cell r="R1738" t="str">
            <v>ENEABBA</v>
          </cell>
          <cell r="S1738" t="str">
            <v>6518</v>
          </cell>
        </row>
        <row r="1739">
          <cell r="D1739" t="str">
            <v>A- actual</v>
          </cell>
          <cell r="E1739" t="str">
            <v>PS- pump station</v>
          </cell>
          <cell r="F1739" t="str">
            <v>FROST OVAL</v>
          </cell>
          <cell r="H1739" t="str">
            <v>P- private</v>
          </cell>
          <cell r="J1739" t="str">
            <v>19820101</v>
          </cell>
          <cell r="K1739" t="str">
            <v>117.652921491</v>
          </cell>
          <cell r="L1739" t="str">
            <v>-34.623267529</v>
          </cell>
          <cell r="M1739" t="str">
            <v>H</v>
          </cell>
          <cell r="N1739" t="str">
            <v>30</v>
          </cell>
          <cell r="O1739" t="str">
            <v>MARMION</v>
          </cell>
          <cell r="P1739" t="str">
            <v>ST</v>
          </cell>
          <cell r="R1739" t="str">
            <v>MOUNT BARKER</v>
          </cell>
          <cell r="S1739" t="str">
            <v>6324</v>
          </cell>
        </row>
        <row r="1740">
          <cell r="B1740" t="str">
            <v>S2032781</v>
          </cell>
          <cell r="C1740" t="str">
            <v>SPS PECKHAM BVD BALDIVIS</v>
          </cell>
          <cell r="D1740" t="str">
            <v>A- actual</v>
          </cell>
          <cell r="E1740" t="str">
            <v>PS- pump station</v>
          </cell>
          <cell r="F1740" t="str">
            <v>PECKHAM BVD</v>
          </cell>
          <cell r="G1740" t="str">
            <v>156-28</v>
          </cell>
          <cell r="H1740" t="str">
            <v>W- water corporation</v>
          </cell>
          <cell r="J1740" t="str">
            <v>20131101</v>
          </cell>
          <cell r="K1740" t="str">
            <v>115.797096943</v>
          </cell>
          <cell r="L1740" t="str">
            <v>-32.3614151262</v>
          </cell>
          <cell r="M1740" t="str">
            <v>H</v>
          </cell>
          <cell r="N1740" t="str">
            <v>731</v>
          </cell>
          <cell r="O1740" t="str">
            <v>EIGHTY</v>
          </cell>
          <cell r="P1740" t="str">
            <v>RD</v>
          </cell>
          <cell r="R1740" t="str">
            <v>BALDIVIS</v>
          </cell>
          <cell r="S1740" t="str">
            <v>6171</v>
          </cell>
        </row>
        <row r="1741">
          <cell r="B1741" t="str">
            <v>S2018370</v>
          </cell>
          <cell r="C1741" t="str">
            <v>SPS COLLARED ST HARRISDALE</v>
          </cell>
          <cell r="D1741" t="str">
            <v>A- actual</v>
          </cell>
          <cell r="E1741" t="str">
            <v>PS- pump station</v>
          </cell>
          <cell r="F1741" t="str">
            <v>COLLARED ST</v>
          </cell>
          <cell r="G1741" t="str">
            <v>175-01</v>
          </cell>
          <cell r="H1741" t="str">
            <v>W- water corporation</v>
          </cell>
          <cell r="J1741" t="str">
            <v>20120830</v>
          </cell>
          <cell r="K1741" t="str">
            <v>115.933265071</v>
          </cell>
          <cell r="L1741" t="str">
            <v>-32.1208076808</v>
          </cell>
          <cell r="M1741" t="str">
            <v>H</v>
          </cell>
          <cell r="N1741" t="str">
            <v>3</v>
          </cell>
          <cell r="O1741" t="str">
            <v>COLLARED</v>
          </cell>
          <cell r="P1741" t="str">
            <v>ST</v>
          </cell>
          <cell r="R1741" t="str">
            <v>HARRISDALE</v>
          </cell>
          <cell r="S1741" t="str">
            <v>6112</v>
          </cell>
        </row>
        <row r="1742">
          <cell r="B1742" t="str">
            <v>S4003216</v>
          </cell>
          <cell r="C1742" t="str">
            <v>SPS EFFLUENT DISPOSAL WWTP NARNGULU</v>
          </cell>
          <cell r="D1742" t="str">
            <v>A- actual</v>
          </cell>
          <cell r="E1742" t="str">
            <v>EPS- effluent re-use pump station</v>
          </cell>
          <cell r="F1742" t="str">
            <v>WWTP NARNGULU</v>
          </cell>
          <cell r="H1742" t="str">
            <v>W- water corporation</v>
          </cell>
          <cell r="J1742" t="str">
            <v>20070401</v>
          </cell>
          <cell r="K1742" t="str">
            <v>114.66621866</v>
          </cell>
          <cell r="L1742" t="str">
            <v>-28.80602869</v>
          </cell>
          <cell r="M1742" t="str">
            <v>H</v>
          </cell>
          <cell r="N1742" t="str">
            <v>75</v>
          </cell>
          <cell r="O1742" t="str">
            <v>LANDFILL</v>
          </cell>
          <cell r="P1742" t="str">
            <v>LANE</v>
          </cell>
          <cell r="R1742" t="str">
            <v>NARNGULU</v>
          </cell>
          <cell r="S1742" t="str">
            <v>6532</v>
          </cell>
        </row>
        <row r="1743">
          <cell r="B1743" t="str">
            <v>S7001147</v>
          </cell>
          <cell r="C1743" t="str">
            <v>SPS REUSE WWTP NARROGIN</v>
          </cell>
          <cell r="D1743" t="str">
            <v>A- actual</v>
          </cell>
          <cell r="E1743" t="str">
            <v>EPS- effluent re-use pump station</v>
          </cell>
          <cell r="F1743" t="str">
            <v>WWTP NARROGIN</v>
          </cell>
          <cell r="H1743" t="str">
            <v>W- water corporation</v>
          </cell>
          <cell r="J1743" t="str">
            <v>19920601</v>
          </cell>
          <cell r="K1743" t="str">
            <v>117.193904001</v>
          </cell>
          <cell r="L1743" t="str">
            <v>-32.944172437</v>
          </cell>
          <cell r="M1743" t="str">
            <v>L</v>
          </cell>
          <cell r="N1743" t="str">
            <v>1556</v>
          </cell>
          <cell r="O1743" t="str">
            <v>WALKER</v>
          </cell>
          <cell r="P1743" t="str">
            <v>ST</v>
          </cell>
          <cell r="R1743" t="str">
            <v>NARROGIN</v>
          </cell>
          <cell r="S1743" t="str">
            <v>6312</v>
          </cell>
        </row>
        <row r="1744">
          <cell r="B1744" t="str">
            <v>S8016394</v>
          </cell>
          <cell r="C1744" t="str">
            <v>SPS STYX LANE GLEN IRIS</v>
          </cell>
          <cell r="D1744" t="str">
            <v>A- actual</v>
          </cell>
          <cell r="E1744" t="str">
            <v>PS- pump station</v>
          </cell>
          <cell r="F1744" t="str">
            <v>STYX LANE</v>
          </cell>
          <cell r="G1744" t="str">
            <v>3</v>
          </cell>
          <cell r="H1744" t="str">
            <v>W- water corporation</v>
          </cell>
          <cell r="J1744" t="str">
            <v>20120829</v>
          </cell>
          <cell r="K1744" t="str">
            <v>115.675030724</v>
          </cell>
          <cell r="L1744" t="str">
            <v>-33.3388658375</v>
          </cell>
          <cell r="M1744" t="str">
            <v>H</v>
          </cell>
          <cell r="N1744" t="str">
            <v>22</v>
          </cell>
          <cell r="O1744" t="str">
            <v>JEFFREY</v>
          </cell>
          <cell r="P1744" t="str">
            <v>RD</v>
          </cell>
          <cell r="R1744" t="str">
            <v>GLEN IRIS</v>
          </cell>
          <cell r="S1744" t="str">
            <v>6230</v>
          </cell>
        </row>
        <row r="1745">
          <cell r="B1745" t="str">
            <v>S2019199</v>
          </cell>
          <cell r="C1745" t="str">
            <v>SPS DA VINCI WY FORRESTDALE</v>
          </cell>
          <cell r="D1745" t="str">
            <v>A- actual</v>
          </cell>
          <cell r="E1745" t="str">
            <v>PS- pump station</v>
          </cell>
          <cell r="F1745" t="str">
            <v>BALANNUP</v>
          </cell>
          <cell r="G1745" t="str">
            <v>175-04</v>
          </cell>
          <cell r="H1745" t="str">
            <v>W- water corporation</v>
          </cell>
          <cell r="J1745" t="str">
            <v>20121001</v>
          </cell>
          <cell r="K1745" t="str">
            <v>115.964714291</v>
          </cell>
          <cell r="L1745" t="str">
            <v>-32.1410012689</v>
          </cell>
          <cell r="M1745" t="str">
            <v>H</v>
          </cell>
          <cell r="N1745" t="str">
            <v>1</v>
          </cell>
          <cell r="O1745" t="str">
            <v>DA VINCI</v>
          </cell>
          <cell r="P1745" t="str">
            <v>WAY</v>
          </cell>
          <cell r="R1745" t="str">
            <v>FORRESTDALE</v>
          </cell>
          <cell r="S1745" t="str">
            <v>6112</v>
          </cell>
        </row>
        <row r="1746">
          <cell r="D1746" t="str">
            <v>A- actual</v>
          </cell>
          <cell r="E1746" t="str">
            <v>PS- pump station</v>
          </cell>
          <cell r="F1746" t="str">
            <v>COLEBATCH WAY</v>
          </cell>
          <cell r="H1746" t="str">
            <v>P- private</v>
          </cell>
          <cell r="J1746" t="str">
            <v>20130130</v>
          </cell>
          <cell r="K1746" t="str">
            <v>118.59562081</v>
          </cell>
          <cell r="L1746" t="str">
            <v>-20.41332796</v>
          </cell>
          <cell r="M1746" t="str">
            <v>H</v>
          </cell>
          <cell r="N1746" t="str">
            <v>3</v>
          </cell>
          <cell r="O1746" t="str">
            <v>HAMILTON</v>
          </cell>
          <cell r="P1746" t="str">
            <v>RD</v>
          </cell>
          <cell r="R1746" t="str">
            <v>SOUTH HEDLAND</v>
          </cell>
          <cell r="S1746" t="str">
            <v>6722</v>
          </cell>
        </row>
        <row r="1747">
          <cell r="D1747" t="str">
            <v>P- proposed</v>
          </cell>
          <cell r="E1747" t="str">
            <v>PS- pump station</v>
          </cell>
          <cell r="F1747" t="str">
            <v>STANLEY ST</v>
          </cell>
          <cell r="G1747" t="str">
            <v>4</v>
          </cell>
          <cell r="H1747" t="str">
            <v>W- water corporation</v>
          </cell>
          <cell r="J1747" t="str">
            <v>18000101</v>
          </cell>
          <cell r="K1747" t="str">
            <v>123.651696098</v>
          </cell>
          <cell r="L1747" t="str">
            <v>-17.308557533</v>
          </cell>
          <cell r="M1747" t="str">
            <v>H</v>
          </cell>
          <cell r="N1747" t="str">
            <v>27</v>
          </cell>
          <cell r="O1747" t="str">
            <v>SUTHERLAND</v>
          </cell>
          <cell r="P1747" t="str">
            <v>ST</v>
          </cell>
          <cell r="R1747" t="str">
            <v>DERBY</v>
          </cell>
          <cell r="S1747" t="str">
            <v>6728</v>
          </cell>
        </row>
        <row r="1748">
          <cell r="B1748" t="str">
            <v>S3002364</v>
          </cell>
          <cell r="C1748" t="str">
            <v>SPS 15 JAMES ST STH HEDLAND</v>
          </cell>
          <cell r="D1748" t="str">
            <v>A- actual</v>
          </cell>
          <cell r="E1748" t="str">
            <v>PS- pump station</v>
          </cell>
          <cell r="F1748" t="str">
            <v>JAMES ST</v>
          </cell>
          <cell r="G1748" t="str">
            <v>123-15</v>
          </cell>
          <cell r="H1748" t="str">
            <v>W- water corporation</v>
          </cell>
          <cell r="J1748" t="str">
            <v>20141201</v>
          </cell>
          <cell r="K1748" t="str">
            <v>118.59534967</v>
          </cell>
          <cell r="L1748" t="str">
            <v>-20.41070084</v>
          </cell>
          <cell r="M1748" t="str">
            <v>H</v>
          </cell>
          <cell r="N1748" t="str">
            <v>82</v>
          </cell>
          <cell r="O1748" t="str">
            <v>MCLARTY</v>
          </cell>
          <cell r="P1748" t="str">
            <v>BVD</v>
          </cell>
          <cell r="R1748" t="str">
            <v>SOUTH HEDLAND</v>
          </cell>
          <cell r="S1748" t="str">
            <v>6722</v>
          </cell>
        </row>
        <row r="1749">
          <cell r="D1749" t="str">
            <v>P- proposed</v>
          </cell>
          <cell r="E1749" t="str">
            <v>PS- pump station</v>
          </cell>
          <cell r="H1749" t="str">
            <v>W- water corporation</v>
          </cell>
          <cell r="J1749" t="str">
            <v>18000101</v>
          </cell>
          <cell r="K1749" t="str">
            <v>118.623814041</v>
          </cell>
          <cell r="L1749" t="str">
            <v>-20.306974503</v>
          </cell>
          <cell r="M1749" t="str">
            <v>L</v>
          </cell>
          <cell r="N1749" t="str">
            <v>2046</v>
          </cell>
          <cell r="O1749" t="str">
            <v>TINDALE</v>
          </cell>
          <cell r="P1749" t="str">
            <v>ST</v>
          </cell>
          <cell r="R1749" t="str">
            <v>PORT HEDLAND</v>
          </cell>
          <cell r="S1749" t="str">
            <v>6721</v>
          </cell>
        </row>
        <row r="1750">
          <cell r="B1750" t="str">
            <v>S3004397</v>
          </cell>
          <cell r="C1750" t="str">
            <v>SPS 2 THALAYINDI LOOP ROEBOURNE</v>
          </cell>
          <cell r="D1750" t="str">
            <v>A- actual</v>
          </cell>
          <cell r="E1750" t="str">
            <v>PS- pump station</v>
          </cell>
          <cell r="F1750" t="str">
            <v>THALAYINDI LOOP</v>
          </cell>
          <cell r="G1750" t="str">
            <v>122-02</v>
          </cell>
          <cell r="H1750" t="str">
            <v>W- water corporation</v>
          </cell>
          <cell r="J1750" t="str">
            <v>20150601</v>
          </cell>
          <cell r="K1750" t="str">
            <v>117.142836211</v>
          </cell>
          <cell r="L1750" t="str">
            <v>-20.7587906842</v>
          </cell>
          <cell r="M1750" t="str">
            <v>H</v>
          </cell>
          <cell r="N1750" t="str">
            <v>33</v>
          </cell>
          <cell r="O1750" t="str">
            <v>THALAYINDI</v>
          </cell>
          <cell r="P1750" t="str">
            <v>LOOP</v>
          </cell>
          <cell r="R1750" t="str">
            <v>ROEBOURNE</v>
          </cell>
          <cell r="S1750" t="str">
            <v>6718</v>
          </cell>
        </row>
        <row r="1751">
          <cell r="B1751" t="str">
            <v>S2023290</v>
          </cell>
          <cell r="C1751" t="str">
            <v>SPS BENNETT ST CAVERSHAM</v>
          </cell>
          <cell r="D1751" t="str">
            <v>A- actual</v>
          </cell>
          <cell r="E1751" t="str">
            <v>PS- pump station</v>
          </cell>
          <cell r="F1751" t="str">
            <v>BENNETT ST</v>
          </cell>
          <cell r="G1751" t="str">
            <v>024-08</v>
          </cell>
          <cell r="H1751" t="str">
            <v>W- water corporation</v>
          </cell>
          <cell r="J1751" t="str">
            <v>20150101</v>
          </cell>
          <cell r="K1751" t="str">
            <v>115.96046186</v>
          </cell>
          <cell r="L1751" t="str">
            <v>-31.87420825</v>
          </cell>
          <cell r="M1751" t="str">
            <v>H</v>
          </cell>
          <cell r="N1751" t="str">
            <v>18</v>
          </cell>
          <cell r="O1751" t="str">
            <v>BENNETT</v>
          </cell>
          <cell r="P1751" t="str">
            <v>ST</v>
          </cell>
          <cell r="R1751" t="str">
            <v>CAVERSHAM</v>
          </cell>
          <cell r="S1751" t="str">
            <v>6055</v>
          </cell>
        </row>
        <row r="1752">
          <cell r="B1752" t="str">
            <v>S7013120</v>
          </cell>
          <cell r="C1752" t="str">
            <v>SPS WILLIAM ST WILLIAMS</v>
          </cell>
          <cell r="D1752" t="str">
            <v>A- actual</v>
          </cell>
          <cell r="E1752" t="str">
            <v>PS- pump station</v>
          </cell>
          <cell r="F1752" t="str">
            <v>WILLIAM ST</v>
          </cell>
          <cell r="G1752" t="str">
            <v>3</v>
          </cell>
          <cell r="H1752" t="str">
            <v>W- water corporation</v>
          </cell>
          <cell r="J1752" t="str">
            <v>20130301</v>
          </cell>
          <cell r="K1752" t="str">
            <v>116.880461318</v>
          </cell>
          <cell r="L1752" t="str">
            <v>-33.0321499741</v>
          </cell>
          <cell r="M1752" t="str">
            <v>H</v>
          </cell>
          <cell r="N1752" t="str">
            <v>4</v>
          </cell>
          <cell r="O1752" t="str">
            <v>WILLIAM</v>
          </cell>
          <cell r="P1752" t="str">
            <v>ST</v>
          </cell>
          <cell r="R1752" t="str">
            <v>WILLIAMS</v>
          </cell>
          <cell r="S1752" t="str">
            <v>6391</v>
          </cell>
        </row>
        <row r="1753">
          <cell r="D1753" t="str">
            <v>A- actual</v>
          </cell>
          <cell r="E1753" t="str">
            <v>PS- pump station</v>
          </cell>
          <cell r="F1753" t="str">
            <v>MOUNT BARKER COMMUNITY COLLEGE</v>
          </cell>
          <cell r="H1753" t="str">
            <v>P- private</v>
          </cell>
          <cell r="J1753" t="str">
            <v>20121205</v>
          </cell>
          <cell r="K1753" t="str">
            <v>117.666297968</v>
          </cell>
          <cell r="L1753" t="str">
            <v>-34.609783799</v>
          </cell>
          <cell r="M1753" t="str">
            <v>H</v>
          </cell>
          <cell r="N1753" t="str">
            <v>31663</v>
          </cell>
          <cell r="O1753" t="str">
            <v>ALBANY</v>
          </cell>
          <cell r="P1753" t="str">
            <v>HWY</v>
          </cell>
          <cell r="R1753" t="str">
            <v>MOUNT BARKER</v>
          </cell>
          <cell r="S1753" t="str">
            <v>6324</v>
          </cell>
        </row>
        <row r="1754">
          <cell r="D1754" t="str">
            <v>A- actual</v>
          </cell>
          <cell r="E1754" t="str">
            <v>PS- pump station</v>
          </cell>
          <cell r="F1754" t="str">
            <v>GATEWAY VILLAGE</v>
          </cell>
          <cell r="H1754" t="str">
            <v>P- private</v>
          </cell>
          <cell r="J1754" t="str">
            <v>20130409</v>
          </cell>
          <cell r="K1754" t="str">
            <v>118.5935958</v>
          </cell>
          <cell r="L1754" t="str">
            <v>-20.400286735</v>
          </cell>
          <cell r="M1754" t="str">
            <v>H</v>
          </cell>
          <cell r="N1754" t="str">
            <v>77</v>
          </cell>
          <cell r="O1754" t="str">
            <v>HAMILTON</v>
          </cell>
          <cell r="P1754" t="str">
            <v>RD</v>
          </cell>
          <cell r="R1754" t="str">
            <v>SOUTH HEDLAND</v>
          </cell>
          <cell r="S1754" t="str">
            <v>6722</v>
          </cell>
        </row>
        <row r="1755">
          <cell r="D1755" t="str">
            <v>A- actual</v>
          </cell>
          <cell r="E1755" t="str">
            <v>PS- pump station</v>
          </cell>
          <cell r="H1755" t="str">
            <v>P- private</v>
          </cell>
          <cell r="J1755" t="str">
            <v>20130319</v>
          </cell>
          <cell r="K1755" t="str">
            <v>115.898837626</v>
          </cell>
          <cell r="L1755" t="str">
            <v>-31.955133864</v>
          </cell>
          <cell r="M1755" t="str">
            <v>H</v>
          </cell>
          <cell r="N1755" t="str">
            <v>28</v>
          </cell>
          <cell r="O1755" t="str">
            <v>GOODWOOD</v>
          </cell>
          <cell r="P1755" t="str">
            <v>PDE</v>
          </cell>
          <cell r="R1755" t="str">
            <v>BURSWOOD</v>
          </cell>
          <cell r="S1755" t="str">
            <v>6100</v>
          </cell>
        </row>
        <row r="1756">
          <cell r="B1756" t="str">
            <v>S2023198</v>
          </cell>
          <cell r="C1756" t="str">
            <v>SPS HILBERT RD HILBERT</v>
          </cell>
          <cell r="D1756" t="str">
            <v>A- actual</v>
          </cell>
          <cell r="E1756" t="str">
            <v>PS- pump station</v>
          </cell>
          <cell r="F1756" t="str">
            <v>HILBERT RD</v>
          </cell>
          <cell r="G1756" t="str">
            <v>003-02</v>
          </cell>
          <cell r="H1756" t="str">
            <v>W- water corporation</v>
          </cell>
          <cell r="J1756" t="str">
            <v>20140901</v>
          </cell>
          <cell r="K1756" t="str">
            <v>115.97875437</v>
          </cell>
          <cell r="L1756" t="str">
            <v>-32.17778429</v>
          </cell>
          <cell r="M1756" t="str">
            <v>H</v>
          </cell>
          <cell r="N1756" t="str">
            <v>59</v>
          </cell>
          <cell r="O1756" t="str">
            <v>VERMILION</v>
          </cell>
          <cell r="P1756" t="str">
            <v>BVD</v>
          </cell>
          <cell r="R1756" t="str">
            <v>HILBERT</v>
          </cell>
          <cell r="S1756" t="str">
            <v>6112</v>
          </cell>
        </row>
        <row r="1757">
          <cell r="D1757" t="str">
            <v>A- actual</v>
          </cell>
          <cell r="E1757" t="str">
            <v>PS- pump station</v>
          </cell>
          <cell r="H1757" t="str">
            <v>P- private</v>
          </cell>
          <cell r="J1757" t="str">
            <v>20120801</v>
          </cell>
          <cell r="K1757" t="str">
            <v>116.003048128</v>
          </cell>
          <cell r="L1757" t="str">
            <v>-32.175737071</v>
          </cell>
          <cell r="M1757" t="str">
            <v>H</v>
          </cell>
          <cell r="N1757" t="str">
            <v>124</v>
          </cell>
          <cell r="O1757" t="str">
            <v>WUNGONG</v>
          </cell>
          <cell r="P1757" t="str">
            <v>RD</v>
          </cell>
          <cell r="R1757" t="str">
            <v>HILBERT</v>
          </cell>
          <cell r="S1757" t="str">
            <v>6112</v>
          </cell>
        </row>
        <row r="1758">
          <cell r="B1758" t="str">
            <v>S2023500</v>
          </cell>
          <cell r="C1758" t="str">
            <v>SPS DARLING CH WANDI</v>
          </cell>
          <cell r="D1758" t="str">
            <v>A- actual</v>
          </cell>
          <cell r="E1758" t="str">
            <v>PS- pump station</v>
          </cell>
          <cell r="F1758" t="str">
            <v>THOMSONS LAKE</v>
          </cell>
          <cell r="G1758" t="str">
            <v>902-63</v>
          </cell>
          <cell r="H1758" t="str">
            <v>W- water corporation</v>
          </cell>
          <cell r="J1758" t="str">
            <v>20120201</v>
          </cell>
          <cell r="K1758" t="str">
            <v>115.8542991</v>
          </cell>
          <cell r="L1758" t="str">
            <v>-32.2080252535</v>
          </cell>
          <cell r="M1758" t="str">
            <v>H</v>
          </cell>
          <cell r="N1758" t="str">
            <v>651</v>
          </cell>
          <cell r="O1758" t="str">
            <v>ANKETELL</v>
          </cell>
          <cell r="P1758" t="str">
            <v>RD</v>
          </cell>
          <cell r="R1758" t="str">
            <v>WANDI</v>
          </cell>
          <cell r="S1758" t="str">
            <v>6167</v>
          </cell>
        </row>
        <row r="1759">
          <cell r="D1759" t="str">
            <v>P- proposed</v>
          </cell>
          <cell r="E1759" t="str">
            <v>PS- pump station</v>
          </cell>
          <cell r="F1759" t="str">
            <v>DAWESVILLE</v>
          </cell>
          <cell r="G1759" t="str">
            <v>13</v>
          </cell>
          <cell r="H1759" t="str">
            <v>W- water corporation</v>
          </cell>
          <cell r="J1759" t="str">
            <v>18000101</v>
          </cell>
          <cell r="K1759" t="str">
            <v>115.647271871</v>
          </cell>
          <cell r="L1759" t="str">
            <v>-32.634800381</v>
          </cell>
          <cell r="M1759" t="str">
            <v>H</v>
          </cell>
          <cell r="N1759" t="str">
            <v>308</v>
          </cell>
          <cell r="O1759" t="str">
            <v>ESTUARY</v>
          </cell>
          <cell r="P1759" t="str">
            <v>RD</v>
          </cell>
          <cell r="R1759" t="str">
            <v>DAWESVILLE</v>
          </cell>
          <cell r="S1759" t="str">
            <v>6211</v>
          </cell>
        </row>
        <row r="1760">
          <cell r="D1760" t="str">
            <v>A- actual</v>
          </cell>
          <cell r="E1760" t="str">
            <v>PS- pump station</v>
          </cell>
          <cell r="F1760" t="str">
            <v>GATEWAY VILLAGE</v>
          </cell>
          <cell r="H1760" t="str">
            <v>P- private</v>
          </cell>
          <cell r="J1760" t="str">
            <v>20121105</v>
          </cell>
          <cell r="K1760" t="str">
            <v>118.594470778</v>
          </cell>
          <cell r="L1760" t="str">
            <v>-20.4054280581</v>
          </cell>
          <cell r="M1760" t="str">
            <v>L</v>
          </cell>
          <cell r="N1760" t="str">
            <v>500</v>
          </cell>
          <cell r="O1760" t="str">
            <v>FORREST</v>
          </cell>
          <cell r="P1760" t="str">
            <v>CIR</v>
          </cell>
          <cell r="R1760" t="str">
            <v>SOUTH HEDLAND</v>
          </cell>
          <cell r="S1760" t="str">
            <v>6722</v>
          </cell>
        </row>
        <row r="1761">
          <cell r="B1761" t="str">
            <v>S3004609</v>
          </cell>
          <cell r="C1761" t="str">
            <v>SPS 8 RESOURCE RD KARRATHA</v>
          </cell>
          <cell r="D1761" t="str">
            <v>A- actual</v>
          </cell>
          <cell r="E1761" t="str">
            <v>PS- pump station</v>
          </cell>
          <cell r="F1761" t="str">
            <v>GAP RIDGE</v>
          </cell>
          <cell r="G1761" t="str">
            <v>8</v>
          </cell>
          <cell r="H1761" t="str">
            <v>W- water corporation</v>
          </cell>
          <cell r="J1761" t="str">
            <v>20131201</v>
          </cell>
          <cell r="K1761" t="str">
            <v>116.772338344</v>
          </cell>
          <cell r="L1761" t="str">
            <v>-20.7478444035</v>
          </cell>
          <cell r="M1761" t="str">
            <v>L</v>
          </cell>
          <cell r="N1761" t="str">
            <v>8003</v>
          </cell>
          <cell r="O1761" t="str">
            <v>STEEL</v>
          </cell>
          <cell r="P1761" t="str">
            <v>AV</v>
          </cell>
          <cell r="R1761" t="str">
            <v>GAP RIDGE</v>
          </cell>
          <cell r="S1761" t="str">
            <v>6714</v>
          </cell>
        </row>
        <row r="1762">
          <cell r="D1762" t="str">
            <v>A- actual</v>
          </cell>
          <cell r="E1762" t="str">
            <v>PS- pump station</v>
          </cell>
          <cell r="F1762" t="str">
            <v>FITZGERALD RD</v>
          </cell>
          <cell r="H1762" t="str">
            <v>P- private</v>
          </cell>
          <cell r="J1762" t="str">
            <v>20120301</v>
          </cell>
          <cell r="K1762" t="str">
            <v>115.751182725</v>
          </cell>
          <cell r="L1762" t="str">
            <v>-32.517292562</v>
          </cell>
          <cell r="M1762" t="str">
            <v>H</v>
          </cell>
          <cell r="N1762" t="str">
            <v>1</v>
          </cell>
          <cell r="O1762" t="str">
            <v>FITZGERALD</v>
          </cell>
          <cell r="P1762" t="str">
            <v>RD</v>
          </cell>
          <cell r="R1762" t="str">
            <v>GREENFIELDS</v>
          </cell>
          <cell r="S1762" t="str">
            <v>6210</v>
          </cell>
        </row>
        <row r="1763">
          <cell r="D1763" t="str">
            <v>A- actual</v>
          </cell>
          <cell r="E1763" t="str">
            <v>PS- pump station</v>
          </cell>
          <cell r="F1763" t="str">
            <v>JOONDALUP PARK</v>
          </cell>
          <cell r="H1763" t="str">
            <v>P- private</v>
          </cell>
          <cell r="J1763" t="str">
            <v>20130605</v>
          </cell>
          <cell r="K1763" t="str">
            <v>115.794826918</v>
          </cell>
          <cell r="L1763" t="str">
            <v>-31.750853409</v>
          </cell>
          <cell r="M1763" t="str">
            <v>H</v>
          </cell>
          <cell r="N1763" t="str">
            <v>440</v>
          </cell>
          <cell r="O1763" t="str">
            <v>SCENIC</v>
          </cell>
          <cell r="P1763" t="str">
            <v>DR</v>
          </cell>
          <cell r="R1763" t="str">
            <v>WANNEROO</v>
          </cell>
          <cell r="S1763" t="str">
            <v>6065</v>
          </cell>
        </row>
        <row r="1764">
          <cell r="D1764" t="str">
            <v>A- actual</v>
          </cell>
          <cell r="E1764" t="str">
            <v>TPS- temporary pump station</v>
          </cell>
          <cell r="F1764" t="str">
            <v>PRIVATE</v>
          </cell>
          <cell r="H1764" t="str">
            <v>W- water corporation</v>
          </cell>
          <cell r="J1764" t="str">
            <v>18000101</v>
          </cell>
          <cell r="K1764" t="str">
            <v>115.633612184</v>
          </cell>
          <cell r="L1764" t="str">
            <v>-32.6291303106</v>
          </cell>
          <cell r="M1764" t="str">
            <v>H</v>
          </cell>
          <cell r="N1764" t="str">
            <v>22</v>
          </cell>
          <cell r="O1764" t="str">
            <v>TAMMIN</v>
          </cell>
          <cell r="P1764" t="str">
            <v>CT</v>
          </cell>
          <cell r="R1764" t="str">
            <v>DAWESVILLE</v>
          </cell>
          <cell r="S1764" t="str">
            <v>6211</v>
          </cell>
        </row>
        <row r="1765">
          <cell r="D1765" t="str">
            <v>P- proposed</v>
          </cell>
          <cell r="E1765" t="str">
            <v>PS- pump station</v>
          </cell>
          <cell r="H1765" t="str">
            <v>W- water corporation</v>
          </cell>
          <cell r="J1765" t="str">
            <v>18000101</v>
          </cell>
          <cell r="K1765" t="str">
            <v>114.627248118</v>
          </cell>
          <cell r="L1765" t="str">
            <v>-28.823107286</v>
          </cell>
          <cell r="M1765" t="str">
            <v>H</v>
          </cell>
          <cell r="N1765" t="str">
            <v>147</v>
          </cell>
          <cell r="O1765" t="str">
            <v>GLENDINNING</v>
          </cell>
          <cell r="P1765" t="str">
            <v>RD</v>
          </cell>
          <cell r="R1765" t="str">
            <v>TARCOOLA BEACH</v>
          </cell>
          <cell r="S1765" t="str">
            <v>6530</v>
          </cell>
        </row>
        <row r="1766">
          <cell r="B1766" t="str">
            <v>S3004359</v>
          </cell>
          <cell r="C1766" t="str">
            <v>SPS 2 KURNANGKI FITZROY CROSSING</v>
          </cell>
          <cell r="D1766" t="str">
            <v>A- actual</v>
          </cell>
          <cell r="E1766" t="str">
            <v>PS- pump station</v>
          </cell>
          <cell r="F1766" t="str">
            <v>FITZROY CROSSING</v>
          </cell>
          <cell r="G1766" t="str">
            <v>2</v>
          </cell>
          <cell r="H1766" t="str">
            <v>W- water corporation</v>
          </cell>
          <cell r="J1766" t="str">
            <v>20131001</v>
          </cell>
          <cell r="K1766" t="str">
            <v>125.566752329</v>
          </cell>
          <cell r="L1766" t="str">
            <v>-18.2008511823</v>
          </cell>
          <cell r="M1766" t="str">
            <v>L</v>
          </cell>
          <cell r="N1766" t="str">
            <v>213</v>
          </cell>
          <cell r="O1766" t="str">
            <v>GREAT NORTHERN</v>
          </cell>
          <cell r="P1766" t="str">
            <v>HWY</v>
          </cell>
          <cell r="R1766" t="str">
            <v>FITZROY CROSSING</v>
          </cell>
          <cell r="S1766" t="str">
            <v>6765</v>
          </cell>
        </row>
        <row r="1767">
          <cell r="D1767" t="str">
            <v>A- actual</v>
          </cell>
          <cell r="E1767" t="str">
            <v>PS- pump station</v>
          </cell>
          <cell r="H1767" t="str">
            <v>P- private</v>
          </cell>
          <cell r="J1767" t="str">
            <v>20100423</v>
          </cell>
          <cell r="K1767" t="str">
            <v>115.10345817</v>
          </cell>
          <cell r="L1767" t="str">
            <v>-33.84928202</v>
          </cell>
          <cell r="M1767" t="str">
            <v>H</v>
          </cell>
          <cell r="N1767" t="str">
            <v>3</v>
          </cell>
          <cell r="O1767" t="str">
            <v>PEAKE</v>
          </cell>
          <cell r="P1767" t="str">
            <v>ST</v>
          </cell>
          <cell r="R1767" t="str">
            <v>COWARAMUP</v>
          </cell>
          <cell r="S1767" t="str">
            <v>6284</v>
          </cell>
        </row>
        <row r="1768">
          <cell r="D1768" t="str">
            <v>P- proposed</v>
          </cell>
          <cell r="E1768" t="str">
            <v>PS- pump station</v>
          </cell>
          <cell r="H1768" t="str">
            <v>W- water corporation</v>
          </cell>
          <cell r="J1768" t="str">
            <v>18000101</v>
          </cell>
          <cell r="K1768" t="str">
            <v>115.041831762</v>
          </cell>
          <cell r="L1768" t="str">
            <v>-30.3082264328</v>
          </cell>
          <cell r="M1768" t="str">
            <v>H</v>
          </cell>
          <cell r="N1768" t="str">
            <v>27</v>
          </cell>
          <cell r="O1768" t="str">
            <v>SANDLAND</v>
          </cell>
          <cell r="P1768" t="str">
            <v>ST</v>
          </cell>
          <cell r="R1768" t="str">
            <v>JURIEN BAY</v>
          </cell>
          <cell r="S1768" t="str">
            <v>6516</v>
          </cell>
        </row>
        <row r="1769">
          <cell r="B1769" t="str">
            <v>S2030576</v>
          </cell>
          <cell r="C1769" t="str">
            <v>SPS PARTRIDGE ST BRABHAM</v>
          </cell>
          <cell r="D1769" t="str">
            <v>A- actual</v>
          </cell>
          <cell r="E1769" t="str">
            <v>PS- pump station</v>
          </cell>
          <cell r="F1769" t="str">
            <v>PARTRIDGE ST</v>
          </cell>
          <cell r="G1769" t="str">
            <v>902-66</v>
          </cell>
          <cell r="H1769" t="str">
            <v>W- water corporation</v>
          </cell>
          <cell r="J1769" t="str">
            <v>20131030</v>
          </cell>
          <cell r="K1769" t="str">
            <v>115.96878023</v>
          </cell>
          <cell r="L1769" t="str">
            <v>-31.82518265</v>
          </cell>
          <cell r="M1769" t="str">
            <v>H</v>
          </cell>
          <cell r="N1769" t="str">
            <v>55</v>
          </cell>
          <cell r="O1769" t="str">
            <v>PARTRIDGE</v>
          </cell>
          <cell r="P1769" t="str">
            <v>ST</v>
          </cell>
          <cell r="R1769" t="str">
            <v>BRABHAM</v>
          </cell>
          <cell r="S1769" t="str">
            <v>6055</v>
          </cell>
        </row>
        <row r="1770">
          <cell r="B1770" t="str">
            <v>S2037673</v>
          </cell>
          <cell r="C1770" t="str">
            <v>SPS STOKES LA DAGLISH</v>
          </cell>
          <cell r="D1770" t="str">
            <v>A- actual</v>
          </cell>
          <cell r="E1770" t="str">
            <v>PS- pump station</v>
          </cell>
          <cell r="F1770" t="str">
            <v>STOKES LANE</v>
          </cell>
          <cell r="G1770" t="str">
            <v>067-013</v>
          </cell>
          <cell r="H1770" t="str">
            <v>W- water corporation</v>
          </cell>
          <cell r="J1770" t="str">
            <v>20140801</v>
          </cell>
          <cell r="K1770" t="str">
            <v>115.80530344</v>
          </cell>
          <cell r="L1770" t="str">
            <v>-31.9548880896</v>
          </cell>
          <cell r="M1770" t="str">
            <v>H</v>
          </cell>
          <cell r="N1770" t="str">
            <v>20</v>
          </cell>
          <cell r="O1770" t="str">
            <v>NASH</v>
          </cell>
          <cell r="P1770" t="str">
            <v>ST</v>
          </cell>
          <cell r="R1770" t="str">
            <v>DAGLISH</v>
          </cell>
          <cell r="S1770" t="str">
            <v>6008</v>
          </cell>
        </row>
        <row r="1771">
          <cell r="D1771" t="str">
            <v>P- proposed</v>
          </cell>
          <cell r="E1771" t="str">
            <v>PS- pump station</v>
          </cell>
          <cell r="H1771" t="str">
            <v>W- water corporation</v>
          </cell>
          <cell r="J1771" t="str">
            <v>18000101</v>
          </cell>
          <cell r="K1771" t="str">
            <v>115.65918538</v>
          </cell>
          <cell r="L1771" t="str">
            <v>-31.60535165</v>
          </cell>
          <cell r="M1771" t="str">
            <v>H</v>
          </cell>
          <cell r="N1771" t="str">
            <v>332</v>
          </cell>
          <cell r="O1771" t="str">
            <v>SHOREHAVEN</v>
          </cell>
          <cell r="P1771" t="str">
            <v>BVD</v>
          </cell>
          <cell r="R1771" t="str">
            <v>ALKIMOS</v>
          </cell>
          <cell r="S1771" t="str">
            <v>6038</v>
          </cell>
        </row>
        <row r="1772">
          <cell r="D1772" t="str">
            <v>A- actual</v>
          </cell>
          <cell r="E1772" t="str">
            <v>PS- pump station</v>
          </cell>
          <cell r="H1772" t="str">
            <v>P- private</v>
          </cell>
          <cell r="J1772" t="str">
            <v>20131216</v>
          </cell>
          <cell r="K1772" t="str">
            <v>115.771049015</v>
          </cell>
          <cell r="L1772" t="str">
            <v>-32.007653036</v>
          </cell>
          <cell r="M1772" t="str">
            <v>L</v>
          </cell>
          <cell r="N1772" t="str">
            <v>672</v>
          </cell>
          <cell r="O1772" t="str">
            <v>JOHNSON</v>
          </cell>
          <cell r="P1772" t="str">
            <v>PDE</v>
          </cell>
          <cell r="R1772" t="str">
            <v>MOSMAN PARK</v>
          </cell>
          <cell r="S1772" t="str">
            <v>6012</v>
          </cell>
        </row>
        <row r="1773">
          <cell r="D1773" t="str">
            <v>A- actual</v>
          </cell>
          <cell r="E1773" t="str">
            <v>PS- pump station</v>
          </cell>
          <cell r="H1773" t="str">
            <v>P- private</v>
          </cell>
          <cell r="J1773" t="str">
            <v>20131203</v>
          </cell>
          <cell r="K1773" t="str">
            <v>115.623334581</v>
          </cell>
          <cell r="L1773" t="str">
            <v>-33.3454795518</v>
          </cell>
          <cell r="M1773" t="str">
            <v>H</v>
          </cell>
          <cell r="N1773" t="str">
            <v>14</v>
          </cell>
          <cell r="O1773" t="str">
            <v>BIRCH</v>
          </cell>
          <cell r="P1773" t="str">
            <v>ST</v>
          </cell>
          <cell r="R1773" t="str">
            <v>SOUTH BUNBURY</v>
          </cell>
          <cell r="S1773" t="str">
            <v>6230</v>
          </cell>
        </row>
        <row r="1774">
          <cell r="D1774" t="str">
            <v>P- proposed</v>
          </cell>
          <cell r="E1774" t="str">
            <v>PS- pump station</v>
          </cell>
          <cell r="F1774" t="str">
            <v>NEERABUP</v>
          </cell>
          <cell r="G1774" t="str">
            <v>902-68</v>
          </cell>
          <cell r="H1774" t="str">
            <v>W- water corporation</v>
          </cell>
          <cell r="J1774" t="str">
            <v>18000101</v>
          </cell>
          <cell r="K1774" t="str">
            <v>115.81305932</v>
          </cell>
          <cell r="L1774" t="str">
            <v>-31.694547</v>
          </cell>
          <cell r="M1774" t="str">
            <v>H</v>
          </cell>
          <cell r="N1774" t="str">
            <v>8</v>
          </cell>
          <cell r="O1774" t="str">
            <v>AZOLLA</v>
          </cell>
          <cell r="P1774" t="str">
            <v>ST</v>
          </cell>
          <cell r="R1774" t="str">
            <v>BANKSIA GROVE</v>
          </cell>
          <cell r="S1774" t="str">
            <v>6031</v>
          </cell>
        </row>
        <row r="1775">
          <cell r="B1775" t="str">
            <v>S0028320</v>
          </cell>
          <cell r="C1775" t="str">
            <v>SPS CULLACABARDEE</v>
          </cell>
          <cell r="D1775" t="str">
            <v>A- actual</v>
          </cell>
          <cell r="E1775" t="str">
            <v>PS- pump station</v>
          </cell>
          <cell r="F1775" t="str">
            <v>CULLACABARDEE</v>
          </cell>
          <cell r="H1775" t="str">
            <v>P- private</v>
          </cell>
          <cell r="J1775" t="str">
            <v>19810313</v>
          </cell>
          <cell r="K1775" t="str">
            <v>115.911150893</v>
          </cell>
          <cell r="L1775" t="str">
            <v>-31.824262022</v>
          </cell>
          <cell r="M1775" t="str">
            <v>H</v>
          </cell>
          <cell r="N1775" t="str">
            <v>16</v>
          </cell>
          <cell r="O1775" t="str">
            <v>ARCHER</v>
          </cell>
          <cell r="P1775" t="str">
            <v>AV</v>
          </cell>
          <cell r="R1775" t="str">
            <v>CULLACABARDEE</v>
          </cell>
          <cell r="S1775" t="str">
            <v>6067</v>
          </cell>
        </row>
        <row r="1776">
          <cell r="B1776" t="str">
            <v>S2023488</v>
          </cell>
          <cell r="C1776" t="str">
            <v>SPS CRESSWELL RD BYPASS DIANELLA</v>
          </cell>
          <cell r="D1776" t="str">
            <v>A- actual</v>
          </cell>
          <cell r="E1776" t="str">
            <v>PS- pump station</v>
          </cell>
          <cell r="F1776" t="str">
            <v>BYPASS</v>
          </cell>
          <cell r="H1776" t="str">
            <v>W- water corporation</v>
          </cell>
          <cell r="J1776" t="str">
            <v>20100201</v>
          </cell>
          <cell r="K1776" t="str">
            <v>115.863904089</v>
          </cell>
          <cell r="L1776" t="str">
            <v>-31.89960519</v>
          </cell>
          <cell r="M1776" t="str">
            <v>H</v>
          </cell>
          <cell r="N1776" t="str">
            <v>140</v>
          </cell>
          <cell r="O1776" t="str">
            <v>CRESSWELL</v>
          </cell>
          <cell r="P1776" t="str">
            <v>RD</v>
          </cell>
          <cell r="R1776" t="str">
            <v>DIANELLA</v>
          </cell>
          <cell r="S1776" t="str">
            <v>6059</v>
          </cell>
        </row>
        <row r="1777">
          <cell r="D1777" t="str">
            <v>A- actual</v>
          </cell>
          <cell r="E1777" t="str">
            <v>PS- pump station</v>
          </cell>
          <cell r="F1777" t="str">
            <v>CLUB HAMILTON</v>
          </cell>
          <cell r="H1777" t="str">
            <v>P- private</v>
          </cell>
          <cell r="J1777" t="str">
            <v>20120716</v>
          </cell>
          <cell r="K1777" t="str">
            <v>118.5935958</v>
          </cell>
          <cell r="L1777" t="str">
            <v>-20.400286735</v>
          </cell>
          <cell r="M1777" t="str">
            <v>H</v>
          </cell>
          <cell r="N1777" t="str">
            <v>77</v>
          </cell>
          <cell r="O1777" t="str">
            <v>HAMILTON</v>
          </cell>
          <cell r="P1777" t="str">
            <v>RD</v>
          </cell>
          <cell r="R1777" t="str">
            <v>SOUTH HEDLAND</v>
          </cell>
          <cell r="S1777" t="str">
            <v>6722</v>
          </cell>
        </row>
        <row r="1778">
          <cell r="B1778" t="str">
            <v>S2019730</v>
          </cell>
          <cell r="C1778" t="str">
            <v>LPPS H13B FAIRBAIRN ST MOSMAN PK</v>
          </cell>
          <cell r="D1778" t="str">
            <v>A- actual</v>
          </cell>
          <cell r="E1778" t="str">
            <v>LPPS- low pressure pump station</v>
          </cell>
          <cell r="F1778" t="str">
            <v>FAIRBAIRN ST</v>
          </cell>
          <cell r="G1778" t="str">
            <v>13B</v>
          </cell>
          <cell r="H1778" t="str">
            <v>W- water corporation</v>
          </cell>
          <cell r="J1778" t="str">
            <v>20101201</v>
          </cell>
          <cell r="K1778" t="str">
            <v>115.768308767</v>
          </cell>
          <cell r="L1778" t="str">
            <v>-32.0213060666</v>
          </cell>
          <cell r="M1778" t="str">
            <v>H</v>
          </cell>
          <cell r="N1778" t="str">
            <v>13</v>
          </cell>
          <cell r="O1778" t="str">
            <v>FAIRBAIRN</v>
          </cell>
          <cell r="P1778" t="str">
            <v>ST</v>
          </cell>
          <cell r="R1778" t="str">
            <v>MOSMAN PARK</v>
          </cell>
          <cell r="S1778" t="str">
            <v>6012</v>
          </cell>
        </row>
        <row r="1779">
          <cell r="B1779" t="str">
            <v>S2030759</v>
          </cell>
          <cell r="C1779" t="str">
            <v>SPS PARK ST HENLEY BROOK</v>
          </cell>
          <cell r="D1779" t="str">
            <v>A- actual</v>
          </cell>
          <cell r="E1779" t="str">
            <v>PS- pump station</v>
          </cell>
          <cell r="F1779" t="str">
            <v>PARK ST</v>
          </cell>
          <cell r="G1779" t="str">
            <v>902-67</v>
          </cell>
          <cell r="H1779" t="str">
            <v>W- water corporation</v>
          </cell>
          <cell r="J1779" t="str">
            <v>20131113</v>
          </cell>
          <cell r="K1779" t="str">
            <v>115.97749242</v>
          </cell>
          <cell r="L1779" t="str">
            <v>-31.81975838</v>
          </cell>
          <cell r="M1779" t="str">
            <v>H</v>
          </cell>
          <cell r="N1779" t="str">
            <v>118</v>
          </cell>
          <cell r="O1779" t="str">
            <v>PALFREY</v>
          </cell>
          <cell r="P1779" t="str">
            <v>ST</v>
          </cell>
          <cell r="R1779" t="str">
            <v>BRABHAM</v>
          </cell>
          <cell r="S1779" t="str">
            <v>6055</v>
          </cell>
        </row>
        <row r="1780">
          <cell r="D1780" t="str">
            <v>A- actual</v>
          </cell>
          <cell r="E1780" t="str">
            <v>PS- pump station</v>
          </cell>
          <cell r="H1780" t="str">
            <v>P- private</v>
          </cell>
          <cell r="J1780" t="str">
            <v>20140430</v>
          </cell>
          <cell r="K1780" t="str">
            <v>115.08484476</v>
          </cell>
          <cell r="L1780" t="str">
            <v>-33.9733134016</v>
          </cell>
          <cell r="M1780" t="str">
            <v>H</v>
          </cell>
          <cell r="N1780" t="str">
            <v>2</v>
          </cell>
          <cell r="O1780" t="str">
            <v>ROSA BROOK</v>
          </cell>
          <cell r="P1780" t="str">
            <v>RD</v>
          </cell>
          <cell r="R1780" t="str">
            <v>MARGARET RIVER</v>
          </cell>
          <cell r="S1780" t="str">
            <v>6285</v>
          </cell>
        </row>
        <row r="1781">
          <cell r="B1781" t="str">
            <v>S3004611</v>
          </cell>
          <cell r="C1781" t="str">
            <v>SPS 9 RESOURCE RD KARRATHA</v>
          </cell>
          <cell r="D1781" t="str">
            <v>A- actual</v>
          </cell>
          <cell r="E1781" t="str">
            <v>PS- pump station</v>
          </cell>
          <cell r="F1781" t="str">
            <v>KARRATHA</v>
          </cell>
          <cell r="G1781" t="str">
            <v>9</v>
          </cell>
          <cell r="H1781" t="str">
            <v>W- water corporation</v>
          </cell>
          <cell r="J1781" t="str">
            <v>20140120</v>
          </cell>
          <cell r="K1781" t="str">
            <v>116.76739504</v>
          </cell>
          <cell r="L1781" t="str">
            <v>-20.74173709</v>
          </cell>
          <cell r="M1781" t="str">
            <v>L</v>
          </cell>
          <cell r="N1781" t="str">
            <v>1002</v>
          </cell>
          <cell r="O1781" t="str">
            <v>RESOURCE</v>
          </cell>
          <cell r="P1781" t="str">
            <v>RD</v>
          </cell>
          <cell r="R1781" t="str">
            <v>GAP RIDGE</v>
          </cell>
          <cell r="S1781" t="str">
            <v>6714</v>
          </cell>
        </row>
        <row r="1782">
          <cell r="D1782" t="str">
            <v>A- actual</v>
          </cell>
          <cell r="E1782" t="str">
            <v>PS- pump station</v>
          </cell>
          <cell r="H1782" t="str">
            <v>P- private</v>
          </cell>
          <cell r="J1782" t="str">
            <v>20120601</v>
          </cell>
          <cell r="K1782" t="str">
            <v>115.661221747</v>
          </cell>
          <cell r="L1782" t="str">
            <v>-33.35571648</v>
          </cell>
          <cell r="M1782" t="str">
            <v>H</v>
          </cell>
          <cell r="N1782" t="str">
            <v>2</v>
          </cell>
          <cell r="O1782" t="str">
            <v>HALES</v>
          </cell>
          <cell r="P1782" t="str">
            <v>ST</v>
          </cell>
          <cell r="R1782" t="str">
            <v>CAREY PARK</v>
          </cell>
          <cell r="S1782" t="str">
            <v>6230</v>
          </cell>
        </row>
        <row r="1783">
          <cell r="D1783" t="str">
            <v>A- actual</v>
          </cell>
          <cell r="E1783" t="str">
            <v>PS- pump station</v>
          </cell>
          <cell r="H1783" t="str">
            <v>P- private</v>
          </cell>
          <cell r="J1783" t="str">
            <v>18000101</v>
          </cell>
          <cell r="K1783" t="str">
            <v>115.744902138</v>
          </cell>
          <cell r="L1783" t="str">
            <v>-32.486071015</v>
          </cell>
          <cell r="M1783" t="str">
            <v>H</v>
          </cell>
          <cell r="N1783" t="str">
            <v>38</v>
          </cell>
          <cell r="O1783" t="str">
            <v>ORESTES</v>
          </cell>
          <cell r="P1783" t="str">
            <v>ST</v>
          </cell>
          <cell r="R1783" t="str">
            <v>SAN REMO</v>
          </cell>
          <cell r="S1783" t="str">
            <v>6210</v>
          </cell>
        </row>
        <row r="1784">
          <cell r="D1784" t="str">
            <v>A- actual</v>
          </cell>
          <cell r="E1784" t="str">
            <v>PS- pump station</v>
          </cell>
          <cell r="H1784" t="str">
            <v>P- private</v>
          </cell>
          <cell r="J1784" t="str">
            <v>20140718</v>
          </cell>
          <cell r="K1784" t="str">
            <v>115.753034231</v>
          </cell>
          <cell r="L1784" t="str">
            <v>-31.8680423316</v>
          </cell>
          <cell r="M1784" t="str">
            <v>H</v>
          </cell>
          <cell r="N1784" t="str">
            <v>279</v>
          </cell>
          <cell r="O1784" t="str">
            <v>WEST COAST</v>
          </cell>
          <cell r="P1784" t="str">
            <v>DR</v>
          </cell>
          <cell r="R1784" t="str">
            <v>NORTH BEACH</v>
          </cell>
          <cell r="S1784" t="str">
            <v>6020</v>
          </cell>
        </row>
        <row r="1785">
          <cell r="D1785" t="str">
            <v>A- actual</v>
          </cell>
          <cell r="E1785" t="str">
            <v>PS- pump station</v>
          </cell>
          <cell r="H1785" t="str">
            <v>P- private</v>
          </cell>
          <cell r="J1785" t="str">
            <v>20140825</v>
          </cell>
          <cell r="K1785" t="str">
            <v>116.059118754</v>
          </cell>
          <cell r="L1785" t="str">
            <v>-31.970958572</v>
          </cell>
          <cell r="M1785" t="str">
            <v>H</v>
          </cell>
          <cell r="N1785" t="str">
            <v>6</v>
          </cell>
          <cell r="O1785" t="str">
            <v>HAYNES</v>
          </cell>
          <cell r="P1785" t="str">
            <v>ST</v>
          </cell>
          <cell r="R1785" t="str">
            <v>KALAMUNDA</v>
          </cell>
          <cell r="S1785" t="str">
            <v>6076</v>
          </cell>
        </row>
        <row r="1786">
          <cell r="B1786" t="str">
            <v>S7014338</v>
          </cell>
          <cell r="C1786" t="str">
            <v>SPS LYNCH ST HYDEN</v>
          </cell>
          <cell r="D1786" t="str">
            <v>A- actual</v>
          </cell>
          <cell r="E1786" t="str">
            <v>PS- pump station</v>
          </cell>
          <cell r="F1786" t="str">
            <v>LYNCH ST</v>
          </cell>
          <cell r="G1786" t="str">
            <v>1</v>
          </cell>
          <cell r="H1786" t="str">
            <v>W- water corporation</v>
          </cell>
          <cell r="J1786" t="str">
            <v>20140501</v>
          </cell>
          <cell r="K1786" t="str">
            <v>118.863898523</v>
          </cell>
          <cell r="L1786" t="str">
            <v>-32.447767616</v>
          </cell>
          <cell r="M1786" t="str">
            <v>H</v>
          </cell>
          <cell r="N1786" t="str">
            <v>7</v>
          </cell>
          <cell r="O1786" t="str">
            <v>NAUGHTON</v>
          </cell>
          <cell r="P1786" t="str">
            <v>ST</v>
          </cell>
          <cell r="R1786" t="str">
            <v>HYDEN</v>
          </cell>
          <cell r="S1786" t="str">
            <v>6359</v>
          </cell>
        </row>
        <row r="1787">
          <cell r="B1787" t="str">
            <v>S3002149</v>
          </cell>
          <cell r="C1787" t="str">
            <v>SPS 2 KURRAJONG LOOP DERBY</v>
          </cell>
          <cell r="D1787" t="str">
            <v>A- actual</v>
          </cell>
          <cell r="E1787" t="str">
            <v>PS- pump station</v>
          </cell>
          <cell r="F1787" t="str">
            <v>KURRAJONG LOOP</v>
          </cell>
          <cell r="G1787" t="str">
            <v>2</v>
          </cell>
          <cell r="H1787" t="str">
            <v>W- water corporation</v>
          </cell>
          <cell r="J1787" t="str">
            <v>20140201</v>
          </cell>
          <cell r="K1787" t="str">
            <v>123.637089</v>
          </cell>
          <cell r="L1787" t="str">
            <v>-17.3241497</v>
          </cell>
          <cell r="M1787" t="str">
            <v>H</v>
          </cell>
          <cell r="N1787" t="str">
            <v>20</v>
          </cell>
          <cell r="O1787" t="str">
            <v>KURRAJONG</v>
          </cell>
          <cell r="P1787" t="str">
            <v>LOOP</v>
          </cell>
          <cell r="R1787" t="str">
            <v>DERBY</v>
          </cell>
          <cell r="S1787" t="str">
            <v>6728</v>
          </cell>
        </row>
        <row r="1788">
          <cell r="D1788" t="str">
            <v>P- proposed</v>
          </cell>
          <cell r="E1788" t="str">
            <v>PS- pump station</v>
          </cell>
          <cell r="H1788" t="str">
            <v>W- water corporation</v>
          </cell>
          <cell r="J1788" t="str">
            <v>18000101</v>
          </cell>
          <cell r="K1788" t="str">
            <v>115.78898058</v>
          </cell>
          <cell r="L1788" t="str">
            <v>-32.20282879</v>
          </cell>
          <cell r="M1788" t="str">
            <v>H</v>
          </cell>
          <cell r="N1788" t="str">
            <v>8</v>
          </cell>
          <cell r="O1788" t="str">
            <v>HOYLE</v>
          </cell>
          <cell r="P1788" t="str">
            <v>RD</v>
          </cell>
          <cell r="R1788" t="str">
            <v>HOPE VALLEY</v>
          </cell>
          <cell r="S1788" t="str">
            <v>6165</v>
          </cell>
        </row>
        <row r="1789">
          <cell r="B1789" t="str">
            <v>S2037206</v>
          </cell>
          <cell r="C1789" t="str">
            <v>SPS DESTINY WAY WANGARA</v>
          </cell>
          <cell r="D1789" t="str">
            <v>A- actual</v>
          </cell>
          <cell r="E1789" t="str">
            <v>PS- pump station</v>
          </cell>
          <cell r="F1789" t="str">
            <v>GNANGARA</v>
          </cell>
          <cell r="G1789" t="str">
            <v>028-09</v>
          </cell>
          <cell r="H1789" t="str">
            <v>W- water corporation</v>
          </cell>
          <cell r="J1789" t="str">
            <v>20140902</v>
          </cell>
          <cell r="K1789" t="str">
            <v>115.854622059</v>
          </cell>
          <cell r="L1789" t="str">
            <v>-31.7927835576</v>
          </cell>
          <cell r="M1789" t="str">
            <v>H</v>
          </cell>
          <cell r="N1789" t="str">
            <v>52</v>
          </cell>
          <cell r="O1789" t="str">
            <v>DESTINY</v>
          </cell>
          <cell r="P1789" t="str">
            <v>WAY</v>
          </cell>
          <cell r="R1789" t="str">
            <v>WANGARA</v>
          </cell>
          <cell r="S1789" t="str">
            <v>6065</v>
          </cell>
        </row>
        <row r="1790">
          <cell r="D1790" t="str">
            <v>P- proposed</v>
          </cell>
          <cell r="E1790" t="str">
            <v>PS- pump station</v>
          </cell>
          <cell r="H1790" t="str">
            <v>W- water corporation</v>
          </cell>
          <cell r="J1790" t="str">
            <v>18000101</v>
          </cell>
          <cell r="K1790" t="str">
            <v>116.01044926</v>
          </cell>
          <cell r="L1790" t="str">
            <v>-32.07204179</v>
          </cell>
          <cell r="M1790" t="str">
            <v>H</v>
          </cell>
          <cell r="N1790" t="str">
            <v>129</v>
          </cell>
          <cell r="O1790" t="str">
            <v>MILLS</v>
          </cell>
          <cell r="P1790" t="str">
            <v>RD</v>
          </cell>
          <cell r="Q1790" t="str">
            <v>W</v>
          </cell>
          <cell r="R1790" t="str">
            <v>MARTIN</v>
          </cell>
          <cell r="S1790" t="str">
            <v>6110</v>
          </cell>
        </row>
        <row r="1791">
          <cell r="B1791" t="str">
            <v>S7010655</v>
          </cell>
          <cell r="C1791" t="str">
            <v>SPS SHIRLEY ST LOWER KING</v>
          </cell>
          <cell r="D1791" t="str">
            <v>A- actual</v>
          </cell>
          <cell r="E1791" t="str">
            <v>PS- pump station</v>
          </cell>
          <cell r="F1791" t="str">
            <v>BAYONET HEAD</v>
          </cell>
          <cell r="G1791" t="str">
            <v>34</v>
          </cell>
          <cell r="H1791" t="str">
            <v>W- water corporation</v>
          </cell>
          <cell r="J1791" t="str">
            <v>20131025</v>
          </cell>
          <cell r="K1791" t="str">
            <v>117.943324943</v>
          </cell>
          <cell r="L1791" t="str">
            <v>-34.957325732</v>
          </cell>
          <cell r="M1791" t="str">
            <v>H</v>
          </cell>
          <cell r="N1791" t="str">
            <v>6</v>
          </cell>
          <cell r="O1791" t="str">
            <v>SHIRLEY</v>
          </cell>
          <cell r="P1791" t="str">
            <v>ST</v>
          </cell>
          <cell r="R1791" t="str">
            <v>LOWER KING</v>
          </cell>
          <cell r="S1791" t="str">
            <v>6330</v>
          </cell>
        </row>
        <row r="1792">
          <cell r="B1792" t="str">
            <v>S4004828</v>
          </cell>
          <cell r="C1792" t="str">
            <v>SPS NEW OLIVIA TCE CARNARVON</v>
          </cell>
          <cell r="D1792" t="str">
            <v>A- actual</v>
          </cell>
          <cell r="E1792" t="str">
            <v>PS- pump station</v>
          </cell>
          <cell r="F1792" t="str">
            <v>OLIVIA TCE</v>
          </cell>
          <cell r="G1792" t="str">
            <v>4</v>
          </cell>
          <cell r="H1792" t="str">
            <v>W- water corporation</v>
          </cell>
          <cell r="J1792" t="str">
            <v>20100701</v>
          </cell>
          <cell r="K1792" t="str">
            <v>113.657995554</v>
          </cell>
          <cell r="L1792" t="str">
            <v>-24.8816727424</v>
          </cell>
          <cell r="M1792" t="str">
            <v>H</v>
          </cell>
          <cell r="N1792" t="str">
            <v>8</v>
          </cell>
          <cell r="O1792" t="str">
            <v>OLIVIA</v>
          </cell>
          <cell r="P1792" t="str">
            <v>TCE</v>
          </cell>
          <cell r="R1792" t="str">
            <v>MORGANTOWN</v>
          </cell>
          <cell r="S1792" t="str">
            <v>6701</v>
          </cell>
        </row>
        <row r="1793">
          <cell r="D1793" t="str">
            <v>P- proposed</v>
          </cell>
          <cell r="E1793" t="str">
            <v>PS- pump station</v>
          </cell>
          <cell r="F1793" t="str">
            <v>ARMADALE</v>
          </cell>
          <cell r="G1793" t="str">
            <v>003-04</v>
          </cell>
          <cell r="H1793" t="str">
            <v>W- water corporation</v>
          </cell>
          <cell r="J1793" t="str">
            <v>18000101</v>
          </cell>
          <cell r="K1793" t="str">
            <v>115.97446136</v>
          </cell>
          <cell r="L1793" t="str">
            <v>-32.156956742</v>
          </cell>
          <cell r="M1793" t="str">
            <v>L</v>
          </cell>
          <cell r="N1793" t="str">
            <v>105</v>
          </cell>
          <cell r="O1793" t="str">
            <v>WOLLASTON</v>
          </cell>
          <cell r="P1793" t="str">
            <v>AV</v>
          </cell>
          <cell r="R1793" t="str">
            <v>HAYNES</v>
          </cell>
          <cell r="S1793" t="str">
            <v>6112</v>
          </cell>
        </row>
        <row r="1794">
          <cell r="B1794" t="str">
            <v>S8014656</v>
          </cell>
          <cell r="C1794" t="str">
            <v>SPS FOX RD ABBEY</v>
          </cell>
          <cell r="D1794" t="str">
            <v>A- actual</v>
          </cell>
          <cell r="E1794" t="str">
            <v>PS- pump station</v>
          </cell>
          <cell r="F1794" t="str">
            <v>FOX RD</v>
          </cell>
          <cell r="G1794" t="str">
            <v>20</v>
          </cell>
          <cell r="H1794" t="str">
            <v>W- water corporation</v>
          </cell>
          <cell r="J1794" t="str">
            <v>20140801</v>
          </cell>
          <cell r="K1794" t="str">
            <v>115.24843676</v>
          </cell>
          <cell r="L1794" t="str">
            <v>-33.67039204</v>
          </cell>
          <cell r="M1794" t="str">
            <v>L</v>
          </cell>
          <cell r="N1794" t="str">
            <v>600</v>
          </cell>
          <cell r="O1794" t="str">
            <v>BUSSELL</v>
          </cell>
          <cell r="P1794" t="str">
            <v>HWY</v>
          </cell>
          <cell r="R1794" t="str">
            <v>ABBEY</v>
          </cell>
          <cell r="S1794" t="str">
            <v>6280</v>
          </cell>
        </row>
        <row r="1795">
          <cell r="B1795" t="str">
            <v>S2019021</v>
          </cell>
          <cell r="C1795" t="str">
            <v>SPS BALFOUR ST SOUTHERN RIVER</v>
          </cell>
          <cell r="D1795" t="str">
            <v>A- actual</v>
          </cell>
          <cell r="E1795" t="str">
            <v>PS- pump station</v>
          </cell>
          <cell r="F1795" t="str">
            <v>BALLANUP</v>
          </cell>
          <cell r="G1795" t="str">
            <v>175-03</v>
          </cell>
          <cell r="H1795" t="str">
            <v>W- water corporation</v>
          </cell>
          <cell r="J1795" t="str">
            <v>20141001</v>
          </cell>
          <cell r="K1795" t="str">
            <v>115.951514122</v>
          </cell>
          <cell r="L1795" t="str">
            <v>-32.1003307363</v>
          </cell>
          <cell r="M1795" t="str">
            <v>L</v>
          </cell>
          <cell r="N1795" t="str">
            <v>8004</v>
          </cell>
          <cell r="O1795" t="str">
            <v>SELBOURNE</v>
          </cell>
          <cell r="P1795" t="str">
            <v>RD</v>
          </cell>
          <cell r="R1795" t="str">
            <v>SOUTHERN RIVER</v>
          </cell>
          <cell r="S1795" t="str">
            <v>6110</v>
          </cell>
        </row>
        <row r="1796">
          <cell r="B1796" t="str">
            <v>S3004358</v>
          </cell>
          <cell r="C1796" t="str">
            <v>SPS 1A SEARIPPLE RD KARRATHA</v>
          </cell>
          <cell r="D1796" t="str">
            <v>A- actual</v>
          </cell>
          <cell r="E1796" t="str">
            <v>PS- pump station</v>
          </cell>
          <cell r="F1796" t="str">
            <v>SEARIPPLE RD</v>
          </cell>
          <cell r="G1796" t="str">
            <v>1A</v>
          </cell>
          <cell r="H1796" t="str">
            <v>W- water corporation</v>
          </cell>
          <cell r="J1796" t="str">
            <v>20141101</v>
          </cell>
          <cell r="K1796" t="str">
            <v>116.859771403</v>
          </cell>
          <cell r="L1796" t="str">
            <v>-20.727373362</v>
          </cell>
          <cell r="M1796" t="str">
            <v>H</v>
          </cell>
          <cell r="N1796" t="str">
            <v>1077</v>
          </cell>
          <cell r="O1796" t="str">
            <v>SEARIPPLE</v>
          </cell>
          <cell r="P1796" t="str">
            <v>RD</v>
          </cell>
          <cell r="R1796" t="str">
            <v>BULGARRA</v>
          </cell>
          <cell r="S1796" t="str">
            <v>6714</v>
          </cell>
        </row>
        <row r="1797">
          <cell r="B1797" t="str">
            <v>S3004395</v>
          </cell>
          <cell r="C1797" t="str">
            <v>SPS 1A WELMAN RD HALLS CREEK</v>
          </cell>
          <cell r="D1797" t="str">
            <v>A- actual</v>
          </cell>
          <cell r="E1797" t="str">
            <v>PS- pump station</v>
          </cell>
          <cell r="F1797" t="str">
            <v>WELLMAN RD</v>
          </cell>
          <cell r="G1797" t="str">
            <v>1A</v>
          </cell>
          <cell r="H1797" t="str">
            <v>W- water corporation</v>
          </cell>
          <cell r="J1797" t="str">
            <v>20140801</v>
          </cell>
          <cell r="K1797" t="str">
            <v>127.680148664</v>
          </cell>
          <cell r="L1797" t="str">
            <v>-18.225740729</v>
          </cell>
          <cell r="M1797" t="str">
            <v>H</v>
          </cell>
          <cell r="N1797" t="str">
            <v>64</v>
          </cell>
          <cell r="O1797" t="str">
            <v>WELMAN</v>
          </cell>
          <cell r="P1797" t="str">
            <v>RD</v>
          </cell>
          <cell r="R1797" t="str">
            <v>HALLS CREEK</v>
          </cell>
          <cell r="S1797" t="str">
            <v>6770</v>
          </cell>
        </row>
        <row r="1798">
          <cell r="B1798" t="str">
            <v>S3004357</v>
          </cell>
          <cell r="C1798" t="str">
            <v>SPS 3 LUNDJA COMMUNITY HALLS CREEK</v>
          </cell>
          <cell r="D1798" t="str">
            <v>A- actual</v>
          </cell>
          <cell r="E1798" t="str">
            <v>PS- pump station</v>
          </cell>
          <cell r="F1798" t="str">
            <v>HALLS CREEK</v>
          </cell>
          <cell r="G1798" t="str">
            <v>No. 3</v>
          </cell>
          <cell r="H1798" t="str">
            <v>W- water corporation</v>
          </cell>
          <cell r="J1798" t="str">
            <v>20120501</v>
          </cell>
          <cell r="K1798" t="str">
            <v>127.663085531</v>
          </cell>
          <cell r="L1798" t="str">
            <v>-18.2120329451</v>
          </cell>
          <cell r="M1798" t="str">
            <v>H</v>
          </cell>
          <cell r="N1798" t="str">
            <v>205</v>
          </cell>
          <cell r="O1798" t="str">
            <v>MARDIWAH</v>
          </cell>
          <cell r="P1798" t="str">
            <v>LOOP</v>
          </cell>
          <cell r="R1798" t="str">
            <v>HALLS CREEK</v>
          </cell>
          <cell r="S1798" t="str">
            <v>6770</v>
          </cell>
        </row>
        <row r="1799">
          <cell r="D1799" t="str">
            <v>A- actual</v>
          </cell>
          <cell r="E1799" t="str">
            <v>PS- pump station</v>
          </cell>
          <cell r="F1799" t="str">
            <v>SCOTIA ST</v>
          </cell>
          <cell r="H1799" t="str">
            <v>P- private</v>
          </cell>
          <cell r="J1799" t="str">
            <v>20150226</v>
          </cell>
          <cell r="K1799" t="str">
            <v>120.226827912</v>
          </cell>
          <cell r="L1799" t="str">
            <v>-26.590634781</v>
          </cell>
          <cell r="M1799" t="str">
            <v>H</v>
          </cell>
          <cell r="N1799" t="str">
            <v>91</v>
          </cell>
          <cell r="O1799" t="str">
            <v>SCOTIA</v>
          </cell>
          <cell r="P1799" t="str">
            <v>ST</v>
          </cell>
          <cell r="R1799" t="str">
            <v>WILUNA</v>
          </cell>
          <cell r="S1799" t="str">
            <v>6646</v>
          </cell>
        </row>
        <row r="1800">
          <cell r="B1800" t="str">
            <v>S3007628</v>
          </cell>
          <cell r="C1800" t="str">
            <v>SPS 8 WOODS DR BROOME</v>
          </cell>
          <cell r="D1800" t="str">
            <v>A- actual</v>
          </cell>
          <cell r="E1800" t="str">
            <v>PS- pump station</v>
          </cell>
          <cell r="F1800" t="str">
            <v>WOODS DR</v>
          </cell>
          <cell r="G1800" t="str">
            <v>247-08</v>
          </cell>
          <cell r="H1800" t="str">
            <v>W- water corporation</v>
          </cell>
          <cell r="J1800" t="str">
            <v>20150201</v>
          </cell>
          <cell r="K1800" t="str">
            <v>122.213283734</v>
          </cell>
          <cell r="L1800" t="str">
            <v>-17.96784171</v>
          </cell>
          <cell r="M1800" t="str">
            <v>H</v>
          </cell>
          <cell r="N1800" t="str">
            <v>64</v>
          </cell>
          <cell r="O1800" t="str">
            <v>WOODS</v>
          </cell>
          <cell r="P1800" t="str">
            <v>DR</v>
          </cell>
          <cell r="R1800" t="str">
            <v>CABLE BEACH</v>
          </cell>
          <cell r="S1800" t="str">
            <v>6726</v>
          </cell>
        </row>
        <row r="1801">
          <cell r="B1801" t="str">
            <v>S3002326</v>
          </cell>
          <cell r="C1801" t="str">
            <v>SPS 1A HEDDITCH ST STH HEDLAND</v>
          </cell>
          <cell r="D1801" t="str">
            <v>A- actual</v>
          </cell>
          <cell r="E1801" t="str">
            <v>PS- pump station</v>
          </cell>
          <cell r="F1801" t="str">
            <v>HEDDITCH ST</v>
          </cell>
          <cell r="G1801" t="str">
            <v>123-01A</v>
          </cell>
          <cell r="H1801" t="str">
            <v>W- water corporation</v>
          </cell>
          <cell r="J1801" t="str">
            <v>20120701</v>
          </cell>
          <cell r="K1801" t="str">
            <v>118.597187086</v>
          </cell>
          <cell r="L1801" t="str">
            <v>-20.404001431</v>
          </cell>
          <cell r="M1801" t="str">
            <v>L</v>
          </cell>
          <cell r="N1801" t="str">
            <v>2040</v>
          </cell>
          <cell r="O1801" t="str">
            <v>HEDDITCH</v>
          </cell>
          <cell r="P1801" t="str">
            <v>ST</v>
          </cell>
          <cell r="R1801" t="str">
            <v>SOUTH HEDLAND</v>
          </cell>
          <cell r="S1801" t="str">
            <v>6722</v>
          </cell>
        </row>
        <row r="1802">
          <cell r="B1802" t="str">
            <v>S2031036</v>
          </cell>
          <cell r="C1802" t="str">
            <v>SPS HAMILTON RD SPEARWOOD</v>
          </cell>
          <cell r="D1802" t="str">
            <v>A- actual</v>
          </cell>
          <cell r="E1802" t="str">
            <v>PS- pump station</v>
          </cell>
          <cell r="F1802" t="str">
            <v>HAMILTON RD</v>
          </cell>
          <cell r="G1802" t="str">
            <v>066-14</v>
          </cell>
          <cell r="H1802" t="str">
            <v>W- water corporation</v>
          </cell>
          <cell r="J1802" t="str">
            <v>20150101</v>
          </cell>
          <cell r="K1802" t="str">
            <v>115.774762531</v>
          </cell>
          <cell r="L1802" t="str">
            <v>-32.1053455314</v>
          </cell>
          <cell r="M1802" t="str">
            <v>H</v>
          </cell>
          <cell r="N1802" t="str">
            <v>195</v>
          </cell>
          <cell r="O1802" t="str">
            <v>HAMILTON</v>
          </cell>
          <cell r="P1802" t="str">
            <v>RD</v>
          </cell>
          <cell r="R1802" t="str">
            <v>COOGEE</v>
          </cell>
          <cell r="S1802" t="str">
            <v>6166</v>
          </cell>
        </row>
        <row r="1803">
          <cell r="D1803" t="str">
            <v>A- actual</v>
          </cell>
          <cell r="E1803" t="str">
            <v>PS- pump station</v>
          </cell>
          <cell r="H1803" t="str">
            <v>P- private</v>
          </cell>
          <cell r="J1803" t="str">
            <v>20150514</v>
          </cell>
          <cell r="K1803" t="str">
            <v>115.106967985</v>
          </cell>
          <cell r="L1803" t="str">
            <v>-33.850388534</v>
          </cell>
          <cell r="M1803" t="str">
            <v>H</v>
          </cell>
          <cell r="N1803" t="str">
            <v>15</v>
          </cell>
          <cell r="O1803" t="str">
            <v>WAVERLEY</v>
          </cell>
          <cell r="P1803" t="str">
            <v>RD</v>
          </cell>
          <cell r="R1803" t="str">
            <v>COWARAMUP</v>
          </cell>
          <cell r="S1803" t="str">
            <v>6284</v>
          </cell>
        </row>
        <row r="1804">
          <cell r="B1804" t="str">
            <v>S2023143</v>
          </cell>
          <cell r="C1804" t="str">
            <v>SPS MORWELL ST YANCHEP</v>
          </cell>
          <cell r="D1804" t="str">
            <v>A- actual</v>
          </cell>
          <cell r="E1804" t="str">
            <v>PS- pump station</v>
          </cell>
          <cell r="F1804" t="str">
            <v>MORWELL ST</v>
          </cell>
          <cell r="G1804" t="str">
            <v>902-54</v>
          </cell>
          <cell r="H1804" t="str">
            <v>W- water corporation</v>
          </cell>
          <cell r="J1804" t="str">
            <v>20150201</v>
          </cell>
          <cell r="K1804" t="str">
            <v>115.640227007</v>
          </cell>
          <cell r="L1804" t="str">
            <v>-31.5526130584</v>
          </cell>
          <cell r="M1804" t="str">
            <v>H</v>
          </cell>
          <cell r="N1804" t="str">
            <v>1</v>
          </cell>
          <cell r="O1804" t="str">
            <v>MORWELL</v>
          </cell>
          <cell r="P1804" t="str">
            <v>ST</v>
          </cell>
          <cell r="R1804" t="str">
            <v>YANCHEP</v>
          </cell>
          <cell r="S1804" t="str">
            <v>6035</v>
          </cell>
        </row>
        <row r="1805">
          <cell r="D1805" t="str">
            <v>A- actual</v>
          </cell>
          <cell r="E1805" t="str">
            <v>PS- pump station</v>
          </cell>
          <cell r="H1805" t="str">
            <v>P- private</v>
          </cell>
          <cell r="J1805" t="str">
            <v>20150527</v>
          </cell>
          <cell r="K1805" t="str">
            <v>115.647549444</v>
          </cell>
          <cell r="L1805" t="str">
            <v>-33.32682513</v>
          </cell>
          <cell r="M1805" t="str">
            <v>L</v>
          </cell>
          <cell r="N1805" t="str">
            <v>729</v>
          </cell>
          <cell r="O1805" t="str">
            <v>STIRLING</v>
          </cell>
          <cell r="P1805" t="str">
            <v>ST</v>
          </cell>
          <cell r="R1805" t="str">
            <v>EAST BUNBURY</v>
          </cell>
          <cell r="S1805" t="str">
            <v>6230</v>
          </cell>
        </row>
        <row r="1806">
          <cell r="D1806" t="str">
            <v>A- actual</v>
          </cell>
          <cell r="E1806" t="str">
            <v>PS- pump station</v>
          </cell>
          <cell r="H1806" t="str">
            <v>P- private</v>
          </cell>
          <cell r="J1806" t="str">
            <v>20150521</v>
          </cell>
          <cell r="K1806" t="str">
            <v>116.731220684</v>
          </cell>
          <cell r="L1806" t="str">
            <v>-34.9765688703</v>
          </cell>
          <cell r="M1806" t="str">
            <v>H</v>
          </cell>
          <cell r="N1806" t="str">
            <v>20</v>
          </cell>
          <cell r="O1806" t="str">
            <v>NOCKOLDS</v>
          </cell>
          <cell r="P1806" t="str">
            <v>ST</v>
          </cell>
          <cell r="R1806" t="str">
            <v>WALPOLE</v>
          </cell>
          <cell r="S1806" t="str">
            <v>6398</v>
          </cell>
        </row>
        <row r="1807">
          <cell r="D1807" t="str">
            <v>A- actual</v>
          </cell>
          <cell r="E1807" t="str">
            <v>PS- pump station</v>
          </cell>
          <cell r="F1807" t="str">
            <v>YANCHEP</v>
          </cell>
          <cell r="G1807" t="str">
            <v>083-06</v>
          </cell>
          <cell r="H1807" t="str">
            <v>W- water corporation</v>
          </cell>
          <cell r="J1807" t="str">
            <v>20150310</v>
          </cell>
          <cell r="K1807" t="str">
            <v>115.655749724</v>
          </cell>
          <cell r="L1807" t="str">
            <v>-31.5497351006</v>
          </cell>
          <cell r="M1807" t="str">
            <v>H</v>
          </cell>
          <cell r="N1807" t="str">
            <v>21</v>
          </cell>
          <cell r="O1807" t="str">
            <v>GARIGAL</v>
          </cell>
          <cell r="P1807" t="str">
            <v>ST</v>
          </cell>
          <cell r="R1807" t="str">
            <v>YANCHEP</v>
          </cell>
          <cell r="S1807" t="str">
            <v>6035</v>
          </cell>
        </row>
      </sheetData>
      <sheetData sheetId="1" refreshError="1">
        <row r="1">
          <cell r="A1" t="str">
            <v>Station FL</v>
          </cell>
          <cell r="B1" t="str">
            <v>Station Description</v>
          </cell>
          <cell r="C1" t="str">
            <v>StreetAddress</v>
          </cell>
          <cell r="D1" t="str">
            <v>Suburb</v>
          </cell>
          <cell r="E1" t="str">
            <v>Postcode</v>
          </cell>
          <cell r="F1" t="str">
            <v>AutoSave Location</v>
          </cell>
          <cell r="G1" t="str">
            <v>Server</v>
          </cell>
          <cell r="H1" t="str">
            <v>ViewX Location</v>
          </cell>
          <cell r="I1" t="str">
            <v>exist?</v>
          </cell>
        </row>
        <row r="2">
          <cell r="A2" t="str">
            <v>S2003571</v>
          </cell>
          <cell r="B2" t="str">
            <v>SPS MUNSTER 3 MUNSTER</v>
          </cell>
          <cell r="C2" t="str">
            <v>20 MAYOR RD</v>
          </cell>
          <cell r="D2" t="str">
            <v>MUNSTER</v>
          </cell>
          <cell r="E2" t="str">
            <v>6166</v>
          </cell>
          <cell r="F2" t="str">
            <v>C:\Data\AutoSave\Metro South\Fremantle-Jandakot\Munster\WWPS - Munster PS</v>
          </cell>
          <cell r="G2" t="str">
            <v>UWSS3</v>
          </cell>
          <cell r="H2" t="str">
            <v>Metro.WWC.PS.Fremantle.Munster No 3 Munster No 700-28 WWPS.Overview</v>
          </cell>
          <cell r="I2" t="str">
            <v>Y</v>
          </cell>
        </row>
        <row r="3">
          <cell r="A3" t="str">
            <v>S0030110</v>
          </cell>
          <cell r="B3" t="str">
            <v>SPS CRESSWELL RD DIANELLA</v>
          </cell>
          <cell r="C3" t="str">
            <v>140 CRESSWELL RD</v>
          </cell>
          <cell r="D3" t="str">
            <v>DIANELLA</v>
          </cell>
          <cell r="E3" t="str">
            <v>6059</v>
          </cell>
          <cell r="F3" t="str">
            <v>C:\Data\AutoSave\Metro East\Inner East\Dianella\WWPS - Cresswell Rd</v>
          </cell>
          <cell r="G3" t="str">
            <v>UWSS3</v>
          </cell>
          <cell r="H3" t="str">
            <v>Metro.WWC.PN.Yokine.Cresswell Rd Dianella No 700-23 WWPS</v>
          </cell>
          <cell r="I3" t="str">
            <v>Y</v>
          </cell>
        </row>
        <row r="4">
          <cell r="A4" t="str">
            <v>S0033952</v>
          </cell>
          <cell r="B4" t="str">
            <v>SPS ARMAGH ST VICTORIA PARK</v>
          </cell>
          <cell r="C4" t="str">
            <v>10095 ARMAGH ST</v>
          </cell>
          <cell r="D4" t="str">
            <v>VICTORIA PARK</v>
          </cell>
          <cell r="E4" t="str">
            <v>6100</v>
          </cell>
          <cell r="F4" t="str">
            <v>C:\Data\AutoSave\Metro South\River Proximity\Victoria Park\WWPS - Armagh St</v>
          </cell>
          <cell r="G4" t="str">
            <v>UWSS3</v>
          </cell>
          <cell r="H4" t="str">
            <v>Metro.WWC.PS.Victoria Park.Armagh St System.Overview - Comms</v>
          </cell>
          <cell r="I4" t="str">
            <v>Y</v>
          </cell>
        </row>
        <row r="5">
          <cell r="A5" t="str">
            <v>S0030479</v>
          </cell>
          <cell r="B5" t="str">
            <v>SPS SEABROOKE AV ROCKINGHAM</v>
          </cell>
          <cell r="C5" t="str">
            <v>51 SEABROOKE AV</v>
          </cell>
          <cell r="D5" t="str">
            <v>ROCKINGHAM</v>
          </cell>
          <cell r="E5" t="str">
            <v>6168</v>
          </cell>
          <cell r="F5" t="str">
            <v>C:\Data\AutoSave\Metro South\Rockingham-Kwinana\Rockingham\WWPS - Seabrooke Av</v>
          </cell>
          <cell r="G5" t="str">
            <v>UWSS3</v>
          </cell>
          <cell r="H5" t="str">
            <v>Metro.WWC.PS.Rockingham.Seabrooke Ave Rockingham No 700-16 WWPS</v>
          </cell>
          <cell r="I5" t="str">
            <v>Y</v>
          </cell>
        </row>
        <row r="6">
          <cell r="A6" t="str">
            <v>S0033360</v>
          </cell>
          <cell r="B6" t="str">
            <v>SPS ANACONDA DR GOSNELLS</v>
          </cell>
          <cell r="C6" t="str">
            <v>2 ANACONDA DR</v>
          </cell>
          <cell r="D6" t="str">
            <v>GOSNELLS</v>
          </cell>
          <cell r="E6" t="str">
            <v>6110</v>
          </cell>
          <cell r="F6" t="str">
            <v>C:\Data\AutoSave\Metro East\South East\Gosnells\WWPS - Anaconda Dr</v>
          </cell>
          <cell r="G6" t="str">
            <v>UWSS3</v>
          </cell>
          <cell r="H6" t="str">
            <v>Metro.WWC.PS.Gosnells.Anaconda Dr Gosnells No 700-08 WWPS.Overview</v>
          </cell>
          <cell r="I6" t="str">
            <v>Y</v>
          </cell>
        </row>
        <row r="7">
          <cell r="A7" t="str">
            <v>S0032795</v>
          </cell>
          <cell r="B7" t="str">
            <v>SPS WATERWORKS RD HAYNES</v>
          </cell>
          <cell r="C7" t="str">
            <v>66 WATERWORKS RD</v>
          </cell>
          <cell r="D7" t="str">
            <v>HAYNES</v>
          </cell>
          <cell r="E7" t="str">
            <v>6112</v>
          </cell>
          <cell r="F7" t="str">
            <v>C:\Data\AutoSave\Metro East\South East\Haynes\WWPS Waterworks Rd</v>
          </cell>
          <cell r="G7" t="str">
            <v>UWSS3</v>
          </cell>
          <cell r="H7" t="str">
            <v>Metro.WWC.PS.Balannup.Waterworks Rd Haynes No 700-20 WWPS</v>
          </cell>
          <cell r="I7" t="str">
            <v>Y</v>
          </cell>
        </row>
        <row r="8">
          <cell r="A8" t="str">
            <v>S2017556</v>
          </cell>
          <cell r="B8" t="str">
            <v>SPS SAFETY BAY RD STH WARNBRO</v>
          </cell>
          <cell r="C8" t="str">
            <v>723 SAFETY BAY RD</v>
          </cell>
          <cell r="D8" t="str">
            <v>WARNBRO</v>
          </cell>
          <cell r="E8" t="str">
            <v>6169</v>
          </cell>
          <cell r="F8" t="str">
            <v>C:\Data\AutoSave\Metro South\Rockingham-Kwinana\Warnbro\WWPS - Safety Bay Rd</v>
          </cell>
          <cell r="G8" t="str">
            <v>UWSS3</v>
          </cell>
          <cell r="H8" t="str">
            <v>Metro.WWC.PS.Rockingham.Safety Bay Rd South Peron No 700-29 WWPS.Overview</v>
          </cell>
          <cell r="I8" t="str">
            <v>Y</v>
          </cell>
        </row>
        <row r="9">
          <cell r="A9" t="str">
            <v>S0028985</v>
          </cell>
          <cell r="B9" t="str">
            <v>SPS FLORA ST MIDLAND</v>
          </cell>
          <cell r="C9" t="str">
            <v>3 FLORA ST</v>
          </cell>
          <cell r="D9" t="str">
            <v>MIDLAND</v>
          </cell>
          <cell r="E9" t="str">
            <v>6056</v>
          </cell>
          <cell r="F9" t="str">
            <v>C:\Data\AutoSave\Metro East\Midland-Swan\Midland\WWPS - Flora St</v>
          </cell>
          <cell r="G9" t="str">
            <v>UWSS3</v>
          </cell>
          <cell r="H9" t="str">
            <v>Metro.WWC.PS.Cannington.Richmond St Cannington No 700-03 WWPS</v>
          </cell>
          <cell r="I9" t="str">
            <v>Y</v>
          </cell>
        </row>
        <row r="10">
          <cell r="A10" t="str">
            <v>S0033080</v>
          </cell>
          <cell r="B10" t="str">
            <v>SPS RICHMOND ST CANNINGTON</v>
          </cell>
          <cell r="C10" t="str">
            <v>14 RICHMOND ST</v>
          </cell>
          <cell r="D10" t="str">
            <v>CANNINGTON</v>
          </cell>
          <cell r="E10" t="str">
            <v>6107</v>
          </cell>
          <cell r="F10" t="str">
            <v>C:\Data\AutoSave\Metro South\River Proximity\Cannington\WWPS - Richmond St</v>
          </cell>
          <cell r="G10" t="str">
            <v>UWSS3</v>
          </cell>
          <cell r="H10" t="str">
            <v>Metro.WWC.PS.Cannington.Richmond St Cannington No 700-03 WWPS</v>
          </cell>
          <cell r="I10" t="str">
            <v>Y</v>
          </cell>
        </row>
        <row r="11">
          <cell r="A11" t="str">
            <v>S0032687</v>
          </cell>
          <cell r="B11" t="str">
            <v>SPS SWANBOURNE MAIN SWANBOURNE</v>
          </cell>
          <cell r="C11" t="str">
            <v>204 MARINE PDE</v>
          </cell>
          <cell r="D11" t="str">
            <v>SWANBOURNE</v>
          </cell>
          <cell r="E11" t="str">
            <v>6010</v>
          </cell>
          <cell r="F11" t="str">
            <v>C:\Data\AutoSave\Metro North\Lower Coastal\Swanbourne\WWPS - Swanbourne Main</v>
          </cell>
          <cell r="G11" t="str">
            <v>UWSS3</v>
          </cell>
          <cell r="H11" t="str">
            <v>Metro.WWC.PN.Swanbourne.Swanbourne Main Swanbourne No 700-18 WWPS</v>
          </cell>
          <cell r="I11" t="str">
            <v>Y</v>
          </cell>
        </row>
        <row r="12">
          <cell r="A12" t="str">
            <v>S0030881</v>
          </cell>
          <cell r="B12" t="str">
            <v>SPS CLAISEBROOK MAIN EAST PERTH</v>
          </cell>
          <cell r="C12" t="str">
            <v>8 GIBRALTAR WAY</v>
          </cell>
          <cell r="D12" t="str">
            <v>EAST PERTH</v>
          </cell>
          <cell r="E12" t="str">
            <v>6004</v>
          </cell>
          <cell r="F12" t="str">
            <v>C:\Data\AutoSave\Metro East\Inner East\East Perth\WWPS - Nile St</v>
          </cell>
          <cell r="G12" t="str">
            <v>UWSS3</v>
          </cell>
          <cell r="H12" t="str">
            <v>Metro.WWC.PN.CBD.Claisebrook East Perth No 700-04 WWPS</v>
          </cell>
          <cell r="I12" t="str">
            <v>Y</v>
          </cell>
        </row>
        <row r="13">
          <cell r="A13" t="str">
            <v>S0033448</v>
          </cell>
          <cell r="B13" t="str">
            <v>SPS LILAC PL HUNTINGDALE</v>
          </cell>
          <cell r="C13" t="str">
            <v>13 LILAC PL</v>
          </cell>
          <cell r="D13" t="str">
            <v>HUNTINGDALE</v>
          </cell>
          <cell r="E13" t="str">
            <v>6110</v>
          </cell>
          <cell r="F13" t="str">
            <v>C:\Data\AutoSave\Metro East\South East\Huntingdale\WWPS - Lilac Pl</v>
          </cell>
          <cell r="G13" t="str">
            <v>UWSS3</v>
          </cell>
          <cell r="H13" t="str">
            <v>Metro.WWC.PS.Gosnells.Lilac Pl Huntingdale No 068-03 WWPS</v>
          </cell>
          <cell r="I13" t="str">
            <v>Y</v>
          </cell>
        </row>
        <row r="14">
          <cell r="A14" t="str">
            <v>S0032762</v>
          </cell>
          <cell r="B14" t="str">
            <v>SPS LAKE RD SEVILLE GROVE</v>
          </cell>
          <cell r="C14" t="str">
            <v>10 LAKE RD</v>
          </cell>
          <cell r="D14" t="str">
            <v>SEVILLE GROVE</v>
          </cell>
          <cell r="E14" t="str">
            <v>6112</v>
          </cell>
          <cell r="F14" t="str">
            <v>C:\Data\AutoSave\Metro East\South East\Seville Grove\WWPS - Lake Rd</v>
          </cell>
          <cell r="G14" t="str">
            <v>UWSS3</v>
          </cell>
          <cell r="H14" t="str">
            <v>Metro.WWC.PS.Armadale.Lake Rd Seville Grove No 700-21 WWPS</v>
          </cell>
          <cell r="I14" t="str">
            <v>Y</v>
          </cell>
        </row>
        <row r="15">
          <cell r="A15" t="str">
            <v>S0030203</v>
          </cell>
          <cell r="B15" t="str">
            <v>SPS SLADE ST BAYSWATER</v>
          </cell>
          <cell r="C15" t="str">
            <v>104 SLADE ST</v>
          </cell>
          <cell r="D15" t="str">
            <v>BAYSWATER</v>
          </cell>
          <cell r="E15" t="str">
            <v>6053</v>
          </cell>
          <cell r="F15" t="str">
            <v>C:\Data\AutoSave\Metro East\Inner East\Bayswater\WWPS - Slade St</v>
          </cell>
          <cell r="G15" t="str">
            <v>UWSS3</v>
          </cell>
          <cell r="H15" t="str">
            <v>Metro.WWC.PN.Yokine.Slade St Bayswater No 010-01 WWPS</v>
          </cell>
          <cell r="I15" t="str">
            <v>Y</v>
          </cell>
        </row>
        <row r="16">
          <cell r="A16" t="str">
            <v>S0030922</v>
          </cell>
          <cell r="B16" t="str">
            <v>SPS PERTH CENTRAL PERTH</v>
          </cell>
          <cell r="C16" t="str">
            <v>1 MOUNTS BAY RD</v>
          </cell>
          <cell r="D16" t="str">
            <v>PERTH</v>
          </cell>
          <cell r="E16" t="str">
            <v>6000</v>
          </cell>
          <cell r="F16" t="str">
            <v>C:\Data\AutoSave\Metro East\Inner East\Perth\WWPS - Perth Central</v>
          </cell>
          <cell r="G16" t="str">
            <v>UWSS3</v>
          </cell>
          <cell r="H16" t="str">
            <v>Metro.WWC.PN.CBD.Perth Central Perth No 700-24 WWPS</v>
          </cell>
          <cell r="I16" t="str">
            <v>Y</v>
          </cell>
        </row>
        <row r="17">
          <cell r="A17" t="str">
            <v>S0028430</v>
          </cell>
          <cell r="B17" t="str">
            <v>SPS GREENPARK RD ALEXANDER HEIGHTS</v>
          </cell>
          <cell r="C17" t="str">
            <v>233 ALEXANDER DR</v>
          </cell>
          <cell r="D17" t="str">
            <v>ALEXANDER HEIGHTS</v>
          </cell>
          <cell r="E17" t="str">
            <v>6064</v>
          </cell>
          <cell r="F17" t="str">
            <v>C:\Data\AutoSave\Metro East\Inner East\Alexander Heights\WWPS - Greenpark Rd</v>
          </cell>
          <cell r="G17" t="str">
            <v>UWSS3</v>
          </cell>
          <cell r="H17" t="str">
            <v>Metro.WWC.PN.Hamersley.Greenpark Rd Alexander Heights No 007-01 WWPS</v>
          </cell>
          <cell r="I17" t="str">
            <v>Y</v>
          </cell>
        </row>
        <row r="18">
          <cell r="A18" t="str">
            <v>S0034046</v>
          </cell>
          <cell r="B18" t="str">
            <v>SPS FRANCISCO ST BELMONT</v>
          </cell>
          <cell r="C18" t="str">
            <v>131 FRANCISCO ST</v>
          </cell>
          <cell r="D18" t="str">
            <v>BELMONT</v>
          </cell>
          <cell r="E18" t="str">
            <v>6104</v>
          </cell>
          <cell r="F18" t="str">
            <v>C:\Data\AutoSave\Metro East\South East\Belmont\WWPS - Francisco St</v>
          </cell>
          <cell r="G18" t="str">
            <v>UWSS3</v>
          </cell>
          <cell r="H18" t="str">
            <v>Metro.WWC.PS.Victoria Park.Francisco St Belmont No 012-01 WWPS</v>
          </cell>
          <cell r="I18" t="str">
            <v>Y</v>
          </cell>
        </row>
        <row r="19">
          <cell r="A19" t="str">
            <v>S0044740</v>
          </cell>
          <cell r="B19" t="str">
            <v>SPS MURDOCH DR GREENFIELDS</v>
          </cell>
          <cell r="C19" t="str">
            <v>65 MURDOCH DR</v>
          </cell>
          <cell r="D19" t="str">
            <v>GREENFIELDS</v>
          </cell>
          <cell r="E19" t="str">
            <v>6210</v>
          </cell>
          <cell r="F19" t="str">
            <v>C:\Data\AutoSave\Metro South\Mandurah\Greenfields\WWPS - Murdoch Dr</v>
          </cell>
          <cell r="G19" t="str">
            <v>UWSS3</v>
          </cell>
          <cell r="H19" t="str">
            <v>Metro.WWC.Mandurah - Murray.Mandurah - Yunderup.Mandurah.Murdoch Dr No 155-22 WWPS</v>
          </cell>
          <cell r="I19" t="str">
            <v>Y</v>
          </cell>
        </row>
        <row r="20">
          <cell r="A20" t="str">
            <v>S0028629</v>
          </cell>
          <cell r="B20" t="str">
            <v>SPS SHELDRAKE ST STIRLING</v>
          </cell>
          <cell r="C20" t="str">
            <v>52 SHELDRAKE ST</v>
          </cell>
          <cell r="D20" t="str">
            <v>STIRLING</v>
          </cell>
          <cell r="E20" t="str">
            <v>6021</v>
          </cell>
          <cell r="F20" t="str">
            <v>C:\Data\AutoSave\Metro North\Wanneroo Corridor\Stirling\WWPS - Sheldrake St</v>
          </cell>
          <cell r="G20" t="str">
            <v>UWSS3</v>
          </cell>
          <cell r="H20" t="str">
            <v>Metro.WWC.PN.Hamersley.Sheldrake St Stirling No 005-02 WWPS</v>
          </cell>
          <cell r="I20" t="str">
            <v>Y</v>
          </cell>
        </row>
        <row r="21">
          <cell r="A21" t="str">
            <v>S0034424</v>
          </cell>
          <cell r="B21" t="str">
            <v>SPS RIVERMOOR LOOP RIVERTON</v>
          </cell>
          <cell r="C21" t="str">
            <v>28 RIVERMOOR LOOP</v>
          </cell>
          <cell r="D21" t="str">
            <v>RIVERTON</v>
          </cell>
          <cell r="E21" t="str">
            <v>6148</v>
          </cell>
          <cell r="F21" t="str">
            <v>C:\Data\AutoSave\Metro South\River Proximity\Riverton\WWPS - Rivermoor Loop</v>
          </cell>
          <cell r="G21" t="str">
            <v>UWSS3</v>
          </cell>
          <cell r="H21" t="str">
            <v>Metro.WWC.PS.Willetton.Rivermoor Loop Riverton No 081-04 WWPS</v>
          </cell>
          <cell r="I21" t="str">
            <v>Y</v>
          </cell>
        </row>
        <row r="22">
          <cell r="A22" t="str">
            <v>S2001394</v>
          </cell>
          <cell r="B22" t="str">
            <v>SPS BARRAMBIE WY WHITEMAN</v>
          </cell>
          <cell r="C22" t="str">
            <v>40 BARRAMBIE WAY</v>
          </cell>
          <cell r="D22" t="str">
            <v>WHITEMAN</v>
          </cell>
          <cell r="E22" t="str">
            <v>6068</v>
          </cell>
          <cell r="F22" t="str">
            <v>C:\Data\AutoSave\Metro East\Inner East\Whiteman\WWPS - Barrambie Wy</v>
          </cell>
          <cell r="G22" t="str">
            <v>UWSS3</v>
          </cell>
          <cell r="H22" t="str">
            <v>Metro.WWC.PN.Swan Valley.Barrambie Way Whiteman No 700-27 WWPS</v>
          </cell>
          <cell r="I22" t="str">
            <v>Y</v>
          </cell>
        </row>
        <row r="23">
          <cell r="A23" t="str">
            <v>S0033735</v>
          </cell>
          <cell r="B23" t="str">
            <v>SPS KAROONDA RD BRENTWOOD</v>
          </cell>
          <cell r="C23" t="str">
            <v>2551 SICKLEMORE ST</v>
          </cell>
          <cell r="D23" t="str">
            <v>BRENTWOOD</v>
          </cell>
          <cell r="E23" t="str">
            <v>6153</v>
          </cell>
          <cell r="F23" t="str">
            <v>C:\Data\AutoSave\Metro South\River Proximity\Brentwood\WWPS - Karoonda Rd</v>
          </cell>
          <cell r="G23" t="str">
            <v>UWSS3</v>
          </cell>
          <cell r="H23" t="str">
            <v>Metro.WWC.PS.Melville.Karoonda Rd Brentwood No 014-02 WWPS</v>
          </cell>
          <cell r="I23" t="str">
            <v>Y</v>
          </cell>
        </row>
        <row r="24">
          <cell r="A24" t="str">
            <v>S0034072</v>
          </cell>
          <cell r="B24" t="str">
            <v>SPS HARDEY RD BELMONT</v>
          </cell>
          <cell r="C24" t="str">
            <v>76 HARDEY RD</v>
          </cell>
          <cell r="D24" t="str">
            <v>BELMONT</v>
          </cell>
          <cell r="E24" t="str">
            <v>6104</v>
          </cell>
          <cell r="F24" t="str">
            <v>C:\Data\AutoSave\Metro East\South East\Belmont\WWPS - Hardey Rd</v>
          </cell>
          <cell r="G24" t="str">
            <v>UWSS3</v>
          </cell>
          <cell r="H24" t="str">
            <v>Metro.WWC.PS.Victoria Park.Hardey Rd Belmont No 061-01 WWPS</v>
          </cell>
          <cell r="I24" t="str">
            <v>Y</v>
          </cell>
        </row>
        <row r="25">
          <cell r="A25" t="str">
            <v>S0033742</v>
          </cell>
          <cell r="B25" t="str">
            <v>SPS LE SOUEF DR KARDINYA</v>
          </cell>
          <cell r="C25" t="str">
            <v>180 LE SOUEF DR</v>
          </cell>
          <cell r="D25" t="str">
            <v>KARDINYA</v>
          </cell>
          <cell r="E25" t="str">
            <v>6163</v>
          </cell>
          <cell r="F25" t="str">
            <v>C:\Data\AutoSave\Metro South\Fremantle-Jandakot\Kardinya\WWPS - Le Souef Dr</v>
          </cell>
          <cell r="G25" t="str">
            <v>UWSS3</v>
          </cell>
          <cell r="H25" t="str">
            <v>Metro.WWC.PS.Melville.Le Souef Dr Kardinya No 038-04 WWPS</v>
          </cell>
          <cell r="I25" t="str">
            <v>Y</v>
          </cell>
        </row>
        <row r="26">
          <cell r="A26" t="str">
            <v>S0033097</v>
          </cell>
          <cell r="B26" t="str">
            <v>SPS ST JOHN RD WATTLE GROVE</v>
          </cell>
          <cell r="C26" t="str">
            <v>25 ST JOHN RD</v>
          </cell>
          <cell r="D26" t="str">
            <v>WATTLE GROVE</v>
          </cell>
          <cell r="E26" t="str">
            <v>6107</v>
          </cell>
          <cell r="F26" t="str">
            <v>C:\Data\AutoSave\Metro East\South East\Wattle Grove\WWPS - St John Rd</v>
          </cell>
          <cell r="G26" t="str">
            <v>UWSS3</v>
          </cell>
          <cell r="H26" t="str">
            <v>Metro.WWC.PS.Cannington.Saint John Rd Wattle Grove No 700-06 WWPS</v>
          </cell>
          <cell r="I26" t="str">
            <v>Y</v>
          </cell>
        </row>
        <row r="27">
          <cell r="A27" t="str">
            <v>S0033066</v>
          </cell>
          <cell r="B27" t="str">
            <v>SPS PALMERSTON ST ST JAMES</v>
          </cell>
          <cell r="C27" t="str">
            <v>35 CHAPMAN RD</v>
          </cell>
          <cell r="D27" t="str">
            <v>ST JAMES</v>
          </cell>
          <cell r="E27" t="str">
            <v>6102</v>
          </cell>
          <cell r="F27" t="str">
            <v>C:\Data\AutoSave\Metro South\River Proximity\St James\WWPS - Palmerston St</v>
          </cell>
          <cell r="G27" t="str">
            <v>UWSS3</v>
          </cell>
          <cell r="H27" t="str">
            <v>Metro.WWC.PS.Cannington.Palmerston St Saint James No 070-08 WWPS</v>
          </cell>
          <cell r="I27" t="str">
            <v>Y</v>
          </cell>
        </row>
        <row r="28">
          <cell r="A28" t="str">
            <v>S0029333</v>
          </cell>
          <cell r="B28" t="str">
            <v>SPS ARITI AV WANNEROO</v>
          </cell>
          <cell r="C28" t="str">
            <v>86 ARITI AV</v>
          </cell>
          <cell r="D28" t="str">
            <v>WANNEROO</v>
          </cell>
          <cell r="E28" t="str">
            <v>6065</v>
          </cell>
          <cell r="F28" t="str">
            <v>C:\Data\AutoSave\Metro North\Wanneroo Corridor\Wanneroo\WWPS - Ariti Av</v>
          </cell>
          <cell r="G28" t="str">
            <v>UWSS3</v>
          </cell>
          <cell r="H28" t="str">
            <v>Metro.WWC.PN.Wanneroo.Ariti Av Wanneroo No 071-01 WWPS</v>
          </cell>
          <cell r="I28" t="str">
            <v>Y</v>
          </cell>
        </row>
        <row r="29">
          <cell r="A29" t="str">
            <v>S0033574</v>
          </cell>
          <cell r="B29" t="str">
            <v>SPS ADRIAN ST PALMYRA</v>
          </cell>
          <cell r="C29" t="str">
            <v>14 ADRIAN ST</v>
          </cell>
          <cell r="D29" t="str">
            <v>PALMYRA</v>
          </cell>
          <cell r="E29" t="str">
            <v>6157</v>
          </cell>
          <cell r="F29" t="str">
            <v>C:\Data\AutoSave\Metro South\River Proximity\Palmyra\WWPS - Adrian St</v>
          </cell>
          <cell r="G29" t="str">
            <v>UWSS3</v>
          </cell>
          <cell r="H29" t="str">
            <v>Metro.WWC.PS.Melville.Adrian St Palmyra No 057-01 WWPS</v>
          </cell>
          <cell r="I29" t="str">
            <v>Y</v>
          </cell>
        </row>
        <row r="30">
          <cell r="A30" t="str">
            <v>S0033512</v>
          </cell>
          <cell r="B30" t="str">
            <v>SPS WITTENOOM RD HIGH WYCOMBE</v>
          </cell>
          <cell r="C30" t="str">
            <v>106 WITTENOOM RD</v>
          </cell>
          <cell r="D30" t="str">
            <v>HIGH WYCOMBE</v>
          </cell>
          <cell r="E30" t="str">
            <v>6057</v>
          </cell>
          <cell r="F30" t="str">
            <v>C:\Data\AutoSave\Metro East\South East\High Wycombe\WWPS - Wittenoom Rd</v>
          </cell>
          <cell r="G30" t="str">
            <v>UWSS3</v>
          </cell>
          <cell r="H30" t="str">
            <v>Metro.WWC.PS.High Wycombe.Wittenoom Rd High Wycombe No 047-01 WWPS</v>
          </cell>
          <cell r="I30" t="str">
            <v>Y</v>
          </cell>
        </row>
        <row r="31">
          <cell r="A31" t="str">
            <v>S0030035</v>
          </cell>
          <cell r="B31" t="str">
            <v>SPS BENARA RD EAST BEECHBORO</v>
          </cell>
          <cell r="C31" t="str">
            <v>209 BENARA RD</v>
          </cell>
          <cell r="D31" t="str">
            <v>BEECHBORO</v>
          </cell>
          <cell r="E31" t="str">
            <v>6063</v>
          </cell>
          <cell r="F31" t="str">
            <v>C:\Data\AutoSave\Metro East\Inner East\Beechboro\WWPS - Benara Rd East</v>
          </cell>
          <cell r="G31" t="str">
            <v>UWSS3</v>
          </cell>
          <cell r="H31" t="str">
            <v>Metro.WWC.PN.Yokine.Benara Rd East Beechboro No 700-05 WWPS</v>
          </cell>
          <cell r="I31" t="str">
            <v>Y</v>
          </cell>
        </row>
        <row r="32">
          <cell r="A32" t="str">
            <v>S0028710</v>
          </cell>
          <cell r="B32" t="str">
            <v>SPS WHIPPLE ST BALCATTA</v>
          </cell>
          <cell r="C32" t="str">
            <v>9 WHIPPLE ST</v>
          </cell>
          <cell r="D32" t="str">
            <v>BALCATTA</v>
          </cell>
          <cell r="E32" t="str">
            <v>6021</v>
          </cell>
          <cell r="F32" t="str">
            <v>C:\Data\AutoSave\Metro North\Wanneroo Corridor\Balcatta\WWPS - Whipple St</v>
          </cell>
          <cell r="G32" t="str">
            <v>UWSS3</v>
          </cell>
          <cell r="H32" t="str">
            <v>Metro.WWC.PN.Hamersley.Whipple St Balcatta No 005-04 WWPS</v>
          </cell>
          <cell r="I32" t="str">
            <v>Y</v>
          </cell>
        </row>
        <row r="33">
          <cell r="A33" t="str">
            <v>S0033749</v>
          </cell>
          <cell r="B33" t="str">
            <v>SPS LEACH HWY BRENTWOOD</v>
          </cell>
          <cell r="C33" t="str">
            <v>1996 LEACH HWY</v>
          </cell>
          <cell r="D33" t="str">
            <v>BRENTWOOD</v>
          </cell>
          <cell r="E33" t="str">
            <v>6153</v>
          </cell>
          <cell r="F33" t="str">
            <v>C:\Data\AutoSave\Metro South\River Proximity\Brentwood\WWPS - Leach Hwy</v>
          </cell>
          <cell r="G33" t="str">
            <v>UWSS3</v>
          </cell>
          <cell r="H33" t="str">
            <v>Metro.WWC.PS.Melville.Leach Hwy Brentwood No 700-02 WWPS</v>
          </cell>
          <cell r="I33" t="str">
            <v>Y</v>
          </cell>
        </row>
        <row r="34">
          <cell r="A34" t="str">
            <v>S0033487</v>
          </cell>
          <cell r="B34" t="str">
            <v>SPS ROYAL ST KENWICK</v>
          </cell>
          <cell r="C34" t="str">
            <v>29 BOYDELL RD</v>
          </cell>
          <cell r="D34" t="str">
            <v>KENWICK</v>
          </cell>
          <cell r="E34" t="str">
            <v>6107</v>
          </cell>
          <cell r="F34" t="str">
            <v>C:\Data\AutoSave\Metro East\South East\Kenwick\WWPS - Royal St</v>
          </cell>
          <cell r="G34" t="str">
            <v>UWSS3</v>
          </cell>
          <cell r="H34" t="str">
            <v>Metro.WWC.PS.Gosnells.Royal St Kenwick No 068-06 WWPS</v>
          </cell>
          <cell r="I34" t="str">
            <v>Y</v>
          </cell>
        </row>
        <row r="35">
          <cell r="A35" t="str">
            <v>S0033047</v>
          </cell>
          <cell r="B35" t="str">
            <v>SPS MANNING RD WEST KARAWARA</v>
          </cell>
          <cell r="C35" t="str">
            <v>5 MANNING RD</v>
          </cell>
          <cell r="D35" t="str">
            <v>KARAWARA</v>
          </cell>
          <cell r="E35" t="str">
            <v>6152</v>
          </cell>
          <cell r="F35" t="str">
            <v>C:\Data\AutoSave\Metro South\River Proximity\Karawara\WWPS - Manning Rd West</v>
          </cell>
          <cell r="G35" t="str">
            <v>UWSS3</v>
          </cell>
          <cell r="H35" t="str">
            <v>Metro.WWC.PS.Cannington.Manning Rd W Karawara No 021-01 WWPS</v>
          </cell>
          <cell r="I35" t="str">
            <v>Y</v>
          </cell>
        </row>
        <row r="36">
          <cell r="A36" t="str">
            <v>S0034106</v>
          </cell>
          <cell r="B36" t="str">
            <v>SPS JARMAN AV MANNING</v>
          </cell>
          <cell r="C36" t="str">
            <v>3102 JARMAN AV</v>
          </cell>
          <cell r="D36" t="str">
            <v>MANNING</v>
          </cell>
          <cell r="E36" t="str">
            <v>6152</v>
          </cell>
          <cell r="F36" t="str">
            <v>C:\Data\AutoSave\Metro South\River Proximity\Manning\WWPS - Jarman Av</v>
          </cell>
          <cell r="G36" t="str">
            <v>UWSS3</v>
          </cell>
          <cell r="H36" t="str">
            <v>Metro.WWC.PS.Victoria Park.Jarman Ave Manning No 065-04 WWPS</v>
          </cell>
          <cell r="I36" t="str">
            <v>Y</v>
          </cell>
        </row>
        <row r="37">
          <cell r="A37" t="str">
            <v>S0030528</v>
          </cell>
          <cell r="B37" t="str">
            <v>SPS NAPLES PL SECRET HARBOUR</v>
          </cell>
          <cell r="C37" t="str">
            <v>179 NAPLES PL</v>
          </cell>
          <cell r="D37" t="str">
            <v>SECRET HARBOUR</v>
          </cell>
          <cell r="E37" t="str">
            <v>6173</v>
          </cell>
          <cell r="F37" t="str">
            <v>C:\Data\AutoSave\Metro South\Rockingham-Kwinana\Secret Harbour\WWPS - Naples Pl</v>
          </cell>
          <cell r="G37" t="str">
            <v>UWSS3</v>
          </cell>
          <cell r="H37" t="str">
            <v>Metro.WWC.PS.Warnbro.Naples Pl Secret Harbour No 183-01 WWPS</v>
          </cell>
          <cell r="I37" t="str">
            <v>Y</v>
          </cell>
        </row>
        <row r="38">
          <cell r="A38" t="str">
            <v>S0033707</v>
          </cell>
          <cell r="B38" t="str">
            <v>SPS GROVES AV ATTADALE</v>
          </cell>
          <cell r="C38" t="str">
            <v>558 CANNING HWY</v>
          </cell>
          <cell r="D38" t="str">
            <v>ATTADALE</v>
          </cell>
          <cell r="E38" t="str">
            <v>6156</v>
          </cell>
          <cell r="F38" t="str">
            <v>C:\Data\AutoSave\Metro South\River Proximity\Attadale\WWPS - Groves Av</v>
          </cell>
          <cell r="G38" t="str">
            <v>UWSS3</v>
          </cell>
          <cell r="H38" t="str">
            <v>Metro.WWC.PS.Melville.Groves Ave Attadale No 004-01 WWPS</v>
          </cell>
          <cell r="I38" t="str">
            <v>Y</v>
          </cell>
        </row>
        <row r="39">
          <cell r="A39" t="str">
            <v>S8003705</v>
          </cell>
          <cell r="B39" t="str">
            <v>SPS PEBBLE BEACH BVD MEADOW SPRINGS</v>
          </cell>
          <cell r="C39" t="str">
            <v>35 PEBBLE BEACH BVD</v>
          </cell>
          <cell r="D39" t="str">
            <v>MEADOW SPRINGS</v>
          </cell>
          <cell r="E39" t="str">
            <v>6210</v>
          </cell>
          <cell r="F39" t="str">
            <v>C:\Data\AutoSave\Metro South\Mandurah\Meadow Springs\WWPS - Pebble Beach Bvd</v>
          </cell>
          <cell r="G39" t="str">
            <v>UWSS3</v>
          </cell>
          <cell r="H39" t="str">
            <v>Metro.WWC.Mandurah - Murray.Mandurah - Yunderup.North Mandurah.Pebble Beach Bvd No 196-04 WWPS</v>
          </cell>
          <cell r="I39" t="str">
            <v>Y</v>
          </cell>
        </row>
        <row r="40">
          <cell r="A40" t="str">
            <v>S0044725</v>
          </cell>
          <cell r="B40" t="str">
            <v>SPS MANDURAH TCE MANDURAH</v>
          </cell>
          <cell r="C40" t="str">
            <v>74 MANDURAH TCE</v>
          </cell>
          <cell r="D40" t="str">
            <v>MANDURAH</v>
          </cell>
          <cell r="E40" t="str">
            <v>6210</v>
          </cell>
          <cell r="F40" t="str">
            <v>C:\Data\AutoSave\Metro South\Mandurah\Mandurah\WWPS - Mandurah Tce</v>
          </cell>
          <cell r="G40" t="str">
            <v>UWSS3</v>
          </cell>
          <cell r="H40" t="str">
            <v>Metro.WWC.Mandurah - Murray.Mandurah - Yunderup.Mandurah.Mandurah Tce No 155-01 WWPS</v>
          </cell>
          <cell r="I40" t="str">
            <v>Y</v>
          </cell>
        </row>
        <row r="41">
          <cell r="A41" t="str">
            <v>S0030079</v>
          </cell>
          <cell r="B41" t="str">
            <v>SPS BRIDGE ST GUILDFORD</v>
          </cell>
          <cell r="C41" t="str">
            <v>229 JAMES ST</v>
          </cell>
          <cell r="D41" t="str">
            <v>GUILDFORD</v>
          </cell>
          <cell r="E41" t="str">
            <v>6055</v>
          </cell>
          <cell r="F41" t="str">
            <v>C:\Data\AutoSave\Metro East\Midland-Swan\Guildford\WWPS - Bridge St</v>
          </cell>
          <cell r="G41" t="str">
            <v>UWSS3</v>
          </cell>
          <cell r="H41" t="str">
            <v>Metro.WWC.PN.Yokine.Bridge St Guildford No 031-01 WWPS</v>
          </cell>
          <cell r="I41" t="str">
            <v>Y</v>
          </cell>
        </row>
        <row r="42">
          <cell r="A42" t="str">
            <v>S0028441</v>
          </cell>
          <cell r="B42" t="str">
            <v>SPS GRINDLEFORD DR BALCATTA</v>
          </cell>
          <cell r="C42" t="str">
            <v>12 RADALJ PL</v>
          </cell>
          <cell r="D42" t="str">
            <v>BALCATTA</v>
          </cell>
          <cell r="E42" t="str">
            <v>6021</v>
          </cell>
          <cell r="F42" t="str">
            <v>C:\Data\AutoSave\Metro North\Wanneroo Corridor\Balcatta\WWPS - Grindleford Dr</v>
          </cell>
          <cell r="G42" t="str">
            <v>UWSS3</v>
          </cell>
          <cell r="H42" t="str">
            <v>Metro.WWC.PN.Hamersley.Grindleford Dr Balcatta No 005-05 WWPS</v>
          </cell>
          <cell r="I42" t="str">
            <v>Y</v>
          </cell>
        </row>
        <row r="43">
          <cell r="A43" t="str">
            <v>S0028341</v>
          </cell>
          <cell r="B43" t="str">
            <v>SPS DOG SWAMP YOKINE</v>
          </cell>
          <cell r="C43" t="str">
            <v>6 FARINA DR</v>
          </cell>
          <cell r="D43" t="str">
            <v>YOKINE</v>
          </cell>
          <cell r="E43" t="str">
            <v>6060</v>
          </cell>
          <cell r="F43" t="str">
            <v>C:\Data\AutoSave\Metro East\Inner East\Yokine\WWPS - Powell St</v>
          </cell>
          <cell r="G43" t="str">
            <v>UWSS3</v>
          </cell>
          <cell r="I43" t="str">
            <v>N</v>
          </cell>
        </row>
        <row r="44">
          <cell r="A44" t="str">
            <v>S0033419</v>
          </cell>
          <cell r="B44" t="str">
            <v>SPS HELM ST MADDINGTON</v>
          </cell>
          <cell r="C44" t="str">
            <v>28 HELM ST</v>
          </cell>
          <cell r="D44" t="str">
            <v>MADDINGTON</v>
          </cell>
          <cell r="E44" t="str">
            <v>6109</v>
          </cell>
          <cell r="F44" t="str">
            <v>C:\Data\AutoSave\Metro East\South East\Maddington\WWPS - Helm St</v>
          </cell>
          <cell r="G44" t="str">
            <v>UWSS3</v>
          </cell>
          <cell r="H44" t="str">
            <v>Metro.WWC.PS.Gosnells.Helm St Maddington No 046-01 WWPS</v>
          </cell>
          <cell r="I44" t="str">
            <v>Y</v>
          </cell>
        </row>
        <row r="45">
          <cell r="A45" t="str">
            <v>S0032755</v>
          </cell>
          <cell r="B45" t="str">
            <v>SPS HEMINGWAY DR CAMILLO</v>
          </cell>
          <cell r="C45" t="str">
            <v>33 MONTROSE CIR</v>
          </cell>
          <cell r="D45" t="str">
            <v>CAMILLO</v>
          </cell>
          <cell r="E45" t="str">
            <v>6111</v>
          </cell>
          <cell r="F45" t="str">
            <v>C:\Data\AutoSave\Metro East\South East\Camillo\WWPS - Hemingway Dr</v>
          </cell>
          <cell r="G45" t="str">
            <v>UWSS3</v>
          </cell>
          <cell r="H45" t="str">
            <v>Metro.WWC.PS.Armadale.Hemingway Dr Westfield No 076-02 WWPS</v>
          </cell>
          <cell r="I45" t="str">
            <v>Y</v>
          </cell>
        </row>
        <row r="46">
          <cell r="A46" t="str">
            <v>S0034277</v>
          </cell>
          <cell r="B46" t="str">
            <v>SPS COULSON WY CANNING VALE</v>
          </cell>
          <cell r="C46" t="str">
            <v>23 COULSON WAY</v>
          </cell>
          <cell r="D46" t="str">
            <v>CANNING VALE</v>
          </cell>
          <cell r="E46" t="str">
            <v>6155</v>
          </cell>
          <cell r="F46" t="str">
            <v>C:\Data\AutoSave\Metro South\River Proximity\Canning Vale\WWPS - Coulson Wy</v>
          </cell>
          <cell r="G46" t="str">
            <v>UWSS3</v>
          </cell>
          <cell r="H46" t="str">
            <v>Metro.WWC.PS.Willetton.Coulson Way Canning Vale No 016-01 WWPS</v>
          </cell>
          <cell r="I46" t="str">
            <v>Y</v>
          </cell>
        </row>
        <row r="47">
          <cell r="A47" t="str">
            <v>S0031683</v>
          </cell>
          <cell r="B47" t="str">
            <v>SPS DEELEY ST MAYLANDS</v>
          </cell>
          <cell r="C47" t="str">
            <v>7124 FOURTH AVE</v>
          </cell>
          <cell r="D47" t="str">
            <v>MAYLANDS</v>
          </cell>
          <cell r="E47" t="str">
            <v>6051</v>
          </cell>
          <cell r="F47" t="str">
            <v>C:\Data\AutoSave\Metro East\Inner East\Maylands\WWPS - Deeley St</v>
          </cell>
          <cell r="G47" t="str">
            <v>UWSS3</v>
          </cell>
          <cell r="H47" t="str">
            <v>Metro.WWC.PN.Perth.Deeley St Maylands No 049-05 WWPS</v>
          </cell>
          <cell r="I47" t="str">
            <v>Y</v>
          </cell>
        </row>
        <row r="48">
          <cell r="A48" t="str">
            <v>S0034438</v>
          </cell>
          <cell r="B48" t="str">
            <v>SPS SHERMAN ST CANNING VALE</v>
          </cell>
          <cell r="C48" t="str">
            <v>14 SHERMAN ST</v>
          </cell>
          <cell r="D48" t="str">
            <v>CANNING VALE</v>
          </cell>
          <cell r="E48" t="str">
            <v>6155</v>
          </cell>
          <cell r="F48" t="str">
            <v>C:\Data\AutoSave\Metro South\River Proximity\Canning Vale\WWPS - Sherman St</v>
          </cell>
          <cell r="G48" t="str">
            <v>UWSS3</v>
          </cell>
          <cell r="H48" t="str">
            <v>Metro.WWC.PS.Willetton.Sherman St Canning Vale No 016-02 WWPS</v>
          </cell>
          <cell r="I48" t="str">
            <v>Y</v>
          </cell>
        </row>
        <row r="49">
          <cell r="A49" t="str">
            <v>S0045007</v>
          </cell>
          <cell r="B49" t="str">
            <v>SPS QUEEN PDE WANNANUP</v>
          </cell>
          <cell r="C49" t="str">
            <v>259 QUEEN PDE</v>
          </cell>
          <cell r="D49" t="str">
            <v>WANNANUP</v>
          </cell>
          <cell r="E49" t="str">
            <v>6210</v>
          </cell>
          <cell r="F49" t="str">
            <v>C:\Data\AutoSave\Metro South\Mandurah\Wannanup\WWPS - Queen Pde</v>
          </cell>
          <cell r="G49" t="str">
            <v>UWSS3</v>
          </cell>
          <cell r="I49" t="str">
            <v>N</v>
          </cell>
        </row>
        <row r="50">
          <cell r="A50" t="str">
            <v>S2003451</v>
          </cell>
          <cell r="B50" t="str">
            <v>SPS CANDELLA SQ STIRLING</v>
          </cell>
          <cell r="C50" t="str">
            <v>2 CANDELLA SQ</v>
          </cell>
          <cell r="D50" t="str">
            <v>STIRLING</v>
          </cell>
          <cell r="E50" t="str">
            <v>6021</v>
          </cell>
          <cell r="F50" t="str">
            <v>C:\Data\AutoSave\Metro North\Wanneroo Corridor\Stirling\WWPS - Candella Sq</v>
          </cell>
          <cell r="G50" t="str">
            <v>UWSS3</v>
          </cell>
          <cell r="H50" t="str">
            <v>Metro.WWC.PN.Hamersley.Candella Sq Stirling No 005-08 WWPS</v>
          </cell>
          <cell r="I50" t="str">
            <v>Y</v>
          </cell>
        </row>
        <row r="51">
          <cell r="A51" t="str">
            <v>S2003487</v>
          </cell>
          <cell r="B51" t="str">
            <v>SPS SCENIC DR WANNEROO</v>
          </cell>
          <cell r="C51" t="str">
            <v>15 NEVILLE DR</v>
          </cell>
          <cell r="D51" t="str">
            <v>WANNEROO</v>
          </cell>
          <cell r="E51" t="str">
            <v>6065</v>
          </cell>
          <cell r="F51" t="str">
            <v>C:\Data\AutoSave\Metro North\Wanneroo Corridor\Wanneroo\WWPS - Scenic Dr</v>
          </cell>
          <cell r="G51" t="str">
            <v>UWSS3</v>
          </cell>
          <cell r="H51" t="str">
            <v>Metro.WWC.PN.Wanneroo.Scenic Dr Wanneroo No 160-02 WWPS</v>
          </cell>
          <cell r="I51" t="str">
            <v>Y</v>
          </cell>
        </row>
        <row r="52">
          <cell r="A52" t="str">
            <v>S0033186</v>
          </cell>
          <cell r="B52" t="str">
            <v>SPS BEACH ST FREMANTLE</v>
          </cell>
          <cell r="C52" t="str">
            <v>1 JAMES ST</v>
          </cell>
          <cell r="D52" t="str">
            <v>FREMANTLE</v>
          </cell>
          <cell r="E52" t="str">
            <v>6160</v>
          </cell>
          <cell r="F52" t="str">
            <v>C:\Data\AutoSave\Metro South\Fremantle-Jandakot\Fremantle\WWPS - Beach St</v>
          </cell>
          <cell r="G52" t="str">
            <v>UWSS3</v>
          </cell>
          <cell r="H52" t="str">
            <v>Metro.WWC.PS.Fremantle.Beach St Fremantle No 026-04 WWPS</v>
          </cell>
          <cell r="I52" t="str">
            <v>Y</v>
          </cell>
        </row>
        <row r="53">
          <cell r="A53" t="str">
            <v>S0044966</v>
          </cell>
          <cell r="B53" t="str">
            <v>SPS FORREST ST PINJARRA</v>
          </cell>
          <cell r="C53" t="str">
            <v>74 FORREST ST</v>
          </cell>
          <cell r="D53" t="str">
            <v>PINJARRA</v>
          </cell>
          <cell r="E53" t="str">
            <v>6208</v>
          </cell>
          <cell r="F53" t="str">
            <v>C:\Data\AutoSave\Metro South\Murray-Wellington\Pinjarra\WWPS - Forrest St</v>
          </cell>
          <cell r="G53" t="str">
            <v>UWSS3</v>
          </cell>
          <cell r="I53" t="str">
            <v>N</v>
          </cell>
        </row>
        <row r="54">
          <cell r="A54" t="str">
            <v>S0030561</v>
          </cell>
          <cell r="B54" t="str">
            <v>SPS SWANSON WY SECRET HARBOUR</v>
          </cell>
          <cell r="C54" t="str">
            <v>13 SWANSON WAY</v>
          </cell>
          <cell r="D54" t="str">
            <v>SECRET HARBOUR</v>
          </cell>
          <cell r="E54" t="str">
            <v>6173</v>
          </cell>
          <cell r="F54" t="str">
            <v>C:\Data\AutoSave\Metro South\Rockingham-Kwinana\Secret Harbour\WWPS - Swanson Wy</v>
          </cell>
          <cell r="G54" t="str">
            <v>UWSS3</v>
          </cell>
          <cell r="H54" t="str">
            <v>Metro.WWC.PS.Warnbro.Swanson Way Secret Harbour No 183-04 WWPS</v>
          </cell>
          <cell r="I54" t="str">
            <v>Y</v>
          </cell>
        </row>
        <row r="55">
          <cell r="A55" t="str">
            <v>S0034001</v>
          </cell>
          <cell r="B55" t="str">
            <v>SPS BOWMAN ST SOUTH PERTH</v>
          </cell>
          <cell r="C55" t="str">
            <v>2 BOWMAN ST</v>
          </cell>
          <cell r="D55" t="str">
            <v>SOUTH PERTH</v>
          </cell>
          <cell r="E55" t="str">
            <v>6151</v>
          </cell>
          <cell r="F55" t="str">
            <v>C:\Data\AutoSave\Metro South\River Proximity\South Perth\WWPS - Bowman St</v>
          </cell>
          <cell r="G55" t="str">
            <v>UWSS3</v>
          </cell>
          <cell r="H55" t="str">
            <v>Metro.WWC.PS.Victoria Park.Bowman St South Perth No 065-03 WWPS</v>
          </cell>
          <cell r="I55" t="str">
            <v>Y</v>
          </cell>
        </row>
        <row r="56">
          <cell r="A56" t="str">
            <v>S0045034</v>
          </cell>
          <cell r="B56" t="str">
            <v>SPS CULEENUP RD NORTH YUNDERUP</v>
          </cell>
          <cell r="C56" t="str">
            <v>69 CULEENUP RD</v>
          </cell>
          <cell r="D56" t="str">
            <v>NORTH YUNDERUP</v>
          </cell>
          <cell r="E56" t="str">
            <v>6208</v>
          </cell>
          <cell r="F56" t="str">
            <v>C:\Data\AutoSave\Metro South\Mandurah\North Yunderup\WWPS - Culeenup Rd</v>
          </cell>
          <cell r="G56" t="str">
            <v>UWSS3</v>
          </cell>
          <cell r="H56" t="str">
            <v>Metro.WWC.Mandurah - Murray.Mandurah - Yunderup.Yunderup.Culeenup Rd No 154-08 WWPS</v>
          </cell>
          <cell r="I56" t="str">
            <v>Y</v>
          </cell>
        </row>
        <row r="57">
          <cell r="A57" t="str">
            <v>S0033305</v>
          </cell>
          <cell r="B57" t="str">
            <v>SPS PRESTON POINT RD EAST FREMANTLE</v>
          </cell>
          <cell r="C57" t="str">
            <v>6799 PRESTON POINT RD</v>
          </cell>
          <cell r="D57" t="str">
            <v>EAST FREMANTLE</v>
          </cell>
          <cell r="E57" t="str">
            <v>6158</v>
          </cell>
          <cell r="F57" t="str">
            <v>C:\Data\AutoSave\Metro South\Fremantle-Jandakot\East Fremantle\WWPS - Preston Point Rd</v>
          </cell>
          <cell r="G57" t="str">
            <v>UWSS3</v>
          </cell>
          <cell r="H57" t="str">
            <v>Metro.WWC.PS.Fremantle.Preston Point Rd Fremantle No 026-06 WWPS</v>
          </cell>
          <cell r="I57" t="str">
            <v>Y</v>
          </cell>
        </row>
        <row r="58">
          <cell r="A58" t="str">
            <v>S2023282</v>
          </cell>
          <cell r="B58" t="str">
            <v>SPS HORDERN ST VICTORIA PARK</v>
          </cell>
          <cell r="C58" t="str">
            <v>8324 HORDERN ST</v>
          </cell>
          <cell r="D58" t="str">
            <v>VICTORIA PARK</v>
          </cell>
          <cell r="E58" t="str">
            <v>6100</v>
          </cell>
          <cell r="F58" t="str">
            <v>C:\Data\AutoSave\Metro South\River Proximity\Victoria Park\WWPS - Hordern St</v>
          </cell>
          <cell r="G58" t="str">
            <v>UWSS3</v>
          </cell>
          <cell r="H58" t="str">
            <v>Metro.WWC.PS.Victoria Park.Armagh St System.Hordern St No 070-01X WWPS</v>
          </cell>
          <cell r="I58" t="str">
            <v>Y</v>
          </cell>
        </row>
        <row r="59">
          <cell r="A59" t="str">
            <v>S0028957</v>
          </cell>
          <cell r="B59" t="str">
            <v>SPS CHARLES ST MIDLAND</v>
          </cell>
          <cell r="C59" t="str">
            <v>35 DUDLEY ST</v>
          </cell>
          <cell r="D59" t="str">
            <v>MIDLAND</v>
          </cell>
          <cell r="E59" t="str">
            <v>6056</v>
          </cell>
          <cell r="F59" t="str">
            <v>C:\Data\AutoSave\Metro East\Midland-Swan\Midland\WWPS - Charles St</v>
          </cell>
          <cell r="G59" t="str">
            <v>UWSS3</v>
          </cell>
          <cell r="H59" t="str">
            <v>Metro.WWC.PN.Midland.Charles St Midland No 051-01 WWPS</v>
          </cell>
          <cell r="I59" t="str">
            <v>Y</v>
          </cell>
        </row>
      </sheetData>
      <sheetData sheetId="2" refreshError="1"/>
      <sheetData sheetId="3" refreshError="1">
        <row r="7">
          <cell r="E7" t="str">
            <v>S2023198</v>
          </cell>
          <cell r="F7" t="str">
            <v>Armadale Pumping Station #2 &amp; #3</v>
          </cell>
          <cell r="H7" t="str">
            <v>Transformer</v>
          </cell>
          <cell r="J7" t="str">
            <v>Pumping Station SB</v>
          </cell>
          <cell r="K7" t="str">
            <v>JT03-40-1</v>
          </cell>
          <cell r="M7">
            <v>315</v>
          </cell>
          <cell r="N7">
            <v>22</v>
          </cell>
          <cell r="O7">
            <v>415</v>
          </cell>
          <cell r="S7" t="str">
            <v>XLPE</v>
          </cell>
          <cell r="T7" t="str">
            <v>4x1C 150mm2</v>
          </cell>
          <cell r="V7" t="str">
            <v>MCB</v>
          </cell>
          <cell r="W7">
            <v>400</v>
          </cell>
          <cell r="AA7">
            <v>415</v>
          </cell>
          <cell r="AB7">
            <v>400</v>
          </cell>
          <cell r="AC7">
            <v>10</v>
          </cell>
          <cell r="AD7">
            <v>1</v>
          </cell>
          <cell r="AF7">
            <v>2009</v>
          </cell>
          <cell r="AH7" t="str">
            <v>Ray Bowra</v>
          </cell>
          <cell r="AI7" t="str">
            <v>WC</v>
          </cell>
        </row>
        <row r="8">
          <cell r="E8" t="str">
            <v>S038-002-005</v>
          </cell>
          <cell r="F8" t="str">
            <v>Broome North WWTP</v>
          </cell>
          <cell r="G8" t="str">
            <v>MC03100</v>
          </cell>
          <cell r="H8" t="str">
            <v>Generator 80kVA</v>
          </cell>
          <cell r="I8" t="str">
            <v>S3001653</v>
          </cell>
          <cell r="J8" t="str">
            <v>415v Main SB</v>
          </cell>
          <cell r="K8" t="str">
            <v>JT14-40-1</v>
          </cell>
          <cell r="V8" t="str">
            <v>MCB</v>
          </cell>
          <cell r="W8">
            <v>400</v>
          </cell>
          <cell r="AA8">
            <v>415</v>
          </cell>
          <cell r="AB8">
            <v>400</v>
          </cell>
          <cell r="AC8">
            <v>10</v>
          </cell>
          <cell r="AD8">
            <v>1</v>
          </cell>
          <cell r="AF8">
            <v>2009</v>
          </cell>
          <cell r="AG8" t="str">
            <v>3B</v>
          </cell>
          <cell r="AH8" t="str">
            <v>Steve Farquhar</v>
          </cell>
          <cell r="AI8" t="str">
            <v>WC</v>
          </cell>
          <cell r="AJ8" t="str">
            <v>Under construction, due Nov 2010</v>
          </cell>
        </row>
        <row r="9">
          <cell r="E9" t="str">
            <v>W7001120</v>
          </cell>
          <cell r="F9" t="str">
            <v>Gnowangerup Tank Site</v>
          </cell>
          <cell r="H9" t="str">
            <v>Supply Auth</v>
          </cell>
          <cell r="J9" t="str">
            <v>Incoming Panel</v>
          </cell>
          <cell r="K9" t="str">
            <v>JU33-40-2</v>
          </cell>
          <cell r="M9">
            <v>100</v>
          </cell>
          <cell r="N9">
            <v>22</v>
          </cell>
          <cell r="O9">
            <v>415</v>
          </cell>
          <cell r="P9">
            <v>3.3000000000000002E-2</v>
          </cell>
          <cell r="S9" t="str">
            <v>XLPE/PVC</v>
          </cell>
          <cell r="T9" t="str">
            <v>4x1C 25mm2</v>
          </cell>
          <cell r="V9" t="str">
            <v>MCB</v>
          </cell>
          <cell r="W9">
            <v>80</v>
          </cell>
          <cell r="AA9">
            <v>415</v>
          </cell>
          <cell r="AB9">
            <v>100</v>
          </cell>
          <cell r="AC9">
            <v>10</v>
          </cell>
          <cell r="AD9">
            <v>1</v>
          </cell>
          <cell r="AE9">
            <v>4.2</v>
          </cell>
          <cell r="AF9">
            <v>2009</v>
          </cell>
          <cell r="AH9" t="str">
            <v>Sam Cockburn</v>
          </cell>
          <cell r="AI9" t="str">
            <v>WC</v>
          </cell>
        </row>
        <row r="10">
          <cell r="E10" t="str">
            <v>W049-003-004-008-007</v>
          </cell>
          <cell r="F10" t="str">
            <v>Popanyinning Booster PS</v>
          </cell>
          <cell r="H10" t="str">
            <v>Supply Auth</v>
          </cell>
          <cell r="J10" t="str">
            <v>Incoming Panel</v>
          </cell>
          <cell r="K10" t="str">
            <v>JU03-41-1</v>
          </cell>
          <cell r="M10">
            <v>160</v>
          </cell>
          <cell r="N10">
            <v>22</v>
          </cell>
          <cell r="O10">
            <v>415</v>
          </cell>
          <cell r="R10">
            <v>5.3</v>
          </cell>
          <cell r="S10" t="str">
            <v>XLPE/PVC</v>
          </cell>
          <cell r="T10" t="str">
            <v>4x1C 95mm2</v>
          </cell>
          <cell r="V10" t="str">
            <v>MCB</v>
          </cell>
          <cell r="W10">
            <v>200</v>
          </cell>
          <cell r="AA10">
            <v>415</v>
          </cell>
          <cell r="AB10">
            <v>200</v>
          </cell>
          <cell r="AC10">
            <v>10</v>
          </cell>
          <cell r="AD10">
            <v>1</v>
          </cell>
          <cell r="AF10">
            <v>2009</v>
          </cell>
          <cell r="AH10" t="str">
            <v>Sam Cockburn</v>
          </cell>
          <cell r="AI10" t="str">
            <v>WC</v>
          </cell>
        </row>
        <row r="11">
          <cell r="E11" t="str">
            <v>S001-001-002</v>
          </cell>
          <cell r="F11" t="str">
            <v>Alkimos WWTP</v>
          </cell>
          <cell r="G11" t="str">
            <v>MC40101</v>
          </cell>
          <cell r="H11" t="str">
            <v>TF40501</v>
          </cell>
          <cell r="J11" t="str">
            <v>Area 40 MCC SB</v>
          </cell>
          <cell r="K11" t="str">
            <v>JS25-43-1</v>
          </cell>
          <cell r="M11">
            <v>1250</v>
          </cell>
          <cell r="N11">
            <v>22</v>
          </cell>
          <cell r="O11">
            <v>433</v>
          </cell>
          <cell r="R11">
            <v>3.78</v>
          </cell>
          <cell r="V11" t="str">
            <v>MCB</v>
          </cell>
          <cell r="W11">
            <v>1800</v>
          </cell>
          <cell r="X11" t="str">
            <v>JS25-41-4</v>
          </cell>
          <cell r="AA11">
            <v>415</v>
          </cell>
          <cell r="AB11">
            <v>1600</v>
          </cell>
          <cell r="AC11">
            <v>36</v>
          </cell>
          <cell r="AD11">
            <v>1</v>
          </cell>
          <cell r="AE11">
            <v>22.59</v>
          </cell>
          <cell r="AF11">
            <v>2009</v>
          </cell>
          <cell r="AH11" t="str">
            <v>Not built</v>
          </cell>
        </row>
        <row r="12">
          <cell r="E12" t="str">
            <v>S001-001-002</v>
          </cell>
          <cell r="F12" t="str">
            <v>Alkimos WWTP</v>
          </cell>
          <cell r="G12" t="str">
            <v>DB40201</v>
          </cell>
          <cell r="H12" t="str">
            <v>MC40101</v>
          </cell>
          <cell r="J12" t="str">
            <v>Area 40 Essential DB</v>
          </cell>
          <cell r="K12" t="str">
            <v>JS25-43-3</v>
          </cell>
          <cell r="V12" t="str">
            <v>MCB</v>
          </cell>
          <cell r="W12">
            <v>63</v>
          </cell>
          <cell r="AA12">
            <v>415</v>
          </cell>
          <cell r="AB12">
            <v>63</v>
          </cell>
          <cell r="AC12">
            <v>10</v>
          </cell>
          <cell r="AD12">
            <v>1</v>
          </cell>
          <cell r="AF12">
            <v>2009</v>
          </cell>
          <cell r="AH12" t="str">
            <v>Not built</v>
          </cell>
        </row>
        <row r="13">
          <cell r="E13" t="str">
            <v>S001-001-002</v>
          </cell>
          <cell r="F13" t="str">
            <v>Alkimos WWTP</v>
          </cell>
          <cell r="G13" t="str">
            <v>DB40202</v>
          </cell>
          <cell r="H13" t="str">
            <v>MC40101</v>
          </cell>
          <cell r="J13" t="str">
            <v>Area 40 Non-Essential DB</v>
          </cell>
          <cell r="K13" t="str">
            <v>JS25-43-4</v>
          </cell>
          <cell r="V13" t="str">
            <v>MCB</v>
          </cell>
          <cell r="W13">
            <v>100</v>
          </cell>
          <cell r="AA13">
            <v>415</v>
          </cell>
          <cell r="AB13">
            <v>100</v>
          </cell>
          <cell r="AC13">
            <v>10</v>
          </cell>
          <cell r="AD13">
            <v>1</v>
          </cell>
          <cell r="AF13">
            <v>2009</v>
          </cell>
          <cell r="AH13" t="str">
            <v>Not built</v>
          </cell>
        </row>
        <row r="14">
          <cell r="E14" t="str">
            <v>S001-001-002</v>
          </cell>
          <cell r="F14" t="str">
            <v>Alkimos WWTP</v>
          </cell>
          <cell r="G14" t="str">
            <v>MC70101</v>
          </cell>
          <cell r="H14" t="str">
            <v>TF70501</v>
          </cell>
          <cell r="J14" t="str">
            <v>Area 70 MCC SB</v>
          </cell>
          <cell r="K14" t="str">
            <v>JS25-42-1</v>
          </cell>
          <cell r="M14">
            <v>800</v>
          </cell>
          <cell r="N14">
            <v>22</v>
          </cell>
          <cell r="O14">
            <v>433</v>
          </cell>
          <cell r="R14">
            <v>3.78</v>
          </cell>
          <cell r="V14" t="str">
            <v>MCB</v>
          </cell>
          <cell r="W14">
            <v>1187.5</v>
          </cell>
          <cell r="X14" t="str">
            <v>JS25-41-4</v>
          </cell>
          <cell r="AA14">
            <v>415</v>
          </cell>
          <cell r="AB14">
            <v>2000</v>
          </cell>
          <cell r="AC14">
            <v>36</v>
          </cell>
          <cell r="AD14">
            <v>1</v>
          </cell>
          <cell r="AE14">
            <v>16.55</v>
          </cell>
          <cell r="AF14">
            <v>2009</v>
          </cell>
          <cell r="AH14" t="str">
            <v>Not built</v>
          </cell>
        </row>
        <row r="15">
          <cell r="E15" t="str">
            <v>S001-001-002</v>
          </cell>
          <cell r="F15" t="str">
            <v>Alkimos WWTP</v>
          </cell>
          <cell r="G15" t="str">
            <v>DB70201</v>
          </cell>
          <cell r="H15" t="str">
            <v>MC70101</v>
          </cell>
          <cell r="J15" t="str">
            <v>Area 70 Essential DB</v>
          </cell>
          <cell r="K15" t="str">
            <v>JS25-42-3</v>
          </cell>
          <cell r="V15" t="str">
            <v>MCB</v>
          </cell>
          <cell r="W15">
            <v>63</v>
          </cell>
          <cell r="AA15">
            <v>415</v>
          </cell>
          <cell r="AB15">
            <v>63</v>
          </cell>
          <cell r="AC15">
            <v>10</v>
          </cell>
          <cell r="AD15">
            <v>1</v>
          </cell>
          <cell r="AF15">
            <v>2009</v>
          </cell>
          <cell r="AH15" t="str">
            <v>Not built</v>
          </cell>
        </row>
        <row r="16">
          <cell r="E16" t="str">
            <v>S001-001-002</v>
          </cell>
          <cell r="F16" t="str">
            <v>Alkimos WWTP</v>
          </cell>
          <cell r="G16" t="str">
            <v>DB70202</v>
          </cell>
          <cell r="H16" t="str">
            <v>MC70101</v>
          </cell>
          <cell r="J16" t="str">
            <v>Area 70 Non-Essential DB</v>
          </cell>
          <cell r="K16" t="str">
            <v>JS25-42-4</v>
          </cell>
          <cell r="V16" t="str">
            <v>MCB</v>
          </cell>
          <cell r="W16">
            <v>60</v>
          </cell>
          <cell r="AA16">
            <v>415</v>
          </cell>
          <cell r="AB16">
            <v>160</v>
          </cell>
          <cell r="AC16">
            <v>10</v>
          </cell>
          <cell r="AD16">
            <v>1</v>
          </cell>
          <cell r="AF16">
            <v>2009</v>
          </cell>
          <cell r="AH16" t="str">
            <v>Not built</v>
          </cell>
        </row>
        <row r="17">
          <cell r="E17" t="str">
            <v>S3002294</v>
          </cell>
          <cell r="F17" t="str">
            <v>Port Headland Pumping Station #10</v>
          </cell>
          <cell r="H17" t="str">
            <v>Supply Auth</v>
          </cell>
          <cell r="J17" t="str">
            <v>Pumping Station SB</v>
          </cell>
          <cell r="K17" t="str">
            <v>JR82-40-1</v>
          </cell>
          <cell r="S17" t="str">
            <v>XLPE</v>
          </cell>
          <cell r="T17" t="str">
            <v>4x1C 25mm2</v>
          </cell>
          <cell r="V17" t="str">
            <v>MCB</v>
          </cell>
          <cell r="W17">
            <v>61.8</v>
          </cell>
          <cell r="X17" t="str">
            <v>JR82-40-2</v>
          </cell>
          <cell r="AA17">
            <v>415</v>
          </cell>
          <cell r="AB17">
            <v>100</v>
          </cell>
          <cell r="AC17">
            <v>10</v>
          </cell>
          <cell r="AD17">
            <v>1</v>
          </cell>
          <cell r="AF17">
            <v>2009</v>
          </cell>
          <cell r="AG17" t="str">
            <v>US</v>
          </cell>
          <cell r="AH17" t="str">
            <v>Steve Farquhar</v>
          </cell>
          <cell r="AI17" t="str">
            <v>WC</v>
          </cell>
          <cell r="AJ17" t="str">
            <v>Not installed</v>
          </cell>
        </row>
        <row r="18">
          <cell r="E18" t="str">
            <v>S2023084</v>
          </cell>
          <cell r="F18" t="str">
            <v>Alkimos Pumping Station #001-01</v>
          </cell>
          <cell r="H18" t="str">
            <v>Supply Auth</v>
          </cell>
          <cell r="I18" t="str">
            <v>S2023094</v>
          </cell>
          <cell r="J18" t="str">
            <v>Pump Station SB</v>
          </cell>
          <cell r="K18" t="str">
            <v>JQ27-40-1</v>
          </cell>
          <cell r="N18">
            <v>22</v>
          </cell>
          <cell r="O18">
            <v>415</v>
          </cell>
          <cell r="P18">
            <v>0.04</v>
          </cell>
          <cell r="R18">
            <v>15.9</v>
          </cell>
          <cell r="S18" t="str">
            <v>XLPE</v>
          </cell>
          <cell r="T18" t="str">
            <v>4x1C 25mm2</v>
          </cell>
          <cell r="U18">
            <v>225</v>
          </cell>
          <cell r="V18" t="str">
            <v>MCB</v>
          </cell>
          <cell r="W18">
            <v>64</v>
          </cell>
          <cell r="X18" t="str">
            <v>JQ27-40-3</v>
          </cell>
          <cell r="AA18">
            <v>440</v>
          </cell>
          <cell r="AB18">
            <v>100</v>
          </cell>
          <cell r="AC18">
            <v>10</v>
          </cell>
          <cell r="AD18">
            <v>1</v>
          </cell>
          <cell r="AE18">
            <v>4.2</v>
          </cell>
          <cell r="AF18">
            <v>2009</v>
          </cell>
          <cell r="AH18" t="str">
            <v>Ray Bowra</v>
          </cell>
          <cell r="AI18" t="str">
            <v>WC</v>
          </cell>
        </row>
        <row r="19">
          <cell r="E19" t="str">
            <v>S2023032</v>
          </cell>
          <cell r="F19" t="str">
            <v>Spearwood Pumping Station #66-22</v>
          </cell>
          <cell r="H19" t="str">
            <v>Supply Auth</v>
          </cell>
          <cell r="I19" t="str">
            <v>S2031475</v>
          </cell>
          <cell r="J19" t="str">
            <v>Incoming Panel</v>
          </cell>
          <cell r="K19" t="str">
            <v>JN42-40-1</v>
          </cell>
          <cell r="M19">
            <v>315</v>
          </cell>
          <cell r="N19">
            <v>22</v>
          </cell>
          <cell r="O19">
            <v>415</v>
          </cell>
          <cell r="P19">
            <v>0.04</v>
          </cell>
          <cell r="R19">
            <v>10.5</v>
          </cell>
          <cell r="S19" t="str">
            <v>XLPE</v>
          </cell>
          <cell r="T19" t="str">
            <v>3x1C+N 25mm2</v>
          </cell>
          <cell r="V19" t="str">
            <v>MCB</v>
          </cell>
          <cell r="W19">
            <v>100</v>
          </cell>
          <cell r="X19" t="str">
            <v>JN42-40-2</v>
          </cell>
          <cell r="AA19">
            <v>415</v>
          </cell>
          <cell r="AC19">
            <v>10</v>
          </cell>
          <cell r="AD19">
            <v>1</v>
          </cell>
          <cell r="AE19">
            <v>9.5</v>
          </cell>
          <cell r="AF19">
            <v>2009</v>
          </cell>
          <cell r="AH19" t="str">
            <v>Ray Bowra</v>
          </cell>
          <cell r="AI19" t="str">
            <v>WC</v>
          </cell>
        </row>
        <row r="20">
          <cell r="E20" t="str">
            <v>W5168830</v>
          </cell>
          <cell r="F20" t="str">
            <v>Coolgardie Booster PS #606</v>
          </cell>
          <cell r="H20" t="str">
            <v>Tr001</v>
          </cell>
          <cell r="J20" t="str">
            <v>Main SB</v>
          </cell>
          <cell r="K20" t="str">
            <v>JM15-40-2</v>
          </cell>
          <cell r="M20">
            <v>315</v>
          </cell>
          <cell r="N20">
            <v>33</v>
          </cell>
          <cell r="O20">
            <v>433</v>
          </cell>
          <cell r="S20" t="str">
            <v>XLPE</v>
          </cell>
          <cell r="T20" t="str">
            <v>6x1C+2N 150mm2</v>
          </cell>
          <cell r="V20" t="str">
            <v>MCB</v>
          </cell>
          <cell r="W20">
            <v>441</v>
          </cell>
          <cell r="X20" t="str">
            <v>JM15-40-3</v>
          </cell>
          <cell r="AA20">
            <v>415</v>
          </cell>
          <cell r="AB20">
            <v>1000</v>
          </cell>
          <cell r="AC20">
            <v>10</v>
          </cell>
          <cell r="AD20">
            <v>1</v>
          </cell>
          <cell r="AE20">
            <v>8.1</v>
          </cell>
          <cell r="AF20">
            <v>2009</v>
          </cell>
          <cell r="AH20" t="str">
            <v>Rob Van-Tiel</v>
          </cell>
          <cell r="AI20" t="str">
            <v>WC</v>
          </cell>
        </row>
        <row r="21">
          <cell r="E21" t="str">
            <v>W5168830</v>
          </cell>
          <cell r="F21" t="str">
            <v>Coolgardie Booster PS #606</v>
          </cell>
          <cell r="H21" t="str">
            <v>Non-Essential Services DB</v>
          </cell>
          <cell r="J21" t="str">
            <v>Essential Services DB</v>
          </cell>
          <cell r="K21" t="str">
            <v>JM15-40-2</v>
          </cell>
          <cell r="V21" t="str">
            <v>MCB</v>
          </cell>
          <cell r="W21">
            <v>160</v>
          </cell>
          <cell r="AA21">
            <v>415</v>
          </cell>
          <cell r="AB21">
            <v>500</v>
          </cell>
          <cell r="AC21">
            <v>10</v>
          </cell>
          <cell r="AD21">
            <v>1</v>
          </cell>
          <cell r="AF21">
            <v>2009</v>
          </cell>
          <cell r="AH21" t="str">
            <v>Rob Van-Tiel</v>
          </cell>
          <cell r="AI21" t="str">
            <v>WC</v>
          </cell>
        </row>
        <row r="22">
          <cell r="E22" t="str">
            <v>W5168830</v>
          </cell>
          <cell r="F22" t="str">
            <v>Coolgardie Booster PS #606</v>
          </cell>
          <cell r="H22" t="str">
            <v>Main SB</v>
          </cell>
          <cell r="J22" t="str">
            <v>Non-Essential Services DB</v>
          </cell>
          <cell r="K22" t="str">
            <v>JM15-40-2</v>
          </cell>
          <cell r="S22" t="str">
            <v>XLPE</v>
          </cell>
          <cell r="T22" t="str">
            <v>6x1C+2N 150mm2</v>
          </cell>
          <cell r="V22" t="str">
            <v>MCB</v>
          </cell>
          <cell r="W22">
            <v>630</v>
          </cell>
          <cell r="AA22">
            <v>415</v>
          </cell>
          <cell r="AB22">
            <v>500</v>
          </cell>
          <cell r="AC22">
            <v>10</v>
          </cell>
          <cell r="AD22">
            <v>1</v>
          </cell>
          <cell r="AF22">
            <v>2009</v>
          </cell>
          <cell r="AH22" t="str">
            <v>Rob Van-Tiel</v>
          </cell>
          <cell r="AI22" t="str">
            <v>WC</v>
          </cell>
        </row>
        <row r="23">
          <cell r="E23" t="str">
            <v>S6000236</v>
          </cell>
          <cell r="F23" t="str">
            <v>Esperance Transfer PS - WWTP #1 to #2</v>
          </cell>
          <cell r="H23" t="str">
            <v>Supply Auth</v>
          </cell>
          <cell r="J23" t="str">
            <v>Main SB</v>
          </cell>
          <cell r="K23" t="str">
            <v>JL09-40-1</v>
          </cell>
          <cell r="M23">
            <v>315</v>
          </cell>
          <cell r="N23">
            <v>22</v>
          </cell>
          <cell r="O23">
            <v>415</v>
          </cell>
          <cell r="R23">
            <v>1.5</v>
          </cell>
          <cell r="S23" t="str">
            <v>XLPE</v>
          </cell>
          <cell r="T23" t="str">
            <v>3x1C+N 240mm2</v>
          </cell>
          <cell r="V23" t="str">
            <v>MCB</v>
          </cell>
          <cell r="W23">
            <v>630</v>
          </cell>
          <cell r="X23" t="str">
            <v>JL09-40-2</v>
          </cell>
          <cell r="AA23">
            <v>415</v>
          </cell>
          <cell r="AB23">
            <v>400</v>
          </cell>
          <cell r="AC23">
            <v>10</v>
          </cell>
          <cell r="AD23">
            <v>1</v>
          </cell>
          <cell r="AE23">
            <v>6.55</v>
          </cell>
          <cell r="AF23">
            <v>2008</v>
          </cell>
          <cell r="AH23" t="str">
            <v>Rob Van-Tiel</v>
          </cell>
          <cell r="AI23" t="str">
            <v>WC</v>
          </cell>
          <cell r="AJ23" t="str">
            <v>There are 4 switchboards &gt;100A at the WWTP1 site: Main, transfer PS, bypass PS and aerator switchboards.  Now part of GSR region</v>
          </cell>
        </row>
        <row r="24">
          <cell r="E24" t="str">
            <v>S7010655</v>
          </cell>
          <cell r="F24" t="str">
            <v>Bayonet Head Pumping Station #34</v>
          </cell>
          <cell r="H24" t="str">
            <v>Supply Auth</v>
          </cell>
          <cell r="J24" t="str">
            <v>Incoming Panel</v>
          </cell>
          <cell r="K24" t="str">
            <v>JK73-40-1</v>
          </cell>
          <cell r="M24">
            <v>315</v>
          </cell>
          <cell r="N24">
            <v>33</v>
          </cell>
          <cell r="O24">
            <v>415</v>
          </cell>
          <cell r="S24" t="str">
            <v>XLPE</v>
          </cell>
          <cell r="T24" t="str">
            <v>3x1C+N+E 25mm2</v>
          </cell>
          <cell r="V24" t="str">
            <v>MCB</v>
          </cell>
          <cell r="W24">
            <v>100</v>
          </cell>
          <cell r="X24" t="str">
            <v>JK73-40-2</v>
          </cell>
          <cell r="AA24">
            <v>415</v>
          </cell>
          <cell r="AB24">
            <v>100</v>
          </cell>
          <cell r="AC24">
            <v>10</v>
          </cell>
          <cell r="AD24">
            <v>1</v>
          </cell>
          <cell r="AF24">
            <v>2009</v>
          </cell>
          <cell r="AH24" t="str">
            <v>Sam Cockburn</v>
          </cell>
          <cell r="AI24" t="str">
            <v>WC</v>
          </cell>
        </row>
        <row r="25">
          <cell r="E25" t="str">
            <v>W8012471</v>
          </cell>
          <cell r="F25" t="str">
            <v>Nannup Bore 1/07</v>
          </cell>
          <cell r="H25" t="str">
            <v>Supply Auth</v>
          </cell>
          <cell r="J25" t="str">
            <v>400A Incoming Panel</v>
          </cell>
          <cell r="K25" t="str">
            <v>JK46-40-1</v>
          </cell>
          <cell r="M25">
            <v>315</v>
          </cell>
          <cell r="N25">
            <v>22</v>
          </cell>
          <cell r="O25">
            <v>415</v>
          </cell>
          <cell r="S25" t="str">
            <v>XLPE</v>
          </cell>
          <cell r="T25" t="str">
            <v>3x1C+N 240mm2</v>
          </cell>
          <cell r="V25" t="str">
            <v>MCB</v>
          </cell>
          <cell r="W25">
            <v>400</v>
          </cell>
          <cell r="X25" t="str">
            <v>JK46-40-1</v>
          </cell>
          <cell r="AA25">
            <v>415</v>
          </cell>
          <cell r="AB25">
            <v>400</v>
          </cell>
          <cell r="AE25">
            <v>6.31</v>
          </cell>
          <cell r="AF25">
            <v>2008</v>
          </cell>
          <cell r="AH25" t="str">
            <v>Ian Oswald</v>
          </cell>
          <cell r="AI25" t="str">
            <v>WC</v>
          </cell>
        </row>
        <row r="26">
          <cell r="E26" t="str">
            <v>S0057020</v>
          </cell>
          <cell r="F26" t="str">
            <v>Broome Pumping Station #6</v>
          </cell>
          <cell r="H26" t="str">
            <v>Supply Auth</v>
          </cell>
          <cell r="I26" t="str">
            <v>S0057024</v>
          </cell>
          <cell r="J26" t="str">
            <v>Incoming Panel</v>
          </cell>
          <cell r="K26" t="str">
            <v>JI01-40-2</v>
          </cell>
          <cell r="M26">
            <v>315</v>
          </cell>
          <cell r="N26">
            <v>11</v>
          </cell>
          <cell r="O26">
            <v>433</v>
          </cell>
          <cell r="P26">
            <v>4.8000000000000001E-2</v>
          </cell>
          <cell r="S26" t="str">
            <v>XLPE</v>
          </cell>
          <cell r="T26" t="str">
            <v>8x1C 150mm2</v>
          </cell>
          <cell r="V26" t="str">
            <v>MCB</v>
          </cell>
          <cell r="W26">
            <v>630</v>
          </cell>
          <cell r="X26" t="str">
            <v>JI01-40-3</v>
          </cell>
          <cell r="AB26">
            <v>400</v>
          </cell>
          <cell r="AC26">
            <v>10</v>
          </cell>
          <cell r="AD26">
            <v>1</v>
          </cell>
          <cell r="AE26">
            <v>8.1</v>
          </cell>
          <cell r="AF26">
            <v>2010</v>
          </cell>
          <cell r="AH26" t="str">
            <v>Steve Farquhar</v>
          </cell>
          <cell r="AI26" t="str">
            <v>WC</v>
          </cell>
          <cell r="AJ26" t="str">
            <v>New pump station installed in 2010, not yet commissioned</v>
          </cell>
        </row>
        <row r="27">
          <cell r="E27" t="str">
            <v>W049-003-003-002-002</v>
          </cell>
          <cell r="F27" t="str">
            <v>1000m3 RCC Tank &amp; Transfer PS</v>
          </cell>
          <cell r="H27" t="str">
            <v>Supply Auth</v>
          </cell>
          <cell r="J27" t="str">
            <v>Existing Main SB</v>
          </cell>
          <cell r="K27" t="str">
            <v>JF18-40-2</v>
          </cell>
          <cell r="M27">
            <v>63</v>
          </cell>
          <cell r="N27">
            <v>22</v>
          </cell>
          <cell r="O27">
            <v>415</v>
          </cell>
          <cell r="S27" t="str">
            <v>XLPE</v>
          </cell>
          <cell r="T27" t="str">
            <v>4x1C 25mm2</v>
          </cell>
          <cell r="V27" t="str">
            <v>Fuse</v>
          </cell>
          <cell r="W27">
            <v>100</v>
          </cell>
          <cell r="X27" t="str">
            <v>JF18-40-3</v>
          </cell>
          <cell r="AA27">
            <v>415</v>
          </cell>
          <cell r="AE27">
            <v>3.6</v>
          </cell>
          <cell r="AH27" t="str">
            <v>Sam Cockburn</v>
          </cell>
          <cell r="AI27" t="str">
            <v>WC</v>
          </cell>
        </row>
        <row r="28">
          <cell r="E28" t="str">
            <v>S081-001-003</v>
          </cell>
          <cell r="F28" t="str">
            <v>Busselton WWTP #1</v>
          </cell>
          <cell r="H28" t="str">
            <v>#1 Transformer Kiosk</v>
          </cell>
          <cell r="J28" t="str">
            <v>Main LV SB</v>
          </cell>
          <cell r="K28" t="str">
            <v>JE93-40-1</v>
          </cell>
          <cell r="M28">
            <v>1250</v>
          </cell>
          <cell r="N28">
            <v>22</v>
          </cell>
          <cell r="O28">
            <v>433</v>
          </cell>
          <cell r="P28">
            <v>0.06</v>
          </cell>
          <cell r="S28" t="str">
            <v>XLPE</v>
          </cell>
          <cell r="T28" t="str">
            <v>9x1C+N 500mm2</v>
          </cell>
          <cell r="V28" t="str">
            <v>MCB</v>
          </cell>
          <cell r="W28">
            <v>1600</v>
          </cell>
          <cell r="X28" t="str">
            <v>JE93-40-6</v>
          </cell>
          <cell r="AA28">
            <v>415</v>
          </cell>
          <cell r="AB28">
            <v>1600</v>
          </cell>
          <cell r="AC28">
            <v>30</v>
          </cell>
          <cell r="AD28">
            <v>1</v>
          </cell>
          <cell r="AE28">
            <v>24.4</v>
          </cell>
          <cell r="AF28">
            <v>2009</v>
          </cell>
          <cell r="AH28" t="str">
            <v>Doug Clapp</v>
          </cell>
          <cell r="AI28" t="str">
            <v>WC</v>
          </cell>
        </row>
        <row r="29">
          <cell r="E29" t="str">
            <v>S081-001-003</v>
          </cell>
          <cell r="F29" t="str">
            <v>Busselton WWTP #1</v>
          </cell>
          <cell r="H29" t="str">
            <v>Main LV SB</v>
          </cell>
          <cell r="J29" t="str">
            <v>MCC #2</v>
          </cell>
          <cell r="K29" t="str">
            <v>JE93-40-2</v>
          </cell>
          <cell r="S29" t="str">
            <v>XLPE</v>
          </cell>
          <cell r="T29" t="str">
            <v>4x1C 500mm2</v>
          </cell>
          <cell r="V29" t="str">
            <v>MCB</v>
          </cell>
          <cell r="W29">
            <v>800</v>
          </cell>
          <cell r="AA29">
            <v>415</v>
          </cell>
          <cell r="AB29">
            <v>800</v>
          </cell>
          <cell r="AC29">
            <v>30</v>
          </cell>
          <cell r="AD29">
            <v>1</v>
          </cell>
          <cell r="AF29">
            <v>2009</v>
          </cell>
          <cell r="AH29" t="str">
            <v>Doug Clapp</v>
          </cell>
          <cell r="AI29" t="str">
            <v>WC</v>
          </cell>
        </row>
        <row r="30">
          <cell r="E30" t="str">
            <v>S081-001-003</v>
          </cell>
          <cell r="F30" t="str">
            <v>Busselton WWTP #1</v>
          </cell>
          <cell r="H30" t="str">
            <v>Main LV SB</v>
          </cell>
          <cell r="J30" t="str">
            <v>MCC #1</v>
          </cell>
          <cell r="K30" t="str">
            <v>ES53-41-1</v>
          </cell>
          <cell r="S30" t="str">
            <v>XLPE</v>
          </cell>
          <cell r="T30" t="str">
            <v>4x1C 500mm2</v>
          </cell>
          <cell r="V30" t="str">
            <v>MCB</v>
          </cell>
          <cell r="W30">
            <v>1200</v>
          </cell>
          <cell r="X30" t="str">
            <v>ES53-41-4</v>
          </cell>
          <cell r="AA30">
            <v>415</v>
          </cell>
          <cell r="AB30">
            <v>1200</v>
          </cell>
          <cell r="AC30">
            <v>50</v>
          </cell>
          <cell r="AD30">
            <v>1</v>
          </cell>
          <cell r="AF30">
            <v>1998</v>
          </cell>
          <cell r="AH30" t="str">
            <v>Doug Clapp</v>
          </cell>
          <cell r="AI30" t="str">
            <v>WC</v>
          </cell>
        </row>
        <row r="31">
          <cell r="E31" t="str">
            <v>W0039613</v>
          </cell>
          <cell r="F31" t="str">
            <v>Walkaway PS &amp; DN800 Main Duplication</v>
          </cell>
          <cell r="H31" t="str">
            <v>Transformer Room</v>
          </cell>
          <cell r="I31" t="str">
            <v>WZ007470</v>
          </cell>
          <cell r="J31" t="str">
            <v>Power Factor Correction Cubicle</v>
          </cell>
          <cell r="K31" t="str">
            <v>JE62-40-1</v>
          </cell>
          <cell r="M31">
            <v>800</v>
          </cell>
          <cell r="N31">
            <v>33</v>
          </cell>
          <cell r="O31">
            <v>433</v>
          </cell>
          <cell r="S31" t="str">
            <v>XLPE</v>
          </cell>
          <cell r="T31" t="str">
            <v>9x1C 240mm2</v>
          </cell>
          <cell r="V31" t="str">
            <v>MCB</v>
          </cell>
          <cell r="W31">
            <v>800</v>
          </cell>
          <cell r="X31" t="str">
            <v>JE62-40-2</v>
          </cell>
          <cell r="AA31">
            <v>415</v>
          </cell>
          <cell r="AB31">
            <v>800</v>
          </cell>
          <cell r="AE31">
            <v>14.7</v>
          </cell>
          <cell r="AF31">
            <v>2011</v>
          </cell>
          <cell r="AG31" t="str">
            <v>3B</v>
          </cell>
          <cell r="AH31" t="str">
            <v>Russell Blyth</v>
          </cell>
          <cell r="AI31" t="str">
            <v>WC</v>
          </cell>
        </row>
        <row r="32">
          <cell r="E32" t="str">
            <v>S094-001-003</v>
          </cell>
          <cell r="F32" t="str">
            <v>Pemberton WWTP</v>
          </cell>
          <cell r="H32" t="str">
            <v>Supply Auth</v>
          </cell>
          <cell r="J32" t="str">
            <v>Main SB</v>
          </cell>
          <cell r="K32" t="str">
            <v>JE31-40-1</v>
          </cell>
          <cell r="M32">
            <v>500</v>
          </cell>
          <cell r="N32">
            <v>22</v>
          </cell>
          <cell r="O32">
            <v>433</v>
          </cell>
          <cell r="P32">
            <v>4.1799999999999997E-2</v>
          </cell>
          <cell r="S32" t="str">
            <v>XLPE</v>
          </cell>
          <cell r="T32" t="str">
            <v>7x1C 240mm2</v>
          </cell>
          <cell r="V32" t="str">
            <v>MCB</v>
          </cell>
          <cell r="W32">
            <v>640</v>
          </cell>
          <cell r="X32" t="str">
            <v>JE31-40-4</v>
          </cell>
          <cell r="AA32">
            <v>415</v>
          </cell>
          <cell r="AB32">
            <v>800</v>
          </cell>
          <cell r="AC32">
            <v>20</v>
          </cell>
          <cell r="AD32">
            <v>1</v>
          </cell>
          <cell r="AE32">
            <v>16</v>
          </cell>
          <cell r="AF32">
            <v>2009</v>
          </cell>
          <cell r="AH32" t="str">
            <v>Doug Clapp</v>
          </cell>
          <cell r="AI32" t="str">
            <v>WC</v>
          </cell>
        </row>
        <row r="33">
          <cell r="E33" t="str">
            <v>S094-001-003</v>
          </cell>
          <cell r="F33" t="str">
            <v>Pemberton WWTP</v>
          </cell>
          <cell r="H33" t="str">
            <v>Main SB</v>
          </cell>
          <cell r="J33" t="str">
            <v>Microfiltration MCC</v>
          </cell>
          <cell r="K33" t="str">
            <v>JE31-40-2</v>
          </cell>
          <cell r="S33" t="str">
            <v>XLPE</v>
          </cell>
          <cell r="T33" t="str">
            <v>4C+E 120mm2</v>
          </cell>
          <cell r="V33" t="str">
            <v>MCB</v>
          </cell>
          <cell r="W33">
            <v>160</v>
          </cell>
          <cell r="X33" t="str">
            <v>JE31-40-4</v>
          </cell>
          <cell r="AA33">
            <v>415</v>
          </cell>
          <cell r="AE33">
            <v>12.5</v>
          </cell>
          <cell r="AF33">
            <v>2009</v>
          </cell>
          <cell r="AH33" t="str">
            <v>Doug Clapp</v>
          </cell>
          <cell r="AI33" t="str">
            <v>WC</v>
          </cell>
        </row>
        <row r="34">
          <cell r="E34" t="str">
            <v>S094-001-003</v>
          </cell>
          <cell r="F34" t="str">
            <v>Pemberton WWTP</v>
          </cell>
          <cell r="H34" t="str">
            <v>Microfiltration MCC</v>
          </cell>
          <cell r="J34" t="str">
            <v>Distribution Board</v>
          </cell>
          <cell r="K34" t="str">
            <v>JE31-40-3</v>
          </cell>
          <cell r="S34" t="str">
            <v>XLPE</v>
          </cell>
          <cell r="T34" t="str">
            <v>4C+E 95mm2</v>
          </cell>
          <cell r="V34" t="str">
            <v>Fuse</v>
          </cell>
          <cell r="W34">
            <v>100</v>
          </cell>
          <cell r="AA34">
            <v>415</v>
          </cell>
          <cell r="AF34">
            <v>2009</v>
          </cell>
          <cell r="AH34" t="str">
            <v>Doug Clapp</v>
          </cell>
          <cell r="AI34" t="str">
            <v>WC</v>
          </cell>
        </row>
        <row r="35">
          <cell r="E35" t="str">
            <v>W0046348</v>
          </cell>
          <cell r="F35" t="str">
            <v>Walpole WTP</v>
          </cell>
          <cell r="H35" t="str">
            <v>Supply Auth</v>
          </cell>
          <cell r="J35" t="str">
            <v>Main SB</v>
          </cell>
          <cell r="K35" t="str">
            <v>JE04-40-1</v>
          </cell>
          <cell r="M35">
            <v>315</v>
          </cell>
          <cell r="N35">
            <v>22</v>
          </cell>
          <cell r="O35">
            <v>433</v>
          </cell>
          <cell r="P35">
            <v>3.8199999999999998E-2</v>
          </cell>
          <cell r="S35" t="str">
            <v>XLPE/PVC</v>
          </cell>
          <cell r="T35" t="str">
            <v>8x1C 95mm2</v>
          </cell>
          <cell r="V35" t="str">
            <v>MCB</v>
          </cell>
          <cell r="W35">
            <v>378</v>
          </cell>
          <cell r="X35" t="str">
            <v>JE04-40-4</v>
          </cell>
          <cell r="AA35">
            <v>415</v>
          </cell>
          <cell r="AB35">
            <v>800</v>
          </cell>
          <cell r="AC35">
            <v>20</v>
          </cell>
          <cell r="AD35">
            <v>1</v>
          </cell>
          <cell r="AE35">
            <v>11</v>
          </cell>
          <cell r="AF35">
            <v>2009</v>
          </cell>
          <cell r="AH35" t="str">
            <v>Bruce Norton</v>
          </cell>
          <cell r="AI35" t="str">
            <v>WC</v>
          </cell>
        </row>
        <row r="36">
          <cell r="E36" t="str">
            <v>W0046348</v>
          </cell>
          <cell r="F36" t="str">
            <v>Walpole WTP</v>
          </cell>
          <cell r="H36" t="str">
            <v>Main SB</v>
          </cell>
          <cell r="J36" t="str">
            <v>Microfiltration MCC</v>
          </cell>
          <cell r="K36" t="str">
            <v>JE04-40-2</v>
          </cell>
          <cell r="S36" t="str">
            <v>PVC</v>
          </cell>
          <cell r="T36" t="str">
            <v>4C+E 95mm2</v>
          </cell>
          <cell r="V36" t="str">
            <v>MCB</v>
          </cell>
          <cell r="W36">
            <v>160</v>
          </cell>
          <cell r="X36" t="str">
            <v>JE04-40-4</v>
          </cell>
          <cell r="AA36">
            <v>415</v>
          </cell>
          <cell r="AE36">
            <v>4</v>
          </cell>
          <cell r="AF36">
            <v>2009</v>
          </cell>
          <cell r="AH36" t="str">
            <v>Bruce Norton</v>
          </cell>
          <cell r="AI36" t="str">
            <v>WC</v>
          </cell>
        </row>
        <row r="37">
          <cell r="E37" t="str">
            <v>W0046348</v>
          </cell>
          <cell r="F37" t="str">
            <v>Walpole WTP</v>
          </cell>
          <cell r="H37" t="str">
            <v>Microfiltration MCC</v>
          </cell>
          <cell r="J37" t="str">
            <v>Distribution Board</v>
          </cell>
          <cell r="K37" t="str">
            <v>JE04-40-3</v>
          </cell>
          <cell r="S37" t="str">
            <v>PVC</v>
          </cell>
          <cell r="T37" t="str">
            <v>4C+E 95mm2</v>
          </cell>
          <cell r="V37" t="str">
            <v>Fuse</v>
          </cell>
          <cell r="W37">
            <v>100</v>
          </cell>
          <cell r="AA37">
            <v>415</v>
          </cell>
          <cell r="AF37">
            <v>2009</v>
          </cell>
          <cell r="AH37" t="str">
            <v>Bruce Norton</v>
          </cell>
          <cell r="AI37" t="str">
            <v>WC</v>
          </cell>
        </row>
        <row r="38">
          <cell r="E38" t="str">
            <v>S2019808</v>
          </cell>
          <cell r="F38" t="str">
            <v>Ellenbrook Pump Station #902-47</v>
          </cell>
          <cell r="H38" t="str">
            <v>Supply Auth</v>
          </cell>
          <cell r="I38" t="str">
            <v>S2023148</v>
          </cell>
          <cell r="J38" t="str">
            <v>Main SB</v>
          </cell>
          <cell r="K38" t="str">
            <v>JC32-40-1</v>
          </cell>
          <cell r="S38" t="str">
            <v>XLPE/PVC</v>
          </cell>
          <cell r="T38" t="str">
            <v>3C+N 16mm2</v>
          </cell>
          <cell r="V38" t="str">
            <v>Fuse</v>
          </cell>
          <cell r="W38">
            <v>63</v>
          </cell>
          <cell r="AA38">
            <v>415</v>
          </cell>
          <cell r="AF38">
            <v>2007</v>
          </cell>
          <cell r="AH38" t="str">
            <v>Ray Bowra</v>
          </cell>
          <cell r="AI38" t="str">
            <v>WC</v>
          </cell>
        </row>
        <row r="39">
          <cell r="E39" t="str">
            <v>S2019808</v>
          </cell>
          <cell r="F39" t="str">
            <v>Ellenbrook Pump Station #176-06</v>
          </cell>
          <cell r="H39" t="str">
            <v>Supply Auth</v>
          </cell>
          <cell r="J39" t="str">
            <v>Pumping Station Main SB</v>
          </cell>
          <cell r="K39" t="str">
            <v>JC32-40-13</v>
          </cell>
          <cell r="M39">
            <v>315</v>
          </cell>
          <cell r="N39">
            <v>22</v>
          </cell>
          <cell r="O39">
            <v>415</v>
          </cell>
          <cell r="P39">
            <v>3.8199999999999998E-2</v>
          </cell>
          <cell r="R39">
            <v>10.6</v>
          </cell>
          <cell r="S39" t="str">
            <v>XLPE/PVC</v>
          </cell>
          <cell r="T39" t="str">
            <v>6x1C+2N 185mm2</v>
          </cell>
          <cell r="V39" t="str">
            <v>MCB</v>
          </cell>
          <cell r="W39">
            <v>630</v>
          </cell>
          <cell r="X39" t="str">
            <v>JC32-40-14</v>
          </cell>
          <cell r="AA39">
            <v>415</v>
          </cell>
          <cell r="AE39">
            <v>10.1</v>
          </cell>
          <cell r="AF39">
            <v>2008</v>
          </cell>
          <cell r="AG39">
            <v>1</v>
          </cell>
          <cell r="AH39" t="str">
            <v>Ray Bowra</v>
          </cell>
          <cell r="AI39" t="str">
            <v>WC</v>
          </cell>
          <cell r="AJ39" t="str">
            <v>Many mods to SB was 2x200 hp dual 50 hp Now 2x50KW two can run. Consider change when Flora/Charles St upgraded</v>
          </cell>
        </row>
        <row r="40">
          <cell r="E40" t="str">
            <v>W7010437</v>
          </cell>
          <cell r="F40" t="str">
            <v>Horsley Rd PS &amp; DN375 Main</v>
          </cell>
          <cell r="G40" t="str">
            <v>E1</v>
          </cell>
          <cell r="H40" t="str">
            <v>Supply Auth</v>
          </cell>
          <cell r="J40" t="str">
            <v>Site Main SB</v>
          </cell>
          <cell r="K40" t="str">
            <v>JA97-40-2</v>
          </cell>
          <cell r="M40">
            <v>500</v>
          </cell>
          <cell r="N40">
            <v>22</v>
          </cell>
          <cell r="O40">
            <v>415</v>
          </cell>
          <cell r="R40">
            <v>9.81</v>
          </cell>
          <cell r="V40" t="str">
            <v>MCB</v>
          </cell>
          <cell r="W40">
            <v>246.4</v>
          </cell>
          <cell r="X40" t="str">
            <v>JA97-40-3</v>
          </cell>
          <cell r="AA40">
            <v>415</v>
          </cell>
          <cell r="AB40">
            <v>400</v>
          </cell>
          <cell r="AC40">
            <v>10</v>
          </cell>
          <cell r="AD40">
            <v>1</v>
          </cell>
          <cell r="AE40">
            <v>9.81</v>
          </cell>
          <cell r="AF40">
            <v>2008</v>
          </cell>
          <cell r="AH40" t="str">
            <v>Sam Cockburn</v>
          </cell>
          <cell r="AI40" t="str">
            <v>WC</v>
          </cell>
        </row>
        <row r="41">
          <cell r="E41" t="str">
            <v>W7010437</v>
          </cell>
          <cell r="F41" t="str">
            <v>Horsley Rd PS &amp; DN375 Main</v>
          </cell>
          <cell r="G41" t="str">
            <v>E2</v>
          </cell>
          <cell r="H41" t="str">
            <v>E1</v>
          </cell>
          <cell r="J41" t="str">
            <v>Pump Station SB</v>
          </cell>
          <cell r="K41" t="str">
            <v>JA97-40-2</v>
          </cell>
          <cell r="V41" t="str">
            <v>MCB</v>
          </cell>
          <cell r="W41">
            <v>166.2</v>
          </cell>
          <cell r="X41" t="str">
            <v>JA97-40-3</v>
          </cell>
          <cell r="AA41">
            <v>415</v>
          </cell>
          <cell r="AE41">
            <v>9.81</v>
          </cell>
          <cell r="AF41">
            <v>2008</v>
          </cell>
          <cell r="AH41" t="str">
            <v>Sam Cockburn</v>
          </cell>
          <cell r="AI41" t="str">
            <v>WC</v>
          </cell>
        </row>
        <row r="42">
          <cell r="E42" t="str">
            <v>W0035427</v>
          </cell>
          <cell r="F42" t="str">
            <v>Greenmount Upper High Level Tank</v>
          </cell>
          <cell r="G42" t="str">
            <v>SB1</v>
          </cell>
          <cell r="H42" t="str">
            <v>Supply Auth</v>
          </cell>
          <cell r="J42" t="str">
            <v>Main SB</v>
          </cell>
          <cell r="K42" t="str">
            <v>IZ08-40-2</v>
          </cell>
          <cell r="M42">
            <v>500</v>
          </cell>
          <cell r="N42">
            <v>22</v>
          </cell>
          <cell r="O42">
            <v>440</v>
          </cell>
          <cell r="V42" t="str">
            <v>MCB</v>
          </cell>
          <cell r="W42">
            <v>600</v>
          </cell>
          <cell r="AF42">
            <v>1981</v>
          </cell>
          <cell r="AG42">
            <v>1</v>
          </cell>
          <cell r="AH42" t="str">
            <v>Dave Sutton</v>
          </cell>
          <cell r="AI42" t="str">
            <v>WC</v>
          </cell>
        </row>
        <row r="43">
          <cell r="E43" t="str">
            <v>W0035427</v>
          </cell>
          <cell r="F43" t="str">
            <v>Greenmount Upper High Level Tank</v>
          </cell>
          <cell r="H43" t="str">
            <v>SB1</v>
          </cell>
          <cell r="I43" t="str">
            <v>W0035434</v>
          </cell>
          <cell r="J43" t="str">
            <v>Aeration Pump Control Cubicle</v>
          </cell>
          <cell r="K43" t="str">
            <v>IZ08-40-3</v>
          </cell>
          <cell r="M43">
            <v>500</v>
          </cell>
          <cell r="N43">
            <v>22</v>
          </cell>
          <cell r="O43">
            <v>440</v>
          </cell>
          <cell r="S43" t="str">
            <v>PVC</v>
          </cell>
          <cell r="T43" t="str">
            <v>1x4C+E 10mm2</v>
          </cell>
          <cell r="V43" t="str">
            <v>Fuse</v>
          </cell>
          <cell r="W43">
            <v>63</v>
          </cell>
          <cell r="AF43">
            <v>1981</v>
          </cell>
          <cell r="AG43" t="str">
            <v>3B</v>
          </cell>
          <cell r="AH43" t="str">
            <v>Dave Sutton</v>
          </cell>
          <cell r="AI43" t="str">
            <v>WC</v>
          </cell>
        </row>
        <row r="44">
          <cell r="E44" t="str">
            <v>W1016043</v>
          </cell>
          <cell r="F44" t="str">
            <v>Ravenswood Pumping Station</v>
          </cell>
          <cell r="G44" t="str">
            <v>E12</v>
          </cell>
          <cell r="H44" t="str">
            <v>E11</v>
          </cell>
          <cell r="J44" t="str">
            <v>Tamworth Bank LV SB</v>
          </cell>
          <cell r="K44" t="str">
            <v>IY83-41-21</v>
          </cell>
          <cell r="M44">
            <v>200</v>
          </cell>
          <cell r="N44">
            <v>22</v>
          </cell>
          <cell r="O44">
            <v>433</v>
          </cell>
          <cell r="P44">
            <v>0.04</v>
          </cell>
          <cell r="R44">
            <v>4.7699999999999996</v>
          </cell>
          <cell r="S44" t="str">
            <v>PVC</v>
          </cell>
          <cell r="T44" t="str">
            <v>3x1C 120mm2</v>
          </cell>
          <cell r="V44" t="str">
            <v>MCB</v>
          </cell>
          <cell r="W44">
            <v>307</v>
          </cell>
          <cell r="X44" t="str">
            <v>IY83-40-2</v>
          </cell>
          <cell r="AA44">
            <v>415</v>
          </cell>
          <cell r="AB44">
            <v>400</v>
          </cell>
          <cell r="AC44">
            <v>20</v>
          </cell>
          <cell r="AD44">
            <v>1</v>
          </cell>
          <cell r="AF44">
            <v>2009</v>
          </cell>
          <cell r="AH44" t="str">
            <v>Craig Warner</v>
          </cell>
          <cell r="AI44" t="str">
            <v>Aroona Alliance</v>
          </cell>
        </row>
        <row r="45">
          <cell r="E45" t="str">
            <v>W1016043</v>
          </cell>
          <cell r="F45" t="str">
            <v>Ravenswood Pumping Station</v>
          </cell>
          <cell r="G45" t="str">
            <v>E19</v>
          </cell>
          <cell r="H45" t="str">
            <v>E12</v>
          </cell>
          <cell r="J45" t="str">
            <v>Tamworth Bank LV DB</v>
          </cell>
          <cell r="K45" t="str">
            <v>IY83-41-21</v>
          </cell>
          <cell r="V45" t="str">
            <v>Fuse</v>
          </cell>
          <cell r="W45">
            <v>50</v>
          </cell>
          <cell r="AA45">
            <v>415</v>
          </cell>
          <cell r="AB45">
            <v>50</v>
          </cell>
          <cell r="AC45">
            <v>10</v>
          </cell>
          <cell r="AD45">
            <v>1</v>
          </cell>
          <cell r="AF45">
            <v>2009</v>
          </cell>
          <cell r="AH45" t="str">
            <v>Craig Warner</v>
          </cell>
          <cell r="AI45" t="str">
            <v>Aroona Alliance</v>
          </cell>
        </row>
        <row r="46">
          <cell r="E46" t="str">
            <v>W1016043</v>
          </cell>
          <cell r="F46" t="str">
            <v>Ravenswood Pumping Station</v>
          </cell>
          <cell r="G46" t="str">
            <v>E32</v>
          </cell>
          <cell r="H46" t="str">
            <v>E31</v>
          </cell>
          <cell r="J46" t="str">
            <v>Dandalup Bank LV SB</v>
          </cell>
          <cell r="K46" t="str">
            <v>IY83-41-22</v>
          </cell>
          <cell r="M46">
            <v>200</v>
          </cell>
          <cell r="N46">
            <v>22</v>
          </cell>
          <cell r="O46">
            <v>433</v>
          </cell>
          <cell r="P46">
            <v>0.04</v>
          </cell>
          <cell r="R46">
            <v>4.7699999999999996</v>
          </cell>
          <cell r="S46" t="str">
            <v>PVC</v>
          </cell>
          <cell r="T46" t="str">
            <v>3x1C 120mm2</v>
          </cell>
          <cell r="V46" t="str">
            <v>MCB</v>
          </cell>
          <cell r="W46">
            <v>307</v>
          </cell>
          <cell r="X46" t="str">
            <v>IY83-40-2</v>
          </cell>
          <cell r="AA46">
            <v>415</v>
          </cell>
          <cell r="AB46">
            <v>400</v>
          </cell>
          <cell r="AC46">
            <v>20</v>
          </cell>
          <cell r="AD46">
            <v>1</v>
          </cell>
          <cell r="AF46">
            <v>2009</v>
          </cell>
          <cell r="AH46" t="str">
            <v>Craig Warner</v>
          </cell>
          <cell r="AI46" t="str">
            <v>Aroona Alliance</v>
          </cell>
        </row>
        <row r="47">
          <cell r="E47" t="str">
            <v>W1016043</v>
          </cell>
          <cell r="F47" t="str">
            <v>Ravenswood Pumping Station</v>
          </cell>
          <cell r="G47" t="str">
            <v>E20</v>
          </cell>
          <cell r="H47" t="str">
            <v>E32</v>
          </cell>
          <cell r="J47" t="str">
            <v>Dandalup Bank LV DB</v>
          </cell>
          <cell r="K47" t="str">
            <v>IY83-41-22</v>
          </cell>
          <cell r="V47" t="str">
            <v>Fuse</v>
          </cell>
          <cell r="W47">
            <v>50</v>
          </cell>
          <cell r="AA47">
            <v>415</v>
          </cell>
          <cell r="AB47">
            <v>50</v>
          </cell>
          <cell r="AC47">
            <v>10</v>
          </cell>
          <cell r="AD47">
            <v>1</v>
          </cell>
          <cell r="AF47">
            <v>2009</v>
          </cell>
          <cell r="AH47" t="str">
            <v>Craig Warner</v>
          </cell>
          <cell r="AI47" t="str">
            <v>Aroona Alliance</v>
          </cell>
        </row>
        <row r="48">
          <cell r="E48" t="str">
            <v>W1016043</v>
          </cell>
          <cell r="F48" t="str">
            <v>Ravenswood Pumping Station</v>
          </cell>
          <cell r="G48" t="str">
            <v>E36</v>
          </cell>
          <cell r="H48" t="str">
            <v>#2 WC 22kV SB</v>
          </cell>
          <cell r="J48" t="str">
            <v>#2 HV Switchroom LV DB</v>
          </cell>
          <cell r="K48" t="str">
            <v>IY83-41-20</v>
          </cell>
          <cell r="M48">
            <v>63</v>
          </cell>
          <cell r="N48">
            <v>22</v>
          </cell>
          <cell r="O48">
            <v>433</v>
          </cell>
          <cell r="P48">
            <v>4.7E-2</v>
          </cell>
          <cell r="V48" t="str">
            <v>MCB</v>
          </cell>
          <cell r="W48">
            <v>88</v>
          </cell>
          <cell r="AA48">
            <v>415</v>
          </cell>
          <cell r="AB48">
            <v>400</v>
          </cell>
          <cell r="AC48">
            <v>20</v>
          </cell>
          <cell r="AD48">
            <v>1</v>
          </cell>
          <cell r="AH48" t="str">
            <v>Craig Warner</v>
          </cell>
          <cell r="AI48" t="str">
            <v>Aroona Alliance</v>
          </cell>
        </row>
        <row r="49">
          <cell r="E49" t="str">
            <v>W8000982</v>
          </cell>
          <cell r="F49" t="str">
            <v>Dalyellup WTP - Incomer &amp; Bore #1/2005</v>
          </cell>
          <cell r="H49" t="str">
            <v>Supply Auth</v>
          </cell>
          <cell r="J49" t="str">
            <v>Site Main SB</v>
          </cell>
          <cell r="K49" t="str">
            <v>IY16-40-1</v>
          </cell>
          <cell r="M49">
            <v>315</v>
          </cell>
          <cell r="N49">
            <v>22</v>
          </cell>
          <cell r="O49">
            <v>415</v>
          </cell>
          <cell r="P49">
            <v>0.04</v>
          </cell>
          <cell r="S49" t="str">
            <v>XLPE/PVC</v>
          </cell>
          <cell r="T49" t="str">
            <v>6x1C+E 150mm2</v>
          </cell>
          <cell r="V49" t="str">
            <v>MCB</v>
          </cell>
          <cell r="W49">
            <v>504</v>
          </cell>
          <cell r="X49" t="str">
            <v>IY16-40-3</v>
          </cell>
          <cell r="AA49">
            <v>415</v>
          </cell>
          <cell r="AB49">
            <v>630</v>
          </cell>
          <cell r="AC49">
            <v>16</v>
          </cell>
          <cell r="AD49">
            <v>1</v>
          </cell>
          <cell r="AE49">
            <v>10.1</v>
          </cell>
          <cell r="AF49">
            <v>2009</v>
          </cell>
          <cell r="AH49" t="str">
            <v>Ian Oswald</v>
          </cell>
          <cell r="AI49" t="str">
            <v>WC</v>
          </cell>
        </row>
        <row r="50">
          <cell r="E50" t="str">
            <v>W8000982</v>
          </cell>
          <cell r="F50" t="str">
            <v>Dalyellup WTP</v>
          </cell>
          <cell r="G50" t="str">
            <v>MC20100</v>
          </cell>
          <cell r="H50" t="str">
            <v>22kV SB</v>
          </cell>
          <cell r="J50" t="str">
            <v>Stage 3 WTP MCC</v>
          </cell>
          <cell r="K50" t="str">
            <v>IY16-40-11</v>
          </cell>
          <cell r="M50">
            <v>630</v>
          </cell>
          <cell r="N50">
            <v>22</v>
          </cell>
          <cell r="O50">
            <v>415</v>
          </cell>
          <cell r="P50">
            <v>0.04</v>
          </cell>
          <cell r="R50">
            <v>1.6</v>
          </cell>
          <cell r="S50" t="str">
            <v>XLPE/PVC</v>
          </cell>
          <cell r="T50" t="str">
            <v>9x1C+2N+E 240mm2</v>
          </cell>
          <cell r="V50" t="str">
            <v>MCB</v>
          </cell>
          <cell r="W50">
            <v>700</v>
          </cell>
          <cell r="X50" t="str">
            <v>IY16-40-50</v>
          </cell>
          <cell r="AA50">
            <v>415</v>
          </cell>
          <cell r="AB50">
            <v>1000</v>
          </cell>
          <cell r="AC50">
            <v>25</v>
          </cell>
          <cell r="AD50">
            <v>1</v>
          </cell>
          <cell r="AE50">
            <v>18.2</v>
          </cell>
          <cell r="AF50">
            <v>2009</v>
          </cell>
          <cell r="AH50" t="str">
            <v>Ian Oswald</v>
          </cell>
          <cell r="AI50" t="str">
            <v>WC</v>
          </cell>
        </row>
        <row r="51">
          <cell r="E51" t="str">
            <v>W8000982</v>
          </cell>
          <cell r="F51" t="str">
            <v>Dalyellup WTP</v>
          </cell>
          <cell r="G51" t="str">
            <v>MC65100</v>
          </cell>
          <cell r="H51" t="str">
            <v>MC20100</v>
          </cell>
          <cell r="J51" t="str">
            <v>Stage 3 Transfer PS SB</v>
          </cell>
          <cell r="K51" t="str">
            <v>IY16-40-19</v>
          </cell>
          <cell r="S51" t="str">
            <v>XLPE/PVC</v>
          </cell>
          <cell r="T51" t="str">
            <v>4x1C+E 150mm2</v>
          </cell>
          <cell r="V51" t="str">
            <v>MCB</v>
          </cell>
          <cell r="W51">
            <v>280</v>
          </cell>
          <cell r="X51" t="str">
            <v>IY16-40-50</v>
          </cell>
          <cell r="AA51">
            <v>415</v>
          </cell>
          <cell r="AB51">
            <v>250</v>
          </cell>
          <cell r="AC51">
            <v>16</v>
          </cell>
          <cell r="AD51">
            <v>1</v>
          </cell>
          <cell r="AE51">
            <v>11.9</v>
          </cell>
          <cell r="AF51">
            <v>2009</v>
          </cell>
          <cell r="AH51" t="str">
            <v>Ian Oswald</v>
          </cell>
          <cell r="AI51" t="str">
            <v>WC</v>
          </cell>
        </row>
        <row r="52">
          <cell r="E52" t="str">
            <v>W8000982</v>
          </cell>
          <cell r="F52" t="str">
            <v>Dalyellup WTP</v>
          </cell>
          <cell r="H52" t="str">
            <v>MC20100</v>
          </cell>
          <cell r="J52" t="str">
            <v>Site East Main SB</v>
          </cell>
          <cell r="K52" t="str">
            <v>FQ18-40-11</v>
          </cell>
          <cell r="S52" t="str">
            <v>XLPE/PVC</v>
          </cell>
          <cell r="T52" t="str">
            <v>8x1C+N+E 240mm2</v>
          </cell>
          <cell r="V52" t="str">
            <v>MCB</v>
          </cell>
          <cell r="W52">
            <v>1000</v>
          </cell>
          <cell r="X52" t="str">
            <v>FQ18-40-16</v>
          </cell>
          <cell r="AA52">
            <v>415</v>
          </cell>
          <cell r="AC52">
            <v>16</v>
          </cell>
          <cell r="AD52">
            <v>1</v>
          </cell>
          <cell r="AE52">
            <v>13.6</v>
          </cell>
          <cell r="AF52">
            <v>2004</v>
          </cell>
          <cell r="AH52" t="str">
            <v>Ian Oswald</v>
          </cell>
          <cell r="AI52" t="str">
            <v>WC</v>
          </cell>
        </row>
        <row r="53">
          <cell r="E53" t="str">
            <v>W8000982</v>
          </cell>
          <cell r="F53" t="str">
            <v>Dalyellup WTP</v>
          </cell>
          <cell r="G53" t="str">
            <v>MC19100</v>
          </cell>
          <cell r="H53" t="str">
            <v>MC20100</v>
          </cell>
          <cell r="J53" t="str">
            <v>Aerator SB</v>
          </cell>
          <cell r="K53" t="str">
            <v>IY16-40-14</v>
          </cell>
          <cell r="S53" t="str">
            <v>XLPE/PVC</v>
          </cell>
          <cell r="T53" t="str">
            <v>4C+E 35mm2</v>
          </cell>
          <cell r="V53" t="str">
            <v>MCB</v>
          </cell>
          <cell r="W53">
            <v>100</v>
          </cell>
          <cell r="X53" t="str">
            <v>IY16-40-50</v>
          </cell>
          <cell r="AA53">
            <v>415</v>
          </cell>
          <cell r="AB53">
            <v>160</v>
          </cell>
          <cell r="AC53">
            <v>10</v>
          </cell>
          <cell r="AD53">
            <v>1</v>
          </cell>
          <cell r="AE53">
            <v>5.2</v>
          </cell>
          <cell r="AF53">
            <v>2009</v>
          </cell>
          <cell r="AH53" t="str">
            <v>Ian Oswald</v>
          </cell>
          <cell r="AI53" t="str">
            <v>WC</v>
          </cell>
        </row>
        <row r="54">
          <cell r="E54" t="str">
            <v>W3002255</v>
          </cell>
          <cell r="F54" t="str">
            <v>Wyndham WTP</v>
          </cell>
          <cell r="H54" t="str">
            <v>Supply Auth</v>
          </cell>
          <cell r="J54" t="str">
            <v>Main SB</v>
          </cell>
          <cell r="K54" t="str">
            <v>IX46-41-1</v>
          </cell>
          <cell r="M54">
            <v>315</v>
          </cell>
          <cell r="N54">
            <v>6.6</v>
          </cell>
          <cell r="O54">
            <v>415</v>
          </cell>
          <cell r="V54" t="str">
            <v>MCB</v>
          </cell>
          <cell r="W54">
            <v>258</v>
          </cell>
          <cell r="AA54">
            <v>500</v>
          </cell>
          <cell r="AB54">
            <v>250</v>
          </cell>
          <cell r="AC54">
            <v>8</v>
          </cell>
          <cell r="AD54">
            <v>1</v>
          </cell>
          <cell r="AE54">
            <v>3.77</v>
          </cell>
          <cell r="AF54">
            <v>2008</v>
          </cell>
          <cell r="AG54" t="str">
            <v>FUTURE-K</v>
          </cell>
          <cell r="AH54" t="str">
            <v>Steve Farquhar</v>
          </cell>
          <cell r="AI54" t="str">
            <v>WC</v>
          </cell>
          <cell r="AJ54" t="str">
            <v>New SB installed in 2008 with new treatment plant. External aluminium cubicles located within 5 metres of horizon power transformer</v>
          </cell>
        </row>
        <row r="55">
          <cell r="E55" t="str">
            <v>S0033952</v>
          </cell>
          <cell r="F55" t="str">
            <v>Armagh PS</v>
          </cell>
          <cell r="H55" t="str">
            <v>#1 Transformer</v>
          </cell>
          <cell r="I55" t="str">
            <v>S2024313</v>
          </cell>
          <cell r="J55" t="str">
            <v>Armagh St 415V MCC</v>
          </cell>
          <cell r="K55" t="str">
            <v>IX33-40-1</v>
          </cell>
          <cell r="M55">
            <v>1000</v>
          </cell>
          <cell r="N55">
            <v>22</v>
          </cell>
          <cell r="O55">
            <v>433</v>
          </cell>
          <cell r="S55" t="str">
            <v>Tinned Cu</v>
          </cell>
          <cell r="T55" t="str">
            <v>9x1C+3N 400mm2</v>
          </cell>
          <cell r="V55" t="str">
            <v>MCB</v>
          </cell>
          <cell r="W55">
            <v>1280</v>
          </cell>
          <cell r="X55" t="str">
            <v>1X33-40-2</v>
          </cell>
          <cell r="AA55">
            <v>415</v>
          </cell>
          <cell r="AB55">
            <v>1600</v>
          </cell>
          <cell r="AC55">
            <v>50</v>
          </cell>
          <cell r="AD55">
            <v>1</v>
          </cell>
          <cell r="AE55">
            <v>38.35</v>
          </cell>
          <cell r="AF55">
            <v>2008</v>
          </cell>
          <cell r="AH55" t="str">
            <v>Dave Sutton</v>
          </cell>
          <cell r="AI55" t="str">
            <v>WC</v>
          </cell>
          <cell r="AJ55" t="str">
            <v>Advised, double inslulated bus bars - PRA</v>
          </cell>
        </row>
        <row r="56">
          <cell r="E56" t="str">
            <v>S0033952</v>
          </cell>
          <cell r="F56" t="str">
            <v>Armagh PS</v>
          </cell>
          <cell r="H56" t="str">
            <v>Armagh St 415V MCC</v>
          </cell>
          <cell r="I56" t="str">
            <v>S2024320</v>
          </cell>
          <cell r="J56" t="str">
            <v>Pump Station DB</v>
          </cell>
          <cell r="K56" t="str">
            <v>IX33-40-1</v>
          </cell>
          <cell r="S56" t="str">
            <v>PVC</v>
          </cell>
          <cell r="T56" t="str">
            <v>1x4C+E 95mm2</v>
          </cell>
          <cell r="V56" t="str">
            <v>MCB</v>
          </cell>
          <cell r="W56">
            <v>200</v>
          </cell>
          <cell r="AG56" t="str">
            <v>3B</v>
          </cell>
          <cell r="AH56" t="str">
            <v>Dave Sutton</v>
          </cell>
          <cell r="AI56" t="str">
            <v>WC</v>
          </cell>
          <cell r="AJ56" t="str">
            <v xml:space="preserve">Armagh under construction </v>
          </cell>
        </row>
        <row r="57">
          <cell r="E57" t="str">
            <v>S2023282</v>
          </cell>
          <cell r="F57" t="str">
            <v>Hordern PS</v>
          </cell>
          <cell r="H57" t="str">
            <v>#2 Transformer</v>
          </cell>
          <cell r="I57" t="str">
            <v>S2031031</v>
          </cell>
          <cell r="J57" t="str">
            <v>Horden St 415V MCC</v>
          </cell>
          <cell r="K57" t="str">
            <v>IX34-40-1</v>
          </cell>
          <cell r="M57">
            <v>1000</v>
          </cell>
          <cell r="N57">
            <v>22</v>
          </cell>
          <cell r="O57">
            <v>433</v>
          </cell>
          <cell r="S57" t="str">
            <v>Tinned Cu</v>
          </cell>
          <cell r="T57" t="str">
            <v>9x1C+3N 400mm2</v>
          </cell>
          <cell r="V57" t="str">
            <v>MCB</v>
          </cell>
          <cell r="W57">
            <v>1280</v>
          </cell>
          <cell r="X57" t="str">
            <v>IX34-40-2</v>
          </cell>
          <cell r="AA57">
            <v>415</v>
          </cell>
          <cell r="AB57">
            <v>1600</v>
          </cell>
          <cell r="AC57">
            <v>50</v>
          </cell>
          <cell r="AD57">
            <v>1</v>
          </cell>
          <cell r="AE57">
            <v>38.549999999999997</v>
          </cell>
          <cell r="AF57">
            <v>2008</v>
          </cell>
          <cell r="AG57" t="str">
            <v>3B</v>
          </cell>
          <cell r="AH57" t="str">
            <v>Dave Sutton</v>
          </cell>
          <cell r="AI57" t="str">
            <v>WC</v>
          </cell>
        </row>
        <row r="58">
          <cell r="E58" t="str">
            <v>S2023282</v>
          </cell>
          <cell r="F58" t="str">
            <v>Hordern PS</v>
          </cell>
          <cell r="H58" t="str">
            <v>Horden St 415V MCC</v>
          </cell>
          <cell r="I58" t="str">
            <v>S2024520</v>
          </cell>
          <cell r="J58" t="str">
            <v>Pump Station DB</v>
          </cell>
          <cell r="K58" t="str">
            <v>IX34-40-1</v>
          </cell>
          <cell r="S58" t="str">
            <v>PVC</v>
          </cell>
          <cell r="T58" t="str">
            <v>1x4C+E 16mm2</v>
          </cell>
          <cell r="V58" t="str">
            <v>MCB</v>
          </cell>
          <cell r="W58">
            <v>63</v>
          </cell>
          <cell r="AG58" t="str">
            <v>3B</v>
          </cell>
          <cell r="AH58" t="str">
            <v>Dave Sutton</v>
          </cell>
          <cell r="AI58" t="str">
            <v>WC</v>
          </cell>
          <cell r="AJ58" t="str">
            <v>New station just completed new complying switchboard</v>
          </cell>
        </row>
        <row r="59">
          <cell r="E59" t="str">
            <v>S2019216</v>
          </cell>
          <cell r="F59" t="str">
            <v>Canning Vale Pump Station #016-05</v>
          </cell>
          <cell r="H59" t="str">
            <v>Supply Auth</v>
          </cell>
          <cell r="I59" t="str">
            <v>S2022033</v>
          </cell>
          <cell r="J59" t="str">
            <v>Main SB</v>
          </cell>
          <cell r="K59" t="str">
            <v>IV79-40-1</v>
          </cell>
          <cell r="M59">
            <v>500</v>
          </cell>
          <cell r="N59">
            <v>22</v>
          </cell>
          <cell r="O59">
            <v>415</v>
          </cell>
          <cell r="S59" t="str">
            <v>XLPE/PVC</v>
          </cell>
          <cell r="T59" t="str">
            <v>3x1C+N 185mm2</v>
          </cell>
          <cell r="V59" t="str">
            <v>MCB</v>
          </cell>
          <cell r="W59">
            <v>192</v>
          </cell>
          <cell r="AA59">
            <v>440</v>
          </cell>
          <cell r="AB59">
            <v>300</v>
          </cell>
          <cell r="AC59">
            <v>20</v>
          </cell>
          <cell r="AD59">
            <v>1</v>
          </cell>
          <cell r="AE59">
            <v>12.7</v>
          </cell>
          <cell r="AF59">
            <v>2008</v>
          </cell>
          <cell r="AH59" t="str">
            <v>Dave Sutton</v>
          </cell>
          <cell r="AI59" t="str">
            <v>WC</v>
          </cell>
        </row>
        <row r="60">
          <cell r="E60" t="str">
            <v>S7013225</v>
          </cell>
          <cell r="F60" t="str">
            <v>Albany Wastewater Tree Farm #2</v>
          </cell>
          <cell r="H60" t="str">
            <v>Supply Auth</v>
          </cell>
          <cell r="J60" t="str">
            <v>Main SB</v>
          </cell>
          <cell r="K60" t="str">
            <v>IT20-40-1</v>
          </cell>
          <cell r="M60">
            <v>63</v>
          </cell>
          <cell r="N60">
            <v>22</v>
          </cell>
          <cell r="O60">
            <v>415</v>
          </cell>
          <cell r="S60" t="str">
            <v>XLPE/PVC</v>
          </cell>
          <cell r="T60" t="str">
            <v>3C+N 25mm2</v>
          </cell>
          <cell r="V60" t="str">
            <v>Fuse</v>
          </cell>
          <cell r="W60">
            <v>80</v>
          </cell>
          <cell r="X60" t="str">
            <v>IT20-40-6</v>
          </cell>
          <cell r="AA60">
            <v>415</v>
          </cell>
          <cell r="AB60">
            <v>100</v>
          </cell>
          <cell r="AC60">
            <v>10</v>
          </cell>
          <cell r="AD60">
            <v>1</v>
          </cell>
          <cell r="AF60">
            <v>2007</v>
          </cell>
          <cell r="AH60" t="str">
            <v>Sam Cockburn</v>
          </cell>
          <cell r="AI60" t="str">
            <v>WC</v>
          </cell>
        </row>
        <row r="61">
          <cell r="E61" t="str">
            <v>S001-001-026</v>
          </cell>
          <cell r="F61" t="str">
            <v>Beenyup Groundwater Replenishment</v>
          </cell>
          <cell r="H61" t="str">
            <v>22kV RMU</v>
          </cell>
          <cell r="J61" t="str">
            <v>Site Main SB (Tx Kiosk)</v>
          </cell>
          <cell r="K61" t="str">
            <v>IR57-40-1</v>
          </cell>
          <cell r="M61">
            <v>1000</v>
          </cell>
          <cell r="N61">
            <v>22</v>
          </cell>
          <cell r="O61">
            <v>415</v>
          </cell>
          <cell r="V61" t="str">
            <v>MCB</v>
          </cell>
          <cell r="W61">
            <v>1250</v>
          </cell>
          <cell r="AA61">
            <v>415</v>
          </cell>
          <cell r="AB61">
            <v>1250</v>
          </cell>
          <cell r="AC61">
            <v>25</v>
          </cell>
          <cell r="AD61">
            <v>1</v>
          </cell>
          <cell r="AE61">
            <v>23.2</v>
          </cell>
          <cell r="AF61">
            <v>2007</v>
          </cell>
          <cell r="AH61" t="str">
            <v>Rhys Jones</v>
          </cell>
          <cell r="AI61" t="str">
            <v>Aroona Alliance</v>
          </cell>
        </row>
        <row r="62">
          <cell r="E62" t="str">
            <v>S001-001-026</v>
          </cell>
          <cell r="F62" t="str">
            <v>Beenyup Groundwater Replenishment</v>
          </cell>
          <cell r="G62" t="str">
            <v>DB66100</v>
          </cell>
          <cell r="H62" t="str">
            <v>Site Main SB (Tx Kiosk)</v>
          </cell>
          <cell r="J62" t="str">
            <v>Light &amp; Small Power DB</v>
          </cell>
          <cell r="K62" t="str">
            <v>IR57-40-7</v>
          </cell>
          <cell r="M62">
            <v>415</v>
          </cell>
          <cell r="N62">
            <v>22</v>
          </cell>
          <cell r="O62">
            <v>415</v>
          </cell>
          <cell r="S62" t="str">
            <v>XLPE/PVC</v>
          </cell>
          <cell r="T62" t="str">
            <v>4C+E 25mm2</v>
          </cell>
          <cell r="V62" t="str">
            <v>MCB</v>
          </cell>
          <cell r="W62">
            <v>63</v>
          </cell>
          <cell r="AA62">
            <v>415</v>
          </cell>
          <cell r="AB62">
            <v>100</v>
          </cell>
          <cell r="AC62">
            <v>10</v>
          </cell>
          <cell r="AD62">
            <v>1</v>
          </cell>
          <cell r="AF62">
            <v>2007</v>
          </cell>
          <cell r="AH62" t="str">
            <v>Rhys Jones</v>
          </cell>
          <cell r="AI62" t="str">
            <v>Aroona Alliance</v>
          </cell>
        </row>
        <row r="63">
          <cell r="E63" t="str">
            <v>S001-001-026</v>
          </cell>
          <cell r="F63" t="str">
            <v>Beenyup Groundwater Replenishment</v>
          </cell>
          <cell r="G63" t="str">
            <v>MCC66100</v>
          </cell>
          <cell r="H63" t="str">
            <v>Site Main SB (Tx Kiosk)</v>
          </cell>
          <cell r="J63" t="str">
            <v>MCC A</v>
          </cell>
          <cell r="K63" t="str">
            <v>IR57-40-2</v>
          </cell>
          <cell r="S63" t="str">
            <v>XLPE/PVC</v>
          </cell>
          <cell r="T63" t="str">
            <v>3x1C 400mm2</v>
          </cell>
          <cell r="V63" t="str">
            <v>MCB</v>
          </cell>
          <cell r="W63">
            <v>630</v>
          </cell>
          <cell r="AA63">
            <v>500</v>
          </cell>
          <cell r="AB63">
            <v>630</v>
          </cell>
          <cell r="AC63">
            <v>25</v>
          </cell>
          <cell r="AD63">
            <v>1</v>
          </cell>
          <cell r="AF63">
            <v>2007</v>
          </cell>
          <cell r="AH63" t="str">
            <v>Rhys Jones</v>
          </cell>
          <cell r="AI63" t="str">
            <v>Aroona Alliance</v>
          </cell>
        </row>
        <row r="64">
          <cell r="E64" t="str">
            <v>S001-001-026</v>
          </cell>
          <cell r="F64" t="str">
            <v>Beenyup Groundwater Replenishment</v>
          </cell>
          <cell r="H64" t="str">
            <v>Site Main SB (Tx Kiosk)</v>
          </cell>
          <cell r="J64" t="str">
            <v>MCC B</v>
          </cell>
          <cell r="K64" t="str">
            <v>IR57-40-3</v>
          </cell>
          <cell r="S64" t="str">
            <v>XLPE/PVC</v>
          </cell>
          <cell r="T64" t="str">
            <v>3x1C 400mm2</v>
          </cell>
          <cell r="V64" t="str">
            <v>MCB</v>
          </cell>
          <cell r="W64">
            <v>630</v>
          </cell>
          <cell r="AA64">
            <v>500</v>
          </cell>
          <cell r="AB64">
            <v>630</v>
          </cell>
          <cell r="AC64">
            <v>25</v>
          </cell>
          <cell r="AD64">
            <v>1</v>
          </cell>
          <cell r="AF64">
            <v>2007</v>
          </cell>
          <cell r="AH64" t="str">
            <v>Rhys Jones</v>
          </cell>
          <cell r="AI64" t="str">
            <v>Aroona Alliance</v>
          </cell>
        </row>
        <row r="65">
          <cell r="E65" t="str">
            <v>W2000525</v>
          </cell>
          <cell r="F65" t="str">
            <v>Jindalee High Level Pump Station</v>
          </cell>
          <cell r="H65" t="str">
            <v>Supply Auth</v>
          </cell>
          <cell r="I65" t="str">
            <v>W2000529</v>
          </cell>
          <cell r="J65" t="str">
            <v>Incoming Panel</v>
          </cell>
          <cell r="K65" t="str">
            <v>IQ88-40-1</v>
          </cell>
          <cell r="M65">
            <v>500</v>
          </cell>
          <cell r="N65">
            <v>22</v>
          </cell>
          <cell r="O65">
            <v>415</v>
          </cell>
          <cell r="P65">
            <v>4.19E-2</v>
          </cell>
          <cell r="R65">
            <v>1.8280000000000001</v>
          </cell>
          <cell r="S65" t="str">
            <v>XLPE/PVC</v>
          </cell>
          <cell r="T65" t="str">
            <v>3x1C+N 16mm2</v>
          </cell>
          <cell r="V65" t="str">
            <v>Fuse</v>
          </cell>
          <cell r="W65">
            <v>60</v>
          </cell>
          <cell r="AF65">
            <v>2008</v>
          </cell>
          <cell r="AH65" t="str">
            <v>Dave Sutton</v>
          </cell>
          <cell r="AI65" t="str">
            <v>WC</v>
          </cell>
        </row>
        <row r="66">
          <cell r="E66" t="str">
            <v>W0041694</v>
          </cell>
          <cell r="F66" t="str">
            <v>1000m3 RCC Tank - White Cliffs Rd</v>
          </cell>
          <cell r="J66" t="str">
            <v>Chlorination SB</v>
          </cell>
          <cell r="K66" t="str">
            <v>IQ50-43-1</v>
          </cell>
          <cell r="V66" t="str">
            <v>FCL</v>
          </cell>
          <cell r="W66">
            <v>60</v>
          </cell>
          <cell r="AA66">
            <v>415</v>
          </cell>
          <cell r="AF66">
            <v>2007</v>
          </cell>
          <cell r="AH66" t="str">
            <v>Russell Blyth</v>
          </cell>
          <cell r="AI66" t="str">
            <v>WC</v>
          </cell>
          <cell r="AJ66" t="str">
            <v>WP pole TX, ADWG Module internal SwBd in good condition</v>
          </cell>
        </row>
        <row r="67">
          <cell r="F67" t="str">
            <v>Irrigation Pump Station #2</v>
          </cell>
          <cell r="H67" t="str">
            <v>Supply Auth</v>
          </cell>
          <cell r="J67" t="str">
            <v>Main SB</v>
          </cell>
          <cell r="K67" t="str">
            <v>IQ43-40-1</v>
          </cell>
          <cell r="M67">
            <v>315</v>
          </cell>
          <cell r="N67">
            <v>22</v>
          </cell>
          <cell r="O67">
            <v>415</v>
          </cell>
          <cell r="S67" t="str">
            <v>XLPE/PVC</v>
          </cell>
          <cell r="T67" t="str">
            <v>3C+N 185mm2</v>
          </cell>
          <cell r="V67" t="str">
            <v>MCB</v>
          </cell>
          <cell r="W67">
            <v>400</v>
          </cell>
          <cell r="X67" t="str">
            <v>IQ43-40-3</v>
          </cell>
          <cell r="AA67">
            <v>415</v>
          </cell>
          <cell r="AB67">
            <v>400</v>
          </cell>
          <cell r="AC67">
            <v>10</v>
          </cell>
          <cell r="AD67">
            <v>1</v>
          </cell>
          <cell r="AE67">
            <v>9.1</v>
          </cell>
          <cell r="AF67">
            <v>2007</v>
          </cell>
          <cell r="AH67" t="str">
            <v>Sam Cockburn</v>
          </cell>
          <cell r="AI67" t="str">
            <v>WC</v>
          </cell>
        </row>
        <row r="68">
          <cell r="E68" t="str">
            <v>W0019776</v>
          </cell>
          <cell r="F68" t="str">
            <v>2250m3 RCC Tank</v>
          </cell>
          <cell r="H68" t="str">
            <v>Meter Box</v>
          </cell>
          <cell r="J68" t="str">
            <v>Chlorination SB</v>
          </cell>
          <cell r="K68" t="str">
            <v>IQ06-43-2</v>
          </cell>
          <cell r="V68" t="str">
            <v>MCB</v>
          </cell>
          <cell r="W68">
            <v>80</v>
          </cell>
          <cell r="X68" t="str">
            <v>IQ06-43-4</v>
          </cell>
          <cell r="AA68">
            <v>415</v>
          </cell>
          <cell r="AF68">
            <v>2007</v>
          </cell>
          <cell r="AH68" t="str">
            <v>Rob Van-Tiel</v>
          </cell>
          <cell r="AI68" t="str">
            <v>WC</v>
          </cell>
        </row>
        <row r="69">
          <cell r="E69" t="str">
            <v>S020-003-001</v>
          </cell>
          <cell r="F69" t="str">
            <v>Boddington WWTP</v>
          </cell>
          <cell r="H69" t="str">
            <v>Supply Auth</v>
          </cell>
          <cell r="J69" t="str">
            <v>Main SB</v>
          </cell>
          <cell r="K69" t="str">
            <v>IP56-40-1</v>
          </cell>
          <cell r="M69">
            <v>63</v>
          </cell>
          <cell r="N69">
            <v>22</v>
          </cell>
          <cell r="O69">
            <v>415</v>
          </cell>
          <cell r="P69">
            <v>3.3000000000000002E-2</v>
          </cell>
          <cell r="R69">
            <v>1.2230000000000001</v>
          </cell>
          <cell r="S69" t="str">
            <v>XLPE/PVC</v>
          </cell>
          <cell r="T69" t="str">
            <v>4C+E 25mm2</v>
          </cell>
          <cell r="V69" t="str">
            <v>MCB</v>
          </cell>
          <cell r="W69">
            <v>76</v>
          </cell>
          <cell r="X69" t="str">
            <v>IP56-40-6</v>
          </cell>
          <cell r="AA69">
            <v>440</v>
          </cell>
          <cell r="AB69">
            <v>100</v>
          </cell>
          <cell r="AC69">
            <v>10</v>
          </cell>
          <cell r="AD69">
            <v>1</v>
          </cell>
          <cell r="AE69">
            <v>2.8</v>
          </cell>
          <cell r="AF69">
            <v>2008</v>
          </cell>
          <cell r="AH69" t="str">
            <v>Sam Cockburn</v>
          </cell>
          <cell r="AI69" t="str">
            <v>WC</v>
          </cell>
        </row>
        <row r="70">
          <cell r="E70" t="str">
            <v>S0044107</v>
          </cell>
          <cell r="F70" t="str">
            <v>Bunbury Main Pump Station</v>
          </cell>
          <cell r="H70" t="str">
            <v>Dyn1 Transformer #1</v>
          </cell>
          <cell r="J70" t="str">
            <v>Main PS SB</v>
          </cell>
          <cell r="K70" t="str">
            <v>IP35-40-2</v>
          </cell>
          <cell r="M70">
            <v>500</v>
          </cell>
          <cell r="N70">
            <v>22</v>
          </cell>
          <cell r="O70">
            <v>415</v>
          </cell>
          <cell r="P70">
            <v>4.7E-2</v>
          </cell>
          <cell r="S70" t="str">
            <v>XLPE/PVC</v>
          </cell>
          <cell r="T70" t="str">
            <v>6x1C+2E 240mm2</v>
          </cell>
          <cell r="V70" t="str">
            <v>MCB</v>
          </cell>
          <cell r="W70">
            <v>640</v>
          </cell>
          <cell r="X70" t="str">
            <v>IP35-40-3</v>
          </cell>
          <cell r="AA70">
            <v>500</v>
          </cell>
          <cell r="AB70">
            <v>1000</v>
          </cell>
          <cell r="AC70">
            <v>20</v>
          </cell>
          <cell r="AD70">
            <v>1</v>
          </cell>
          <cell r="AE70">
            <v>13.26</v>
          </cell>
          <cell r="AF70">
            <v>2008</v>
          </cell>
          <cell r="AH70" t="str">
            <v>Doug Clapp</v>
          </cell>
          <cell r="AI70" t="str">
            <v>WC</v>
          </cell>
        </row>
        <row r="71">
          <cell r="E71" t="str">
            <v>S0044107</v>
          </cell>
          <cell r="F71" t="str">
            <v>Bunbury Main Pump Station</v>
          </cell>
          <cell r="H71" t="str">
            <v>Dyn1 Transformer #2</v>
          </cell>
          <cell r="J71" t="str">
            <v>Main PS SB</v>
          </cell>
          <cell r="K71" t="str">
            <v>IP35-40-2</v>
          </cell>
          <cell r="M71">
            <v>500</v>
          </cell>
          <cell r="N71">
            <v>22</v>
          </cell>
          <cell r="O71">
            <v>415</v>
          </cell>
          <cell r="P71">
            <v>4.7E-2</v>
          </cell>
          <cell r="S71" t="str">
            <v>XLPE/PVC</v>
          </cell>
          <cell r="T71" t="str">
            <v>6x1C+2E 240mm2</v>
          </cell>
          <cell r="V71" t="str">
            <v>MCB</v>
          </cell>
          <cell r="W71">
            <v>640</v>
          </cell>
          <cell r="X71" t="str">
            <v>IP35-40-3</v>
          </cell>
          <cell r="AA71">
            <v>500</v>
          </cell>
          <cell r="AB71">
            <v>1000</v>
          </cell>
          <cell r="AC71">
            <v>20</v>
          </cell>
          <cell r="AD71">
            <v>1</v>
          </cell>
          <cell r="AE71">
            <v>13.26</v>
          </cell>
          <cell r="AF71">
            <v>2008</v>
          </cell>
          <cell r="AH71" t="str">
            <v>Doug Clapp</v>
          </cell>
          <cell r="AI71" t="str">
            <v>WC</v>
          </cell>
        </row>
        <row r="72">
          <cell r="E72" t="str">
            <v>S2019016</v>
          </cell>
          <cell r="F72" t="str">
            <v>Cannington Pump Station</v>
          </cell>
          <cell r="H72" t="str">
            <v>Supply Auth</v>
          </cell>
          <cell r="I72" t="str">
            <v>S2030088</v>
          </cell>
          <cell r="J72" t="str">
            <v>Incoming Panel</v>
          </cell>
          <cell r="K72" t="str">
            <v>IG26-40-1</v>
          </cell>
          <cell r="M72">
            <v>160</v>
          </cell>
          <cell r="N72">
            <v>22</v>
          </cell>
          <cell r="O72">
            <v>433</v>
          </cell>
          <cell r="S72" t="str">
            <v>XLPE/PVC</v>
          </cell>
          <cell r="T72" t="str">
            <v>240mm2</v>
          </cell>
          <cell r="V72" t="str">
            <v>MCB</v>
          </cell>
          <cell r="W72">
            <v>100</v>
          </cell>
          <cell r="X72" t="str">
            <v>IG26-40-2</v>
          </cell>
          <cell r="AC72">
            <v>10</v>
          </cell>
          <cell r="AD72">
            <v>1</v>
          </cell>
          <cell r="AE72">
            <v>3.8</v>
          </cell>
          <cell r="AF72">
            <v>2008</v>
          </cell>
          <cell r="AH72" t="str">
            <v>Dave Sutton</v>
          </cell>
          <cell r="AI72" t="str">
            <v>WC</v>
          </cell>
        </row>
        <row r="73">
          <cell r="E73" t="str">
            <v>W0008981</v>
          </cell>
          <cell r="F73" t="str">
            <v>Wungong Chemical Dosing Plant</v>
          </cell>
          <cell r="H73" t="str">
            <v>Supply Auth</v>
          </cell>
          <cell r="J73" t="str">
            <v>Site Main SB</v>
          </cell>
          <cell r="K73" t="str">
            <v>IC99-40-2</v>
          </cell>
          <cell r="M73">
            <v>200</v>
          </cell>
          <cell r="N73">
            <v>22</v>
          </cell>
          <cell r="O73">
            <v>415</v>
          </cell>
          <cell r="P73">
            <v>4.4999999999999998E-2</v>
          </cell>
          <cell r="V73" t="str">
            <v>MCB</v>
          </cell>
          <cell r="W73">
            <v>252</v>
          </cell>
          <cell r="X73" t="str">
            <v>IC99-40-6</v>
          </cell>
          <cell r="AA73">
            <v>415</v>
          </cell>
          <cell r="AB73">
            <v>400</v>
          </cell>
          <cell r="AC73">
            <v>20</v>
          </cell>
          <cell r="AD73">
            <v>1</v>
          </cell>
          <cell r="AE73">
            <v>4.75</v>
          </cell>
          <cell r="AF73">
            <v>2006</v>
          </cell>
          <cell r="AH73" t="str">
            <v>Craig Warner</v>
          </cell>
          <cell r="AI73" t="str">
            <v>Aroona Alliance</v>
          </cell>
        </row>
        <row r="74">
          <cell r="E74" t="str">
            <v>W0034842</v>
          </cell>
          <cell r="F74" t="str">
            <v>Hamilton Hill Reservoir NaClO Dosing</v>
          </cell>
          <cell r="H74" t="str">
            <v>Supply Auth</v>
          </cell>
          <cell r="J74" t="str">
            <v>Sub-Board 1</v>
          </cell>
          <cell r="K74" t="str">
            <v>IC97-40-1</v>
          </cell>
          <cell r="M74">
            <v>1000</v>
          </cell>
          <cell r="N74">
            <v>22</v>
          </cell>
          <cell r="O74">
            <v>44</v>
          </cell>
          <cell r="S74" t="str">
            <v>PVC</v>
          </cell>
          <cell r="T74" t="str">
            <v>2x500mm2</v>
          </cell>
          <cell r="V74" t="str">
            <v>MCB</v>
          </cell>
          <cell r="W74">
            <v>2000</v>
          </cell>
          <cell r="AF74">
            <v>2007</v>
          </cell>
          <cell r="AH74" t="str">
            <v>Chris Cooper</v>
          </cell>
          <cell r="AI74" t="str">
            <v>Aroona Alliance</v>
          </cell>
          <cell r="AJ74" t="str">
            <v>No manufacturer data</v>
          </cell>
        </row>
        <row r="75">
          <cell r="E75" t="str">
            <v>S3004358</v>
          </cell>
          <cell r="F75" t="str">
            <v>Karratha Wastewater PS #1</v>
          </cell>
          <cell r="H75" t="str">
            <v>Supply Auth</v>
          </cell>
          <cell r="J75" t="str">
            <v>Main SB</v>
          </cell>
          <cell r="K75" t="str">
            <v>IC52-40-11</v>
          </cell>
          <cell r="M75">
            <v>160</v>
          </cell>
          <cell r="N75">
            <v>11</v>
          </cell>
          <cell r="O75">
            <v>415</v>
          </cell>
          <cell r="P75">
            <v>0.04</v>
          </cell>
          <cell r="R75">
            <v>5</v>
          </cell>
          <cell r="S75" t="str">
            <v>XLPE</v>
          </cell>
          <cell r="T75" t="str">
            <v>95mm2</v>
          </cell>
          <cell r="V75" t="str">
            <v>MCB</v>
          </cell>
          <cell r="W75">
            <v>170</v>
          </cell>
          <cell r="X75" t="str">
            <v>IC52-40-12</v>
          </cell>
          <cell r="AA75">
            <v>415</v>
          </cell>
          <cell r="AB75">
            <v>200</v>
          </cell>
          <cell r="AC75">
            <v>25</v>
          </cell>
          <cell r="AD75">
            <v>1</v>
          </cell>
          <cell r="AE75">
            <v>5.3</v>
          </cell>
          <cell r="AF75">
            <v>2009</v>
          </cell>
          <cell r="AH75" t="str">
            <v>Steve Farquhar</v>
          </cell>
          <cell r="AI75" t="str">
            <v>WC</v>
          </cell>
          <cell r="AJ75" t="str">
            <v>This site is due for an upgrade in the near future. Existing SB is in need of replacement</v>
          </cell>
        </row>
        <row r="76">
          <cell r="F76" t="str">
            <v>Christmas Island Tank Site</v>
          </cell>
          <cell r="H76" t="str">
            <v>Proposed RMU</v>
          </cell>
          <cell r="J76" t="str">
            <v>Tank Site Main SB</v>
          </cell>
          <cell r="K76" t="str">
            <v>IC29-41-2</v>
          </cell>
          <cell r="M76">
            <v>160</v>
          </cell>
          <cell r="N76">
            <v>11</v>
          </cell>
          <cell r="O76">
            <v>415</v>
          </cell>
          <cell r="S76" t="str">
            <v>XLPE</v>
          </cell>
          <cell r="T76" t="str">
            <v>150mm2</v>
          </cell>
          <cell r="V76" t="str">
            <v>MCB</v>
          </cell>
          <cell r="W76">
            <v>250</v>
          </cell>
          <cell r="X76" t="str">
            <v>IC29-41-3</v>
          </cell>
          <cell r="AA76">
            <v>415</v>
          </cell>
          <cell r="AC76">
            <v>10</v>
          </cell>
          <cell r="AD76">
            <v>1</v>
          </cell>
          <cell r="AE76">
            <v>6.96</v>
          </cell>
          <cell r="AF76">
            <v>2007</v>
          </cell>
          <cell r="AH76" t="str">
            <v>Steve Farquhar</v>
          </cell>
          <cell r="AI76" t="str">
            <v>WC</v>
          </cell>
        </row>
        <row r="77">
          <cell r="E77" t="str">
            <v>W4002046</v>
          </cell>
          <cell r="F77" t="str">
            <v>Hall Rd Pump Station</v>
          </cell>
          <cell r="H77" t="str">
            <v>Supply Auth</v>
          </cell>
          <cell r="I77" t="str">
            <v>W4006171</v>
          </cell>
          <cell r="J77" t="str">
            <v>Main SB</v>
          </cell>
          <cell r="K77" t="str">
            <v>IB19-40-1</v>
          </cell>
          <cell r="M77">
            <v>100</v>
          </cell>
          <cell r="N77">
            <v>33</v>
          </cell>
          <cell r="O77">
            <v>415</v>
          </cell>
          <cell r="P77">
            <v>4.3999999999999997E-2</v>
          </cell>
          <cell r="R77">
            <v>3.16</v>
          </cell>
          <cell r="S77" t="str">
            <v>XLPE</v>
          </cell>
          <cell r="T77" t="str">
            <v>50mm2</v>
          </cell>
          <cell r="V77" t="str">
            <v>MCB</v>
          </cell>
          <cell r="W77">
            <v>150</v>
          </cell>
          <cell r="X77" t="str">
            <v>IB19-40-20</v>
          </cell>
          <cell r="Z77" t="str">
            <v>Western Controls</v>
          </cell>
          <cell r="AF77">
            <v>2008</v>
          </cell>
          <cell r="AG77" t="str">
            <v>3B</v>
          </cell>
          <cell r="AH77" t="str">
            <v>Russell Blyth</v>
          </cell>
          <cell r="AI77" t="str">
            <v>WC</v>
          </cell>
          <cell r="AJ77" t="str">
            <v>New external SwBd made by Western Controls</v>
          </cell>
        </row>
        <row r="78">
          <cell r="E78" t="str">
            <v>S6000701</v>
          </cell>
          <cell r="F78" t="str">
            <v>Acacia Rd Pumping Station #1</v>
          </cell>
          <cell r="H78" t="str">
            <v>Supply Auth</v>
          </cell>
          <cell r="J78" t="str">
            <v>Pump Station SB</v>
          </cell>
          <cell r="K78" t="str">
            <v>IB16-40-1</v>
          </cell>
          <cell r="N78">
            <v>22</v>
          </cell>
          <cell r="O78">
            <v>415</v>
          </cell>
          <cell r="S78" t="str">
            <v>XLPE</v>
          </cell>
          <cell r="T78" t="str">
            <v>3x16mm2</v>
          </cell>
          <cell r="V78" t="str">
            <v>Fuse</v>
          </cell>
          <cell r="W78">
            <v>60</v>
          </cell>
          <cell r="X78" t="str">
            <v>IB16-40-2</v>
          </cell>
          <cell r="AF78">
            <v>2007</v>
          </cell>
          <cell r="AH78" t="str">
            <v>Rob Van-Tiel</v>
          </cell>
          <cell r="AI78" t="str">
            <v>WC</v>
          </cell>
        </row>
        <row r="79">
          <cell r="E79" t="str">
            <v>W0020458</v>
          </cell>
          <cell r="F79" t="str">
            <v>Bruce Rock Dam Pumping Station</v>
          </cell>
          <cell r="H79" t="str">
            <v>Supply Auth</v>
          </cell>
          <cell r="J79" t="str">
            <v>Main SB</v>
          </cell>
          <cell r="K79" t="str">
            <v>HZ99-41-1</v>
          </cell>
          <cell r="M79">
            <v>63</v>
          </cell>
          <cell r="N79">
            <v>22</v>
          </cell>
          <cell r="O79">
            <v>415</v>
          </cell>
          <cell r="V79" t="str">
            <v>Fuse</v>
          </cell>
          <cell r="W79">
            <v>80</v>
          </cell>
          <cell r="X79" t="str">
            <v>HZ99-41-3</v>
          </cell>
          <cell r="AH79" t="str">
            <v>Rob Van-Tiel</v>
          </cell>
          <cell r="AI79" t="str">
            <v>WC</v>
          </cell>
        </row>
        <row r="80">
          <cell r="E80" t="str">
            <v>S064-005-004</v>
          </cell>
          <cell r="F80" t="str">
            <v>Narngulu WWTP</v>
          </cell>
          <cell r="H80" t="str">
            <v>Supply Auth</v>
          </cell>
          <cell r="J80" t="str">
            <v>Plant SB</v>
          </cell>
          <cell r="K80" t="str">
            <v>HZ25-40-1</v>
          </cell>
          <cell r="M80">
            <v>500</v>
          </cell>
          <cell r="N80">
            <v>33</v>
          </cell>
          <cell r="O80">
            <v>415</v>
          </cell>
          <cell r="S80" t="str">
            <v>XLPE</v>
          </cell>
          <cell r="T80" t="str">
            <v>6x1C+2N 240mm2</v>
          </cell>
          <cell r="V80" t="str">
            <v>MCB</v>
          </cell>
          <cell r="W80">
            <v>800</v>
          </cell>
          <cell r="X80" t="str">
            <v>HZ25-40-2</v>
          </cell>
          <cell r="Z80" t="str">
            <v>Tanis</v>
          </cell>
          <cell r="AA80">
            <v>415</v>
          </cell>
          <cell r="AB80">
            <v>800</v>
          </cell>
          <cell r="AC80">
            <v>25</v>
          </cell>
          <cell r="AD80">
            <v>1</v>
          </cell>
          <cell r="AE80">
            <v>14</v>
          </cell>
          <cell r="AF80">
            <v>2008</v>
          </cell>
          <cell r="AH80" t="str">
            <v>Russell Blyth</v>
          </cell>
          <cell r="AI80" t="str">
            <v>WC</v>
          </cell>
          <cell r="AJ80" t="str">
            <v>New internal SwBd by Tanis</v>
          </cell>
        </row>
        <row r="81">
          <cell r="E81" t="str">
            <v>W0040164</v>
          </cell>
          <cell r="F81" t="str">
            <v>2ML Ground Tank &amp; Pressure Booster</v>
          </cell>
          <cell r="H81" t="str">
            <v>Supply Auth</v>
          </cell>
          <cell r="J81" t="str">
            <v>Pumping Station SB</v>
          </cell>
          <cell r="K81" t="str">
            <v>HW07-40-1</v>
          </cell>
          <cell r="M81">
            <v>200</v>
          </cell>
          <cell r="N81">
            <v>33</v>
          </cell>
          <cell r="O81">
            <v>415</v>
          </cell>
          <cell r="V81" t="str">
            <v>MCB</v>
          </cell>
          <cell r="W81">
            <v>63</v>
          </cell>
          <cell r="AF81">
            <v>2008</v>
          </cell>
          <cell r="AH81" t="str">
            <v>Russell Blyth</v>
          </cell>
          <cell r="AI81" t="str">
            <v>WC</v>
          </cell>
          <cell r="AJ81" t="str">
            <v>New internal SwBd</v>
          </cell>
        </row>
        <row r="82">
          <cell r="E82" t="str">
            <v>W7004321</v>
          </cell>
          <cell r="F82" t="str">
            <v>Desalination Plant</v>
          </cell>
          <cell r="H82" t="str">
            <v>Supply Auth</v>
          </cell>
          <cell r="J82" t="str">
            <v>Desalination Plant Main SB</v>
          </cell>
          <cell r="K82" t="str">
            <v>HV85-40-1</v>
          </cell>
          <cell r="M82">
            <v>200</v>
          </cell>
          <cell r="N82">
            <v>33</v>
          </cell>
          <cell r="O82">
            <v>415</v>
          </cell>
          <cell r="P82">
            <v>4.2000000000000003E-2</v>
          </cell>
          <cell r="S82" t="str">
            <v>XLPE</v>
          </cell>
          <cell r="T82" t="str">
            <v>95mm2</v>
          </cell>
          <cell r="V82" t="str">
            <v>MCB</v>
          </cell>
          <cell r="W82">
            <v>400</v>
          </cell>
          <cell r="AA82">
            <v>415</v>
          </cell>
          <cell r="AB82">
            <v>800</v>
          </cell>
          <cell r="AC82">
            <v>10</v>
          </cell>
          <cell r="AD82">
            <v>1</v>
          </cell>
          <cell r="AE82">
            <v>7</v>
          </cell>
          <cell r="AF82">
            <v>2005</v>
          </cell>
          <cell r="AH82" t="str">
            <v>Sam Cockburn</v>
          </cell>
          <cell r="AI82" t="str">
            <v>WC</v>
          </cell>
        </row>
        <row r="83">
          <cell r="E83" t="str">
            <v>W0035774</v>
          </cell>
          <cell r="F83" t="str">
            <v>Yanchep National Park Bore Mains &amp; WTP</v>
          </cell>
          <cell r="H83" t="str">
            <v>Supply Auth</v>
          </cell>
          <cell r="J83" t="str">
            <v>Site Main DB</v>
          </cell>
          <cell r="K83" t="str">
            <v>HO98-40-1</v>
          </cell>
          <cell r="S83" t="str">
            <v>XLPE/PVC</v>
          </cell>
          <cell r="T83" t="str">
            <v>95mm2</v>
          </cell>
          <cell r="V83" t="str">
            <v>MCB</v>
          </cell>
          <cell r="W83">
            <v>200</v>
          </cell>
          <cell r="AA83">
            <v>415</v>
          </cell>
          <cell r="AB83">
            <v>250</v>
          </cell>
          <cell r="AC83">
            <v>10</v>
          </cell>
          <cell r="AD83">
            <v>1</v>
          </cell>
          <cell r="AF83">
            <v>2008</v>
          </cell>
          <cell r="AH83" t="str">
            <v>Dean Rayner</v>
          </cell>
          <cell r="AI83" t="str">
            <v>Aroona Alliance</v>
          </cell>
          <cell r="AJ83" t="str">
            <v>Not a PSN site, but boards in good condition</v>
          </cell>
        </row>
        <row r="84">
          <cell r="E84" t="str">
            <v>S0025514</v>
          </cell>
          <cell r="F84" t="str">
            <v>Robinson St PS #2</v>
          </cell>
          <cell r="H84" t="str">
            <v>Supply Auth</v>
          </cell>
          <cell r="I84" t="str">
            <v>S0025518</v>
          </cell>
          <cell r="J84" t="str">
            <v>200A Incoming Panel</v>
          </cell>
          <cell r="K84" t="str">
            <v>HN54-40-5</v>
          </cell>
          <cell r="M84">
            <v>160</v>
          </cell>
          <cell r="N84">
            <v>11</v>
          </cell>
          <cell r="O84">
            <v>415</v>
          </cell>
          <cell r="P84">
            <v>3.7999999999999999E-2</v>
          </cell>
          <cell r="R84">
            <v>5.8</v>
          </cell>
          <cell r="S84" t="str">
            <v>XLPE</v>
          </cell>
          <cell r="T84" t="str">
            <v>95mm2</v>
          </cell>
          <cell r="V84" t="str">
            <v>MCB</v>
          </cell>
          <cell r="W84">
            <v>250</v>
          </cell>
          <cell r="X84" t="str">
            <v>HN54-40-11</v>
          </cell>
          <cell r="AA84">
            <v>415</v>
          </cell>
          <cell r="AB84">
            <v>220</v>
          </cell>
          <cell r="AC84">
            <v>8</v>
          </cell>
          <cell r="AD84">
            <v>1</v>
          </cell>
          <cell r="AE84">
            <v>5.8</v>
          </cell>
          <cell r="AG84" t="str">
            <v>3B</v>
          </cell>
          <cell r="AH84" t="str">
            <v>Steve Farquhar</v>
          </cell>
          <cell r="AI84" t="str">
            <v>WC</v>
          </cell>
          <cell r="AJ84" t="str">
            <v>Relatively new installation. External SB under shade cover. Some indication of H2S discoloration on cables, metal work</v>
          </cell>
        </row>
        <row r="85">
          <cell r="E85" t="str">
            <v>S8008514</v>
          </cell>
          <cell r="F85" t="str">
            <v>Westbury Way PS #11</v>
          </cell>
          <cell r="H85" t="str">
            <v>Supply Auth</v>
          </cell>
          <cell r="I85" t="str">
            <v>S8008521</v>
          </cell>
          <cell r="J85" t="str">
            <v>Incoming Panel</v>
          </cell>
          <cell r="K85" t="str">
            <v>HN22-40-1</v>
          </cell>
          <cell r="M85">
            <v>200</v>
          </cell>
          <cell r="N85">
            <v>22</v>
          </cell>
          <cell r="O85">
            <v>415</v>
          </cell>
          <cell r="S85" t="str">
            <v>XLPE</v>
          </cell>
          <cell r="T85" t="str">
            <v>16mm2</v>
          </cell>
          <cell r="V85" t="str">
            <v>Fuse</v>
          </cell>
          <cell r="W85">
            <v>60</v>
          </cell>
          <cell r="X85" t="str">
            <v>HN22-40-2</v>
          </cell>
          <cell r="AF85">
            <v>2005</v>
          </cell>
          <cell r="AH85" t="str">
            <v>Chris Cooper</v>
          </cell>
          <cell r="AI85" t="str">
            <v>WC</v>
          </cell>
        </row>
        <row r="86">
          <cell r="E86" t="str">
            <v>W6005430</v>
          </cell>
          <cell r="F86" t="str">
            <v>Laverton WTP</v>
          </cell>
          <cell r="H86" t="str">
            <v>Supply Auth</v>
          </cell>
          <cell r="J86" t="str">
            <v>Beasley Creek WTP Main SB</v>
          </cell>
          <cell r="K86" t="str">
            <v>HM11-41-1</v>
          </cell>
          <cell r="M86">
            <v>200</v>
          </cell>
          <cell r="N86">
            <v>33</v>
          </cell>
          <cell r="O86">
            <v>415</v>
          </cell>
          <cell r="P86">
            <v>4.1000000000000002E-2</v>
          </cell>
          <cell r="R86">
            <v>2.58</v>
          </cell>
          <cell r="S86" t="str">
            <v>XLPE</v>
          </cell>
          <cell r="T86" t="str">
            <v>150mm2</v>
          </cell>
          <cell r="V86" t="str">
            <v>MCB</v>
          </cell>
          <cell r="W86">
            <v>272</v>
          </cell>
          <cell r="X86" t="str">
            <v>HM11-41-5</v>
          </cell>
          <cell r="AA86">
            <v>415</v>
          </cell>
          <cell r="AB86">
            <v>400</v>
          </cell>
          <cell r="AC86">
            <v>20</v>
          </cell>
          <cell r="AD86">
            <v>1</v>
          </cell>
          <cell r="AE86">
            <v>2.5099999999999998</v>
          </cell>
          <cell r="AF86">
            <v>2007</v>
          </cell>
          <cell r="AH86" t="str">
            <v>Rob Van-Tiel</v>
          </cell>
          <cell r="AI86" t="str">
            <v>WC</v>
          </cell>
        </row>
        <row r="87">
          <cell r="E87" t="str">
            <v>W7000017</v>
          </cell>
          <cell r="F87" t="str">
            <v>Hopetoun Rd Dam - 15ML Res</v>
          </cell>
          <cell r="H87" t="str">
            <v>Supply Auth</v>
          </cell>
          <cell r="J87" t="str">
            <v>Main DB SB</v>
          </cell>
          <cell r="K87" t="str">
            <v>HJ08-40-3</v>
          </cell>
          <cell r="M87">
            <v>200</v>
          </cell>
          <cell r="N87">
            <v>33</v>
          </cell>
          <cell r="O87">
            <v>440</v>
          </cell>
          <cell r="X87" t="str">
            <v>HJ08-40-2</v>
          </cell>
          <cell r="AF87">
            <v>2005</v>
          </cell>
          <cell r="AH87" t="str">
            <v>Sam Cockburn</v>
          </cell>
          <cell r="AI87" t="str">
            <v>WC</v>
          </cell>
        </row>
        <row r="88">
          <cell r="E88" t="str">
            <v>W0020986</v>
          </cell>
          <cell r="F88" t="str">
            <v>Boondi PS</v>
          </cell>
          <cell r="G88" t="str">
            <v>E10</v>
          </cell>
          <cell r="H88" t="str">
            <v>Auxillary Transformer</v>
          </cell>
          <cell r="K88" t="str">
            <v>HG45-42-2</v>
          </cell>
          <cell r="S88" t="str">
            <v>XLPE</v>
          </cell>
          <cell r="T88" t="str">
            <v>45mm2</v>
          </cell>
          <cell r="V88" t="str">
            <v>MCB</v>
          </cell>
          <cell r="W88">
            <v>100</v>
          </cell>
          <cell r="AA88">
            <v>415</v>
          </cell>
          <cell r="AB88">
            <v>250</v>
          </cell>
          <cell r="AC88">
            <v>25</v>
          </cell>
          <cell r="AD88">
            <v>1</v>
          </cell>
          <cell r="AF88">
            <v>2007</v>
          </cell>
          <cell r="AH88" t="str">
            <v>Rob Van-Tiel</v>
          </cell>
          <cell r="AI88" t="str">
            <v>WC</v>
          </cell>
        </row>
        <row r="89">
          <cell r="E89" t="str">
            <v>W0020987</v>
          </cell>
          <cell r="F89" t="str">
            <v>Boondi PS</v>
          </cell>
          <cell r="G89" t="str">
            <v>E11</v>
          </cell>
          <cell r="H89" t="str">
            <v>Auxillary Transformer</v>
          </cell>
          <cell r="K89" t="str">
            <v>HG45-42-1</v>
          </cell>
          <cell r="M89">
            <v>630</v>
          </cell>
          <cell r="N89">
            <v>33</v>
          </cell>
          <cell r="O89">
            <v>415</v>
          </cell>
          <cell r="S89" t="str">
            <v>XLPE</v>
          </cell>
          <cell r="T89" t="str">
            <v>3x1C 185mm2</v>
          </cell>
          <cell r="V89" t="str">
            <v>MCB</v>
          </cell>
          <cell r="W89">
            <v>800</v>
          </cell>
          <cell r="AA89">
            <v>415</v>
          </cell>
          <cell r="AB89">
            <v>800</v>
          </cell>
          <cell r="AF89">
            <v>2007</v>
          </cell>
          <cell r="AH89" t="str">
            <v>Rob Van-Tiel</v>
          </cell>
          <cell r="AI89" t="str">
            <v>WC</v>
          </cell>
        </row>
        <row r="90">
          <cell r="E90" t="str">
            <v>W5018550</v>
          </cell>
          <cell r="F90" t="str">
            <v>Southern Cross PS</v>
          </cell>
          <cell r="G90" t="str">
            <v>E10</v>
          </cell>
          <cell r="H90" t="str">
            <v>Auxillary Transformer</v>
          </cell>
          <cell r="K90" t="str">
            <v>HG43-42-2</v>
          </cell>
          <cell r="M90">
            <v>800</v>
          </cell>
          <cell r="N90">
            <v>33</v>
          </cell>
          <cell r="O90">
            <v>433</v>
          </cell>
          <cell r="S90" t="str">
            <v>XLPE</v>
          </cell>
          <cell r="T90" t="str">
            <v>1C 25mm2</v>
          </cell>
          <cell r="V90" t="str">
            <v>MCB</v>
          </cell>
          <cell r="W90">
            <v>100</v>
          </cell>
          <cell r="AA90">
            <v>415</v>
          </cell>
          <cell r="AB90">
            <v>250</v>
          </cell>
          <cell r="AC90">
            <v>25</v>
          </cell>
          <cell r="AD90">
            <v>1</v>
          </cell>
          <cell r="AF90">
            <v>2006</v>
          </cell>
          <cell r="AH90" t="str">
            <v>Rob Van-Tiel</v>
          </cell>
          <cell r="AI90" t="str">
            <v>WC</v>
          </cell>
        </row>
        <row r="91">
          <cell r="E91" t="str">
            <v>W5018551</v>
          </cell>
          <cell r="F91" t="str">
            <v>Southern Cross PS</v>
          </cell>
          <cell r="G91" t="str">
            <v>E11</v>
          </cell>
          <cell r="H91" t="str">
            <v>Auxillary Transformer</v>
          </cell>
          <cell r="J91" t="str">
            <v>Power Factor Correction Cubicle</v>
          </cell>
          <cell r="K91" t="str">
            <v>HG43-42-1</v>
          </cell>
          <cell r="M91">
            <v>800</v>
          </cell>
          <cell r="N91">
            <v>33</v>
          </cell>
          <cell r="O91">
            <v>433</v>
          </cell>
          <cell r="V91" t="str">
            <v>MCB</v>
          </cell>
          <cell r="W91">
            <v>1000</v>
          </cell>
          <cell r="AA91">
            <v>415</v>
          </cell>
          <cell r="AB91">
            <v>800</v>
          </cell>
          <cell r="AF91">
            <v>2006</v>
          </cell>
          <cell r="AH91" t="str">
            <v>Rob Van-Tiel</v>
          </cell>
          <cell r="AI91" t="str">
            <v>WC</v>
          </cell>
        </row>
        <row r="92">
          <cell r="E92" t="str">
            <v>S6000610</v>
          </cell>
          <cell r="F92" t="str">
            <v>Karratha WWTP</v>
          </cell>
          <cell r="H92" t="str">
            <v>Supply Auth</v>
          </cell>
          <cell r="J92" t="str">
            <v>WWTP SB</v>
          </cell>
          <cell r="K92" t="str">
            <v>HE38-40-11</v>
          </cell>
          <cell r="M92">
            <v>200</v>
          </cell>
          <cell r="V92" t="str">
            <v>MCB</v>
          </cell>
          <cell r="W92">
            <v>250</v>
          </cell>
          <cell r="AA92">
            <v>500</v>
          </cell>
          <cell r="AB92">
            <v>500</v>
          </cell>
          <cell r="AC92">
            <v>20</v>
          </cell>
          <cell r="AD92">
            <v>1</v>
          </cell>
          <cell r="AF92">
            <v>2004</v>
          </cell>
          <cell r="AH92" t="str">
            <v>Rob Van-Tiel</v>
          </cell>
          <cell r="AI92" t="str">
            <v>WC</v>
          </cell>
        </row>
        <row r="93">
          <cell r="E93" t="str">
            <v>S8009236</v>
          </cell>
          <cell r="F93" t="str">
            <v>Glenleigh Rd Vacuum PS #19</v>
          </cell>
          <cell r="H93" t="str">
            <v>Supply Auth</v>
          </cell>
          <cell r="J93" t="str">
            <v>Incoming Panel</v>
          </cell>
          <cell r="K93" t="str">
            <v>HD42-43-5</v>
          </cell>
          <cell r="M93">
            <v>315</v>
          </cell>
          <cell r="R93">
            <v>8.3000000000000007</v>
          </cell>
          <cell r="S93" t="str">
            <v>XLPE</v>
          </cell>
          <cell r="T93" t="str">
            <v>95mm2</v>
          </cell>
          <cell r="V93" t="str">
            <v>MCB</v>
          </cell>
          <cell r="W93">
            <v>250</v>
          </cell>
          <cell r="AA93">
            <v>415</v>
          </cell>
          <cell r="AB93">
            <v>200</v>
          </cell>
          <cell r="AF93">
            <v>2007</v>
          </cell>
          <cell r="AH93" t="str">
            <v>Doug Clapp</v>
          </cell>
          <cell r="AI93" t="str">
            <v>WC</v>
          </cell>
        </row>
        <row r="94">
          <cell r="E94" t="str">
            <v>S8007749</v>
          </cell>
          <cell r="F94" t="str">
            <v>Broadwater Estate Vacuum PS #14</v>
          </cell>
          <cell r="H94" t="str">
            <v>Supply Auth</v>
          </cell>
          <cell r="J94" t="str">
            <v>Incoming Panel</v>
          </cell>
          <cell r="K94" t="str">
            <v>HD41-41-5</v>
          </cell>
          <cell r="S94" t="str">
            <v>XLPE</v>
          </cell>
          <cell r="T94" t="str">
            <v>95mm2</v>
          </cell>
          <cell r="V94" t="str">
            <v>MCB</v>
          </cell>
          <cell r="W94">
            <v>200</v>
          </cell>
          <cell r="AF94">
            <v>2004</v>
          </cell>
          <cell r="AH94" t="str">
            <v>Doug Clapp</v>
          </cell>
          <cell r="AI94" t="str">
            <v>WC</v>
          </cell>
        </row>
        <row r="95">
          <cell r="F95" t="str">
            <v>Australind PS</v>
          </cell>
          <cell r="H95" t="str">
            <v>Transformer Kiosk</v>
          </cell>
          <cell r="J95" t="str">
            <v>Incomer SB</v>
          </cell>
          <cell r="K95" t="str">
            <v>HC12-40-2</v>
          </cell>
          <cell r="M95">
            <v>500</v>
          </cell>
          <cell r="N95">
            <v>22</v>
          </cell>
          <cell r="O95">
            <v>440</v>
          </cell>
          <cell r="P95">
            <v>4.7E-2</v>
          </cell>
          <cell r="S95" t="str">
            <v>XLPE</v>
          </cell>
          <cell r="T95" t="str">
            <v>3x1C 150mm2</v>
          </cell>
          <cell r="V95" t="str">
            <v>Fuse</v>
          </cell>
          <cell r="W95">
            <v>40</v>
          </cell>
          <cell r="AF95">
            <v>2004</v>
          </cell>
          <cell r="AG95" t="str">
            <v>g</v>
          </cell>
          <cell r="AH95" t="str">
            <v>Ian Oswald</v>
          </cell>
          <cell r="AI95" t="str">
            <v>WC</v>
          </cell>
        </row>
        <row r="96">
          <cell r="F96" t="str">
            <v>Australind PS</v>
          </cell>
          <cell r="G96" t="str">
            <v>Cubicle F</v>
          </cell>
          <cell r="H96" t="str">
            <v>Incomer SB</v>
          </cell>
          <cell r="J96" t="str">
            <v>South Transfer Pumps</v>
          </cell>
          <cell r="K96" t="str">
            <v>HC12-40-2</v>
          </cell>
          <cell r="V96" t="str">
            <v>MCB</v>
          </cell>
          <cell r="W96">
            <v>300</v>
          </cell>
          <cell r="AF96">
            <v>2004</v>
          </cell>
          <cell r="AG96" t="str">
            <v>g</v>
          </cell>
          <cell r="AH96" t="str">
            <v>Ian Oswald</v>
          </cell>
          <cell r="AI96" t="str">
            <v>WC</v>
          </cell>
        </row>
        <row r="97">
          <cell r="E97" t="str">
            <v>W0045264</v>
          </cell>
          <cell r="F97" t="str">
            <v>Australind WTP - Old Coast Rd</v>
          </cell>
          <cell r="G97" t="str">
            <v>MCC 490</v>
          </cell>
          <cell r="H97" t="str">
            <v>Incomer SB</v>
          </cell>
          <cell r="J97" t="str">
            <v>North and South Transfer Pumps SB</v>
          </cell>
          <cell r="K97" t="str">
            <v>CV53-42-1.4</v>
          </cell>
          <cell r="V97" t="str">
            <v>MCB</v>
          </cell>
          <cell r="W97">
            <v>250</v>
          </cell>
          <cell r="AA97">
            <v>415</v>
          </cell>
          <cell r="AB97">
            <v>250</v>
          </cell>
          <cell r="AC97">
            <v>10</v>
          </cell>
          <cell r="AD97">
            <v>1</v>
          </cell>
          <cell r="AE97">
            <v>6.41</v>
          </cell>
          <cell r="AF97">
            <v>2004</v>
          </cell>
          <cell r="AH97" t="str">
            <v>Ian Oswald</v>
          </cell>
          <cell r="AI97" t="str">
            <v>WC</v>
          </cell>
        </row>
        <row r="98">
          <cell r="E98" t="str">
            <v>W4002007</v>
          </cell>
          <cell r="F98" t="str">
            <v>Coral Bay WTP</v>
          </cell>
          <cell r="H98" t="str">
            <v>Supply Auth</v>
          </cell>
          <cell r="J98" t="str">
            <v>WTP SB</v>
          </cell>
          <cell r="K98" t="str">
            <v>HB81-40-1</v>
          </cell>
          <cell r="R98">
            <v>20.8</v>
          </cell>
          <cell r="T98" t="str">
            <v>1C 185mm2</v>
          </cell>
          <cell r="V98" t="str">
            <v>MCB</v>
          </cell>
          <cell r="W98">
            <v>240</v>
          </cell>
          <cell r="AA98">
            <v>500</v>
          </cell>
          <cell r="AB98">
            <v>400</v>
          </cell>
          <cell r="AC98">
            <v>25</v>
          </cell>
          <cell r="AD98">
            <v>1</v>
          </cell>
          <cell r="AE98">
            <v>12.5</v>
          </cell>
          <cell r="AF98">
            <v>2008</v>
          </cell>
          <cell r="AH98" t="str">
            <v>Russell Blyth</v>
          </cell>
          <cell r="AI98" t="str">
            <v>WC</v>
          </cell>
          <cell r="AJ98" t="str">
            <v>New internal SwBd</v>
          </cell>
        </row>
        <row r="99">
          <cell r="E99" t="str">
            <v>W3002255</v>
          </cell>
          <cell r="F99" t="str">
            <v>Wyndham WTP</v>
          </cell>
          <cell r="H99" t="str">
            <v>Supply Auth</v>
          </cell>
          <cell r="J99" t="str">
            <v>WTP SB</v>
          </cell>
          <cell r="K99" t="str">
            <v>HB27-40-2</v>
          </cell>
          <cell r="M99">
            <v>160</v>
          </cell>
          <cell r="N99">
            <v>6.6</v>
          </cell>
          <cell r="O99">
            <v>415</v>
          </cell>
          <cell r="R99">
            <v>4.13</v>
          </cell>
          <cell r="S99" t="str">
            <v>XLPE</v>
          </cell>
          <cell r="T99" t="str">
            <v>150mm2</v>
          </cell>
          <cell r="V99" t="str">
            <v>MCB</v>
          </cell>
          <cell r="W99">
            <v>250</v>
          </cell>
          <cell r="X99" t="str">
            <v>HB27-40-3</v>
          </cell>
          <cell r="AA99">
            <v>415</v>
          </cell>
          <cell r="AB99">
            <v>300</v>
          </cell>
          <cell r="AC99">
            <v>8</v>
          </cell>
          <cell r="AE99">
            <v>3.38</v>
          </cell>
          <cell r="AF99">
            <v>2005</v>
          </cell>
          <cell r="AG99" t="str">
            <v>FUTURE-K</v>
          </cell>
          <cell r="AH99" t="str">
            <v>Steve Farquhar</v>
          </cell>
          <cell r="AI99" t="str">
            <v>WC</v>
          </cell>
          <cell r="AJ99" t="str">
            <v>New installation</v>
          </cell>
        </row>
        <row r="100">
          <cell r="E100" t="str">
            <v>W3000331</v>
          </cell>
          <cell r="F100" t="str">
            <v>Bulgarene Bores</v>
          </cell>
          <cell r="H100" t="str">
            <v>WaterCorp Transformer</v>
          </cell>
          <cell r="J100" t="str">
            <v>Bore 18/96</v>
          </cell>
          <cell r="K100" t="str">
            <v>HB18-40-2</v>
          </cell>
          <cell r="M100">
            <v>200</v>
          </cell>
          <cell r="N100">
            <v>22</v>
          </cell>
          <cell r="O100">
            <v>433</v>
          </cell>
          <cell r="P100">
            <v>0.04</v>
          </cell>
          <cell r="R100">
            <v>5.67</v>
          </cell>
          <cell r="S100" t="str">
            <v>XLPE</v>
          </cell>
          <cell r="T100" t="str">
            <v>240mm2</v>
          </cell>
          <cell r="V100" t="str">
            <v>MCB</v>
          </cell>
          <cell r="W100">
            <v>297</v>
          </cell>
          <cell r="X100" t="str">
            <v>HB18-40-3</v>
          </cell>
          <cell r="AF100">
            <v>2004</v>
          </cell>
          <cell r="AG100" t="str">
            <v>US</v>
          </cell>
          <cell r="AH100" t="str">
            <v>Steve Farquhar</v>
          </cell>
          <cell r="AI100" t="str">
            <v>WC</v>
          </cell>
          <cell r="AJ100" t="str">
            <v>Not installed</v>
          </cell>
        </row>
        <row r="101">
          <cell r="E101" t="str">
            <v>W3000331</v>
          </cell>
          <cell r="F101" t="str">
            <v>Bulgarene Bores</v>
          </cell>
          <cell r="H101" t="str">
            <v>WaterCorp Transformer</v>
          </cell>
          <cell r="J101" t="str">
            <v>Bore 19/96</v>
          </cell>
          <cell r="K101" t="str">
            <v>HB18-40-2</v>
          </cell>
          <cell r="M101">
            <v>200</v>
          </cell>
          <cell r="N101">
            <v>22</v>
          </cell>
          <cell r="O101">
            <v>433</v>
          </cell>
          <cell r="P101">
            <v>0.04</v>
          </cell>
          <cell r="R101">
            <v>5.63</v>
          </cell>
          <cell r="S101" t="str">
            <v>XLPE</v>
          </cell>
          <cell r="T101" t="str">
            <v>240mm2</v>
          </cell>
          <cell r="V101" t="str">
            <v>MCB</v>
          </cell>
          <cell r="W101">
            <v>297</v>
          </cell>
          <cell r="X101" t="str">
            <v>HB18-40-3</v>
          </cell>
          <cell r="AF101">
            <v>2004</v>
          </cell>
          <cell r="AG101" t="str">
            <v>US</v>
          </cell>
          <cell r="AH101" t="str">
            <v>Steve Farquhar</v>
          </cell>
          <cell r="AI101" t="str">
            <v>WC</v>
          </cell>
          <cell r="AJ101" t="str">
            <v>Not installed</v>
          </cell>
        </row>
        <row r="102">
          <cell r="E102" t="str">
            <v>W3000331</v>
          </cell>
          <cell r="F102" t="str">
            <v>Bulgarene Bores</v>
          </cell>
          <cell r="H102" t="str">
            <v>WaterCorp Transformer</v>
          </cell>
          <cell r="J102" t="str">
            <v>Bore 20/96</v>
          </cell>
          <cell r="K102" t="str">
            <v>HB18-40-2</v>
          </cell>
          <cell r="M102">
            <v>200</v>
          </cell>
          <cell r="N102">
            <v>22</v>
          </cell>
          <cell r="O102">
            <v>433</v>
          </cell>
          <cell r="P102">
            <v>0.04</v>
          </cell>
          <cell r="R102">
            <v>5.66</v>
          </cell>
          <cell r="S102" t="str">
            <v>XLPE</v>
          </cell>
          <cell r="T102" t="str">
            <v>240mm2</v>
          </cell>
          <cell r="V102" t="str">
            <v>MCB</v>
          </cell>
          <cell r="W102">
            <v>297</v>
          </cell>
          <cell r="X102" t="str">
            <v>HB18-40-3</v>
          </cell>
          <cell r="AF102">
            <v>2004</v>
          </cell>
          <cell r="AG102" t="str">
            <v>US</v>
          </cell>
          <cell r="AH102" t="str">
            <v>Steve Farquhar</v>
          </cell>
          <cell r="AI102" t="str">
            <v>WC</v>
          </cell>
          <cell r="AJ102" t="str">
            <v>Not installed</v>
          </cell>
        </row>
        <row r="103">
          <cell r="E103" t="str">
            <v>W3000331</v>
          </cell>
          <cell r="F103" t="str">
            <v>Bulgarene Bores</v>
          </cell>
          <cell r="H103" t="str">
            <v>WaterCorp Transformer</v>
          </cell>
          <cell r="J103" t="str">
            <v>Bore 21/96</v>
          </cell>
          <cell r="K103" t="str">
            <v>HB18-40-2</v>
          </cell>
          <cell r="M103">
            <v>200</v>
          </cell>
          <cell r="N103">
            <v>22</v>
          </cell>
          <cell r="O103">
            <v>433</v>
          </cell>
          <cell r="P103">
            <v>0.04</v>
          </cell>
          <cell r="R103">
            <v>5.64</v>
          </cell>
          <cell r="S103" t="str">
            <v>XLPE</v>
          </cell>
          <cell r="T103" t="str">
            <v>240mm2</v>
          </cell>
          <cell r="V103" t="str">
            <v>MCB</v>
          </cell>
          <cell r="W103">
            <v>297</v>
          </cell>
          <cell r="X103" t="str">
            <v>HB18-40-3</v>
          </cell>
          <cell r="AF103">
            <v>2004</v>
          </cell>
          <cell r="AG103" t="str">
            <v>US</v>
          </cell>
          <cell r="AH103" t="str">
            <v>Steve Farquhar</v>
          </cell>
          <cell r="AI103" t="str">
            <v>WC</v>
          </cell>
          <cell r="AJ103" t="str">
            <v>Not installed</v>
          </cell>
        </row>
        <row r="104">
          <cell r="E104" t="str">
            <v>S0029146</v>
          </cell>
          <cell r="F104" t="str">
            <v>Booster PS</v>
          </cell>
          <cell r="H104" t="str">
            <v>Supply Auth</v>
          </cell>
          <cell r="I104" t="str">
            <v>S2003565</v>
          </cell>
          <cell r="J104" t="str">
            <v>Main SB</v>
          </cell>
          <cell r="K104" t="str">
            <v>GW46-41-1</v>
          </cell>
          <cell r="M104">
            <v>200</v>
          </cell>
          <cell r="N104">
            <v>22</v>
          </cell>
          <cell r="O104">
            <v>415</v>
          </cell>
          <cell r="S104" t="str">
            <v>PVC</v>
          </cell>
          <cell r="T104" t="str">
            <v>50mm2</v>
          </cell>
          <cell r="V104" t="str">
            <v>MCB</v>
          </cell>
          <cell r="W104">
            <v>160</v>
          </cell>
          <cell r="AF104">
            <v>2004</v>
          </cell>
          <cell r="AH104" t="str">
            <v>Dave Sutton</v>
          </cell>
          <cell r="AI104" t="str">
            <v>WC</v>
          </cell>
        </row>
        <row r="105">
          <cell r="E105" t="str">
            <v>S0030479</v>
          </cell>
          <cell r="F105" t="str">
            <v>Seabrooke Av. PS</v>
          </cell>
          <cell r="H105" t="str">
            <v>Supply Auth</v>
          </cell>
          <cell r="I105" t="str">
            <v>S2018309</v>
          </cell>
          <cell r="K105" t="str">
            <v>GV17-40-1</v>
          </cell>
          <cell r="M105">
            <v>800</v>
          </cell>
          <cell r="N105">
            <v>22</v>
          </cell>
          <cell r="O105">
            <v>433</v>
          </cell>
          <cell r="P105">
            <v>5.5E-2</v>
          </cell>
          <cell r="S105" t="str">
            <v>XLPE</v>
          </cell>
          <cell r="T105" t="str">
            <v>3x1C 500mm2</v>
          </cell>
          <cell r="V105" t="str">
            <v>MCB</v>
          </cell>
          <cell r="W105">
            <v>1250</v>
          </cell>
          <cell r="X105" t="str">
            <v>GV17-40-3</v>
          </cell>
          <cell r="AA105">
            <v>415</v>
          </cell>
          <cell r="AB105">
            <v>1600</v>
          </cell>
          <cell r="AC105">
            <v>30</v>
          </cell>
          <cell r="AD105">
            <v>1</v>
          </cell>
          <cell r="AE105">
            <v>15.3</v>
          </cell>
          <cell r="AF105">
            <v>2004</v>
          </cell>
          <cell r="AH105" t="str">
            <v>Dave Sutton</v>
          </cell>
          <cell r="AI105" t="str">
            <v>WC</v>
          </cell>
        </row>
        <row r="106">
          <cell r="E106" t="str">
            <v>W0020300</v>
          </cell>
          <cell r="F106" t="str">
            <v>Barbalin Dam PS</v>
          </cell>
          <cell r="H106" t="str">
            <v>Supply Auth</v>
          </cell>
          <cell r="K106" t="str">
            <v>GV31-41-5</v>
          </cell>
          <cell r="M106">
            <v>100</v>
          </cell>
          <cell r="N106">
            <v>33</v>
          </cell>
          <cell r="O106">
            <v>415</v>
          </cell>
          <cell r="S106" t="str">
            <v>XLPE</v>
          </cell>
          <cell r="T106" t="str">
            <v>70mm2</v>
          </cell>
          <cell r="V106" t="str">
            <v>MCB</v>
          </cell>
          <cell r="W106">
            <v>160</v>
          </cell>
          <cell r="X106" t="str">
            <v>GV31-43-5</v>
          </cell>
          <cell r="AA106">
            <v>415</v>
          </cell>
          <cell r="AB106">
            <v>400</v>
          </cell>
          <cell r="AC106">
            <v>20</v>
          </cell>
          <cell r="AD106">
            <v>1</v>
          </cell>
          <cell r="AF106">
            <v>2008</v>
          </cell>
          <cell r="AH106" t="str">
            <v>Rob Van-Tiel</v>
          </cell>
          <cell r="AI106" t="str">
            <v>WC</v>
          </cell>
          <cell r="AJ106" t="str">
            <v xml:space="preserve">2 LV switchboards &gt;100A.  Main SB (planset GU31) and PS SB (planset 45442).  </v>
          </cell>
        </row>
        <row r="107">
          <cell r="E107" t="str">
            <v>W0008485</v>
          </cell>
          <cell r="F107" t="str">
            <v>Chemical Dosing Plant</v>
          </cell>
          <cell r="H107" t="str">
            <v>Supply Auth</v>
          </cell>
          <cell r="J107" t="str">
            <v>Main SB</v>
          </cell>
          <cell r="K107" t="str">
            <v>GT92-40-1</v>
          </cell>
          <cell r="M107">
            <v>315</v>
          </cell>
          <cell r="N107">
            <v>22</v>
          </cell>
          <cell r="O107">
            <v>415</v>
          </cell>
          <cell r="S107" t="str">
            <v>XLPE</v>
          </cell>
          <cell r="T107" t="str">
            <v>240mm2</v>
          </cell>
          <cell r="V107" t="str">
            <v>MCB</v>
          </cell>
          <cell r="W107">
            <v>378</v>
          </cell>
          <cell r="X107" t="str">
            <v>GT92-40-3</v>
          </cell>
          <cell r="AA107">
            <v>415</v>
          </cell>
          <cell r="AB107">
            <v>400</v>
          </cell>
          <cell r="AC107">
            <v>20</v>
          </cell>
          <cell r="AD107">
            <v>1</v>
          </cell>
          <cell r="AE107">
            <v>5.97</v>
          </cell>
          <cell r="AF107">
            <v>2007</v>
          </cell>
          <cell r="AH107" t="str">
            <v>Craig Warner</v>
          </cell>
          <cell r="AI107" t="str">
            <v>Aroona Alliance</v>
          </cell>
        </row>
        <row r="108">
          <cell r="E108" t="str">
            <v>W0008981</v>
          </cell>
          <cell r="F108" t="str">
            <v>Wungong Dam Chemical Dosing Plant</v>
          </cell>
          <cell r="H108" t="str">
            <v>Supply Auth</v>
          </cell>
          <cell r="J108" t="str">
            <v>Main SB</v>
          </cell>
          <cell r="K108" t="str">
            <v>GT91-40-1</v>
          </cell>
          <cell r="M108">
            <v>200</v>
          </cell>
          <cell r="N108">
            <v>22</v>
          </cell>
          <cell r="O108">
            <v>415</v>
          </cell>
          <cell r="S108" t="str">
            <v>XLPE</v>
          </cell>
          <cell r="T108" t="str">
            <v>150mm2</v>
          </cell>
          <cell r="V108" t="str">
            <v>MCB</v>
          </cell>
          <cell r="W108">
            <v>252</v>
          </cell>
          <cell r="X108" t="str">
            <v>GT91-40-3</v>
          </cell>
          <cell r="AA108">
            <v>415</v>
          </cell>
          <cell r="AB108">
            <v>400</v>
          </cell>
          <cell r="AC108">
            <v>20</v>
          </cell>
          <cell r="AD108">
            <v>1</v>
          </cell>
          <cell r="AE108">
            <v>5.43</v>
          </cell>
          <cell r="AF108">
            <v>2005</v>
          </cell>
          <cell r="AH108" t="str">
            <v>Craig Warner</v>
          </cell>
          <cell r="AI108" t="str">
            <v>Aroona Alliance</v>
          </cell>
        </row>
        <row r="109">
          <cell r="E109" t="str">
            <v>W0006393</v>
          </cell>
          <cell r="F109" t="str">
            <v>Canning Dam Chemical Dosing Plant</v>
          </cell>
          <cell r="H109" t="str">
            <v>Supply Auth</v>
          </cell>
          <cell r="J109" t="str">
            <v>Main SB</v>
          </cell>
          <cell r="K109" t="str">
            <v>GT90-40-1</v>
          </cell>
          <cell r="M109">
            <v>200</v>
          </cell>
          <cell r="N109">
            <v>22</v>
          </cell>
          <cell r="O109">
            <v>415</v>
          </cell>
          <cell r="S109" t="str">
            <v>XLPE</v>
          </cell>
          <cell r="T109" t="str">
            <v>150mm2</v>
          </cell>
          <cell r="V109" t="str">
            <v>MCB</v>
          </cell>
          <cell r="W109">
            <v>200</v>
          </cell>
          <cell r="X109" t="str">
            <v>GT90-40-3</v>
          </cell>
          <cell r="AA109">
            <v>415</v>
          </cell>
          <cell r="AB109">
            <v>400</v>
          </cell>
          <cell r="AC109">
            <v>20</v>
          </cell>
          <cell r="AD109">
            <v>1</v>
          </cell>
          <cell r="AE109">
            <v>5.66</v>
          </cell>
          <cell r="AF109">
            <v>2006</v>
          </cell>
          <cell r="AH109" t="str">
            <v>Craig Warner</v>
          </cell>
          <cell r="AI109" t="str">
            <v>Aroona Alliance</v>
          </cell>
        </row>
        <row r="110">
          <cell r="E110" t="str">
            <v>W6003060</v>
          </cell>
          <cell r="F110" t="str">
            <v>Desalination Plant</v>
          </cell>
          <cell r="G110" t="str">
            <v>E1</v>
          </cell>
          <cell r="J110" t="str">
            <v>Main SB</v>
          </cell>
          <cell r="K110" t="str">
            <v>GS53-40-4</v>
          </cell>
          <cell r="M110">
            <v>200</v>
          </cell>
          <cell r="N110">
            <v>11</v>
          </cell>
          <cell r="O110">
            <v>415</v>
          </cell>
          <cell r="P110">
            <v>4.2999999999999997E-2</v>
          </cell>
          <cell r="X110" t="str">
            <v>GS53-40-1</v>
          </cell>
          <cell r="AA110">
            <v>415</v>
          </cell>
          <cell r="AB110">
            <v>500</v>
          </cell>
          <cell r="AC110">
            <v>18</v>
          </cell>
          <cell r="AD110">
            <v>1</v>
          </cell>
          <cell r="AE110">
            <v>10</v>
          </cell>
          <cell r="AF110">
            <v>2003</v>
          </cell>
          <cell r="AH110" t="str">
            <v>Rob Van-Tiel</v>
          </cell>
          <cell r="AI110" t="str">
            <v>WC</v>
          </cell>
        </row>
        <row r="111">
          <cell r="E111" t="str">
            <v>W8001789</v>
          </cell>
          <cell r="F111" t="str">
            <v>Transfer PS</v>
          </cell>
          <cell r="H111" t="str">
            <v>New SB</v>
          </cell>
          <cell r="J111" t="str">
            <v>MCC</v>
          </cell>
          <cell r="K111" t="str">
            <v>GS23-40-1</v>
          </cell>
          <cell r="S111" t="str">
            <v>XLPE</v>
          </cell>
          <cell r="T111" t="str">
            <v>95mm2</v>
          </cell>
          <cell r="U111">
            <v>20</v>
          </cell>
          <cell r="V111" t="str">
            <v>MCB</v>
          </cell>
          <cell r="W111">
            <v>250</v>
          </cell>
          <cell r="AA111">
            <v>415</v>
          </cell>
          <cell r="AB111">
            <v>250</v>
          </cell>
          <cell r="AC111">
            <v>10</v>
          </cell>
          <cell r="AD111">
            <v>1</v>
          </cell>
          <cell r="AF111">
            <v>2003</v>
          </cell>
          <cell r="AH111" t="str">
            <v>Doug Clapp</v>
          </cell>
          <cell r="AI111" t="str">
            <v>WC</v>
          </cell>
        </row>
        <row r="112">
          <cell r="E112" t="str">
            <v>S001-001-025</v>
          </cell>
          <cell r="F112" t="str">
            <v>Kwinana WRP</v>
          </cell>
          <cell r="G112" t="str">
            <v>MC40100</v>
          </cell>
          <cell r="H112" t="str">
            <v>Transformer Compound</v>
          </cell>
          <cell r="J112" t="str">
            <v>415v MCC</v>
          </cell>
          <cell r="K112" t="str">
            <v>GP76-40-1</v>
          </cell>
          <cell r="M112">
            <v>1250</v>
          </cell>
          <cell r="N112">
            <v>22</v>
          </cell>
          <cell r="O112">
            <v>433</v>
          </cell>
          <cell r="P112">
            <v>6.2E-2</v>
          </cell>
          <cell r="S112" t="str">
            <v>XLPE/PVC</v>
          </cell>
          <cell r="T112" t="str">
            <v>500mm2</v>
          </cell>
          <cell r="U112">
            <v>24</v>
          </cell>
          <cell r="V112" t="str">
            <v>MCB</v>
          </cell>
          <cell r="W112">
            <v>3200</v>
          </cell>
          <cell r="X112" t="str">
            <v>GP76-40-4</v>
          </cell>
          <cell r="AA112">
            <v>415</v>
          </cell>
          <cell r="AB112">
            <v>3200</v>
          </cell>
          <cell r="AC112">
            <v>50</v>
          </cell>
          <cell r="AD112">
            <v>1</v>
          </cell>
          <cell r="AF112">
            <v>2004</v>
          </cell>
          <cell r="AH112" t="str">
            <v>Chris Cooper</v>
          </cell>
          <cell r="AI112" t="str">
            <v>Aroona Alliance</v>
          </cell>
        </row>
        <row r="113">
          <cell r="E113" t="str">
            <v>W8001769</v>
          </cell>
          <cell r="F113" t="str">
            <v>Collie Booster PS</v>
          </cell>
          <cell r="J113" t="str">
            <v>Booster PS SB</v>
          </cell>
          <cell r="K113" t="str">
            <v>GO92-40-1</v>
          </cell>
          <cell r="M113">
            <v>200</v>
          </cell>
          <cell r="N113">
            <v>22</v>
          </cell>
          <cell r="O113">
            <v>433</v>
          </cell>
          <cell r="S113" t="str">
            <v>XLPE</v>
          </cell>
          <cell r="T113" t="str">
            <v>70mm2</v>
          </cell>
          <cell r="V113" t="str">
            <v>MCB</v>
          </cell>
          <cell r="W113">
            <v>400</v>
          </cell>
          <cell r="X113" t="str">
            <v>GO92-40-2</v>
          </cell>
          <cell r="AC113">
            <v>20</v>
          </cell>
          <cell r="AD113">
            <v>1</v>
          </cell>
          <cell r="AE113">
            <v>6.54</v>
          </cell>
          <cell r="AF113">
            <v>2003</v>
          </cell>
          <cell r="AH113" t="str">
            <v>Ian Oswald</v>
          </cell>
          <cell r="AI113" t="str">
            <v>WC</v>
          </cell>
        </row>
        <row r="114">
          <cell r="E114" t="str">
            <v>W6005430</v>
          </cell>
          <cell r="F114" t="str">
            <v>Laverton Water Treatment Facility</v>
          </cell>
          <cell r="H114" t="str">
            <v>Supply Auth</v>
          </cell>
          <cell r="J114" t="str">
            <v>Main SB</v>
          </cell>
          <cell r="K114" t="str">
            <v>GM71-40-1</v>
          </cell>
          <cell r="M114">
            <v>200</v>
          </cell>
          <cell r="N114">
            <v>33</v>
          </cell>
          <cell r="O114">
            <v>415</v>
          </cell>
          <cell r="P114">
            <v>4.1000000000000002E-2</v>
          </cell>
          <cell r="R114">
            <v>2.58</v>
          </cell>
          <cell r="S114" t="str">
            <v>XLPE</v>
          </cell>
          <cell r="T114" t="str">
            <v>150mm2</v>
          </cell>
          <cell r="V114" t="str">
            <v>MCB</v>
          </cell>
          <cell r="W114">
            <v>400</v>
          </cell>
          <cell r="X114" t="str">
            <v>GM71-40-6</v>
          </cell>
          <cell r="AA114">
            <v>415</v>
          </cell>
          <cell r="AB114">
            <v>400</v>
          </cell>
          <cell r="AC114">
            <v>20</v>
          </cell>
          <cell r="AD114">
            <v>1</v>
          </cell>
          <cell r="AE114">
            <v>2.5099999999999998</v>
          </cell>
          <cell r="AF114">
            <v>2003</v>
          </cell>
          <cell r="AH114" t="str">
            <v>Rob Van-Tiel</v>
          </cell>
          <cell r="AI114" t="str">
            <v>WC</v>
          </cell>
        </row>
        <row r="115">
          <cell r="E115" t="str">
            <v>W1006486</v>
          </cell>
          <cell r="F115" t="str">
            <v>Samson Brook WTP</v>
          </cell>
          <cell r="H115" t="str">
            <v>Transformer Kiosk</v>
          </cell>
          <cell r="J115" t="str">
            <v>Main SB</v>
          </cell>
          <cell r="K115" t="str">
            <v>GM42-40-24</v>
          </cell>
          <cell r="M115">
            <v>630</v>
          </cell>
          <cell r="N115">
            <v>22</v>
          </cell>
          <cell r="O115">
            <v>415</v>
          </cell>
          <cell r="R115">
            <v>0.29099999999999998</v>
          </cell>
          <cell r="V115" t="str">
            <v>MCB</v>
          </cell>
          <cell r="W115">
            <v>1000</v>
          </cell>
          <cell r="X115" t="str">
            <v>GM42-40-9</v>
          </cell>
          <cell r="AA115">
            <v>415</v>
          </cell>
          <cell r="AB115">
            <v>1000</v>
          </cell>
          <cell r="AC115">
            <v>20</v>
          </cell>
          <cell r="AF115">
            <v>2003</v>
          </cell>
          <cell r="AH115" t="str">
            <v>Craig Warner</v>
          </cell>
          <cell r="AI115" t="str">
            <v>Aroona Alliance</v>
          </cell>
        </row>
        <row r="116">
          <cell r="E116" t="str">
            <v>W1006486</v>
          </cell>
          <cell r="F116" t="str">
            <v>Samson Brook WTP</v>
          </cell>
          <cell r="H116" t="str">
            <v>Main SB</v>
          </cell>
          <cell r="J116" t="str">
            <v>WTP SB</v>
          </cell>
          <cell r="K116" t="str">
            <v>GM42-40-1</v>
          </cell>
          <cell r="S116" t="str">
            <v>PVC</v>
          </cell>
          <cell r="T116" t="str">
            <v>2x185mm2</v>
          </cell>
          <cell r="V116" t="str">
            <v>MCB</v>
          </cell>
          <cell r="X116" t="str">
            <v>GM42-40-9</v>
          </cell>
          <cell r="AA116">
            <v>415</v>
          </cell>
          <cell r="AB116">
            <v>600</v>
          </cell>
          <cell r="AC116">
            <v>20</v>
          </cell>
          <cell r="AD116">
            <v>1</v>
          </cell>
          <cell r="AF116">
            <v>2003</v>
          </cell>
          <cell r="AH116" t="str">
            <v>Craig Warner</v>
          </cell>
          <cell r="AI116" t="str">
            <v>Aroona Alliance</v>
          </cell>
        </row>
        <row r="117">
          <cell r="E117" t="str">
            <v>S2019013</v>
          </cell>
          <cell r="F117" t="str">
            <v>ECU PS &amp; PM</v>
          </cell>
          <cell r="H117" t="str">
            <v>Supply Auth</v>
          </cell>
          <cell r="I117" t="str">
            <v>S2019786</v>
          </cell>
          <cell r="J117" t="str">
            <v>Incoming Panel</v>
          </cell>
          <cell r="K117" t="str">
            <v>IP28-40-1</v>
          </cell>
          <cell r="P117">
            <v>0.04</v>
          </cell>
          <cell r="R117">
            <v>25</v>
          </cell>
          <cell r="S117" t="str">
            <v>XLPE/PVC</v>
          </cell>
          <cell r="T117" t="str">
            <v>3x1C+N+E 16mm2</v>
          </cell>
          <cell r="V117" t="str">
            <v>Fuse</v>
          </cell>
          <cell r="W117">
            <v>63</v>
          </cell>
          <cell r="X117" t="str">
            <v>IP28-40-2</v>
          </cell>
          <cell r="AF117">
            <v>2006</v>
          </cell>
          <cell r="AH117" t="str">
            <v>Dave Sutton</v>
          </cell>
          <cell r="AI117" t="str">
            <v>WC</v>
          </cell>
        </row>
        <row r="118">
          <cell r="E118" t="str">
            <v>S8009189</v>
          </cell>
          <cell r="F118" t="str">
            <v>Pinjarra PS #8</v>
          </cell>
          <cell r="H118" t="str">
            <v>Supply Auth</v>
          </cell>
          <cell r="I118" t="str">
            <v>S8009199</v>
          </cell>
          <cell r="J118" t="str">
            <v>Incoming Panel</v>
          </cell>
          <cell r="K118" t="str">
            <v>IP13-40-1</v>
          </cell>
          <cell r="M118">
            <v>500</v>
          </cell>
          <cell r="N118">
            <v>22</v>
          </cell>
          <cell r="O118">
            <v>415</v>
          </cell>
          <cell r="P118">
            <v>0.05</v>
          </cell>
          <cell r="R118">
            <v>25</v>
          </cell>
          <cell r="S118" t="str">
            <v>XLPE/PVC</v>
          </cell>
          <cell r="T118" t="str">
            <v>3x1C+N+E 16mm2</v>
          </cell>
          <cell r="V118" t="str">
            <v>Fuse</v>
          </cell>
          <cell r="W118">
            <v>63</v>
          </cell>
          <cell r="X118" t="str">
            <v>IP13-40-2</v>
          </cell>
          <cell r="AF118">
            <v>2007</v>
          </cell>
          <cell r="AH118" t="str">
            <v>Chris Cooper</v>
          </cell>
          <cell r="AI118" t="str">
            <v>Aroona Alliance</v>
          </cell>
        </row>
        <row r="119">
          <cell r="E119" t="str">
            <v>S061-001-003</v>
          </cell>
          <cell r="F119" t="str">
            <v>Dongara WTP</v>
          </cell>
          <cell r="J119" t="str">
            <v>Main SB</v>
          </cell>
          <cell r="K119" t="str">
            <v>IO23-40-1</v>
          </cell>
          <cell r="M119">
            <v>200</v>
          </cell>
          <cell r="N119">
            <v>33</v>
          </cell>
          <cell r="O119">
            <v>415</v>
          </cell>
          <cell r="S119" t="str">
            <v>XLPE/PVC</v>
          </cell>
          <cell r="T119" t="str">
            <v>3x1C+N 120mm2</v>
          </cell>
          <cell r="V119" t="str">
            <v>MCB</v>
          </cell>
          <cell r="W119">
            <v>245</v>
          </cell>
          <cell r="X119" t="str">
            <v>IO23-40-3</v>
          </cell>
          <cell r="Z119" t="str">
            <v>Western Controls</v>
          </cell>
          <cell r="AC119">
            <v>10</v>
          </cell>
          <cell r="AD119">
            <v>1</v>
          </cell>
          <cell r="AE119">
            <v>5.72</v>
          </cell>
          <cell r="AF119">
            <v>2010</v>
          </cell>
          <cell r="AH119" t="str">
            <v>Russell Blyth</v>
          </cell>
          <cell r="AI119" t="str">
            <v>WC</v>
          </cell>
          <cell r="AJ119" t="str">
            <v>New internal SwBd by Western Controls</v>
          </cell>
        </row>
        <row r="120">
          <cell r="E120" t="str">
            <v>S061-001-003</v>
          </cell>
          <cell r="F120" t="str">
            <v>Dongara WTP</v>
          </cell>
          <cell r="H120" t="str">
            <v>Main SB</v>
          </cell>
          <cell r="J120" t="str">
            <v>MCC SB</v>
          </cell>
          <cell r="K120" t="str">
            <v>IO23-40-1</v>
          </cell>
          <cell r="S120" t="str">
            <v>XLPE/PVC</v>
          </cell>
          <cell r="T120" t="str">
            <v>3x1C+N 120mm2</v>
          </cell>
          <cell r="V120" t="str">
            <v>Fuse</v>
          </cell>
          <cell r="W120">
            <v>125</v>
          </cell>
          <cell r="X120" t="str">
            <v>IO23-40-3</v>
          </cell>
          <cell r="AE120">
            <v>5.47</v>
          </cell>
          <cell r="AF120">
            <v>2010</v>
          </cell>
          <cell r="AH120" t="str">
            <v>Russell Blyth</v>
          </cell>
          <cell r="AI120" t="str">
            <v>WC</v>
          </cell>
        </row>
        <row r="121">
          <cell r="E121" t="str">
            <v>S001-001-027</v>
          </cell>
          <cell r="F121" t="str">
            <v>Kwinana WWTP</v>
          </cell>
          <cell r="G121" t="str">
            <v>MC03101</v>
          </cell>
          <cell r="H121" t="str">
            <v>TF03101</v>
          </cell>
          <cell r="J121" t="str">
            <v>415v MCC</v>
          </cell>
          <cell r="K121" t="str">
            <v>IN17-41-200</v>
          </cell>
          <cell r="M121">
            <v>1000</v>
          </cell>
          <cell r="N121">
            <v>22</v>
          </cell>
          <cell r="O121">
            <v>433</v>
          </cell>
          <cell r="P121">
            <v>0.06</v>
          </cell>
          <cell r="R121">
            <v>2.77</v>
          </cell>
          <cell r="S121" t="str">
            <v>XLPE/PVC</v>
          </cell>
          <cell r="T121" t="str">
            <v>16x1C 300mm2</v>
          </cell>
          <cell r="U121">
            <v>144</v>
          </cell>
          <cell r="V121" t="str">
            <v>MCB</v>
          </cell>
          <cell r="W121">
            <v>1600</v>
          </cell>
          <cell r="X121" t="str">
            <v>IN17-41-102</v>
          </cell>
          <cell r="AA121">
            <v>415</v>
          </cell>
          <cell r="AB121">
            <v>2000</v>
          </cell>
          <cell r="AC121">
            <v>50</v>
          </cell>
          <cell r="AD121">
            <v>1</v>
          </cell>
          <cell r="AE121">
            <v>20.7</v>
          </cell>
          <cell r="AF121">
            <v>2009</v>
          </cell>
          <cell r="AH121" t="str">
            <v>Chris Cooper</v>
          </cell>
          <cell r="AI121" t="str">
            <v>Aroona Alliance</v>
          </cell>
        </row>
        <row r="122">
          <cell r="E122" t="str">
            <v>S001-001-027</v>
          </cell>
          <cell r="F122" t="str">
            <v>Kwinana WWTP</v>
          </cell>
          <cell r="G122" t="str">
            <v>DB03101</v>
          </cell>
          <cell r="H122" t="str">
            <v>MC03101</v>
          </cell>
          <cell r="J122" t="str">
            <v>Light &amp; Small Power DB</v>
          </cell>
          <cell r="K122" t="str">
            <v>IN17-41-400</v>
          </cell>
          <cell r="M122">
            <v>1000</v>
          </cell>
          <cell r="N122">
            <v>22</v>
          </cell>
          <cell r="O122">
            <v>433</v>
          </cell>
          <cell r="S122" t="str">
            <v>XLPE/PVC</v>
          </cell>
          <cell r="T122" t="str">
            <v>1x4C+E 50mm2</v>
          </cell>
          <cell r="U122">
            <v>22</v>
          </cell>
          <cell r="V122" t="str">
            <v>MCB</v>
          </cell>
          <cell r="W122">
            <v>100</v>
          </cell>
          <cell r="Y122" t="str">
            <v>Merlin Gerin</v>
          </cell>
          <cell r="AA122">
            <v>415</v>
          </cell>
          <cell r="AB122">
            <v>250</v>
          </cell>
          <cell r="AC122">
            <v>25</v>
          </cell>
          <cell r="AD122">
            <v>0.1</v>
          </cell>
          <cell r="AF122">
            <v>2009</v>
          </cell>
          <cell r="AH122" t="str">
            <v>Chris Cooper</v>
          </cell>
          <cell r="AI122" t="str">
            <v>Aroona Alliance</v>
          </cell>
          <cell r="AJ122" t="str">
            <v>Merlin Gerin custom Panelboard Serial #629874001</v>
          </cell>
        </row>
        <row r="123">
          <cell r="E123" t="str">
            <v>S001-001-027</v>
          </cell>
          <cell r="F123" t="str">
            <v>Kwinana WWTP</v>
          </cell>
          <cell r="G123" t="str">
            <v>MC03100</v>
          </cell>
          <cell r="H123" t="str">
            <v>TF03100</v>
          </cell>
          <cell r="J123" t="str">
            <v>415v MCC</v>
          </cell>
          <cell r="K123" t="str">
            <v>IN17-41-201</v>
          </cell>
          <cell r="M123">
            <v>1000</v>
          </cell>
          <cell r="N123">
            <v>22</v>
          </cell>
          <cell r="O123">
            <v>433</v>
          </cell>
          <cell r="P123">
            <v>0.06</v>
          </cell>
          <cell r="R123">
            <v>2.77</v>
          </cell>
          <cell r="S123" t="str">
            <v>XLPE/PVC</v>
          </cell>
          <cell r="T123" t="str">
            <v>12x1C 300mm2</v>
          </cell>
          <cell r="U123">
            <v>480</v>
          </cell>
          <cell r="V123" t="str">
            <v>MCB</v>
          </cell>
          <cell r="W123">
            <v>1600</v>
          </cell>
          <cell r="X123" t="str">
            <v>IN17-41-102</v>
          </cell>
          <cell r="AA123">
            <v>415</v>
          </cell>
          <cell r="AB123">
            <v>2000</v>
          </cell>
          <cell r="AC123">
            <v>50</v>
          </cell>
          <cell r="AD123">
            <v>1</v>
          </cell>
          <cell r="AE123">
            <v>20.7</v>
          </cell>
          <cell r="AF123">
            <v>2009</v>
          </cell>
          <cell r="AH123" t="str">
            <v>Chris Cooper</v>
          </cell>
          <cell r="AI123" t="str">
            <v>Aroona Alliance</v>
          </cell>
        </row>
        <row r="124">
          <cell r="E124" t="str">
            <v>S001-001-027</v>
          </cell>
          <cell r="F124" t="str">
            <v>Kwinana WWTP</v>
          </cell>
          <cell r="G124" t="str">
            <v>DB03103</v>
          </cell>
          <cell r="H124" t="str">
            <v>MC03100</v>
          </cell>
          <cell r="J124" t="str">
            <v>Light &amp; Small Power DB</v>
          </cell>
          <cell r="K124" t="str">
            <v>IN17-41-400.2</v>
          </cell>
          <cell r="S124" t="str">
            <v>XLPE/PVC</v>
          </cell>
          <cell r="T124" t="str">
            <v>1x4C+E 50mm2</v>
          </cell>
          <cell r="U124">
            <v>20</v>
          </cell>
          <cell r="V124" t="str">
            <v>MCB</v>
          </cell>
          <cell r="W124">
            <v>100</v>
          </cell>
          <cell r="Y124" t="str">
            <v>Merlin Gerin</v>
          </cell>
          <cell r="AA124">
            <v>415</v>
          </cell>
          <cell r="AB124">
            <v>250</v>
          </cell>
          <cell r="AC124">
            <v>25</v>
          </cell>
          <cell r="AD124">
            <v>0.1</v>
          </cell>
          <cell r="AF124">
            <v>2009</v>
          </cell>
          <cell r="AH124" t="str">
            <v>Chris Cooper</v>
          </cell>
          <cell r="AI124" t="str">
            <v>Aroona Alliance</v>
          </cell>
          <cell r="AJ124" t="str">
            <v>Merlin Gerin custom Panelboard Serial #629874002</v>
          </cell>
        </row>
        <row r="125">
          <cell r="E125" t="str">
            <v>S001-001-027</v>
          </cell>
          <cell r="F125" t="str">
            <v>Kwinana WWTP</v>
          </cell>
          <cell r="G125" t="str">
            <v>MC03102</v>
          </cell>
          <cell r="H125" t="str">
            <v>MC03101</v>
          </cell>
          <cell r="J125" t="str">
            <v>415v MCC</v>
          </cell>
          <cell r="K125" t="str">
            <v>IN17-41-202</v>
          </cell>
          <cell r="S125" t="str">
            <v>XLPE/PVC</v>
          </cell>
          <cell r="T125" t="str">
            <v>8x1C 185mm2</v>
          </cell>
          <cell r="U125">
            <v>100</v>
          </cell>
          <cell r="V125" t="str">
            <v>MCB</v>
          </cell>
          <cell r="W125">
            <v>630</v>
          </cell>
          <cell r="X125" t="str">
            <v>IN17-41-102</v>
          </cell>
          <cell r="AA125">
            <v>415</v>
          </cell>
          <cell r="AB125">
            <v>800</v>
          </cell>
          <cell r="AC125">
            <v>50</v>
          </cell>
          <cell r="AD125">
            <v>1</v>
          </cell>
          <cell r="AE125">
            <v>20.7</v>
          </cell>
          <cell r="AF125">
            <v>2009</v>
          </cell>
          <cell r="AH125" t="str">
            <v>Chris Cooper</v>
          </cell>
          <cell r="AI125" t="str">
            <v>Aroona Alliance</v>
          </cell>
        </row>
        <row r="126">
          <cell r="E126" t="str">
            <v>W5189690</v>
          </cell>
          <cell r="F126" t="str">
            <v>Wubin Rd 2250m3 RCC GL Tanks</v>
          </cell>
          <cell r="H126" t="str">
            <v>Supply Auth</v>
          </cell>
          <cell r="J126" t="str">
            <v>Chlorination SB</v>
          </cell>
          <cell r="K126" t="str">
            <v>IM77-40-1</v>
          </cell>
          <cell r="V126" t="str">
            <v>FCL</v>
          </cell>
          <cell r="W126">
            <v>63</v>
          </cell>
          <cell r="AA126">
            <v>240</v>
          </cell>
          <cell r="AB126">
            <v>40</v>
          </cell>
          <cell r="AC126">
            <v>8</v>
          </cell>
          <cell r="AD126">
            <v>1</v>
          </cell>
          <cell r="AF126">
            <v>2007</v>
          </cell>
          <cell r="AH126" t="str">
            <v>Russell Blyth</v>
          </cell>
          <cell r="AI126" t="str">
            <v>WC</v>
          </cell>
          <cell r="AJ126" t="str">
            <v>New external SwBd, single phase and low power</v>
          </cell>
        </row>
        <row r="127">
          <cell r="F127" t="str">
            <v>Home Island</v>
          </cell>
          <cell r="H127" t="str">
            <v>Multiple Generators</v>
          </cell>
          <cell r="J127" t="str">
            <v>Control Room Main DB</v>
          </cell>
          <cell r="K127" t="str">
            <v>IM69-41-1</v>
          </cell>
          <cell r="V127" t="str">
            <v>MCB</v>
          </cell>
          <cell r="AA127">
            <v>415</v>
          </cell>
          <cell r="AF127">
            <v>2006</v>
          </cell>
          <cell r="AG127" t="str">
            <v>COCOS</v>
          </cell>
          <cell r="AH127" t="str">
            <v>Steve Farquhar</v>
          </cell>
          <cell r="AI127" t="str">
            <v>WC</v>
          </cell>
          <cell r="AJ127" t="str">
            <v>Indian ocean territories, federal government owned</v>
          </cell>
        </row>
        <row r="128">
          <cell r="F128" t="str">
            <v>Home Island</v>
          </cell>
          <cell r="H128" t="str">
            <v>Transformer</v>
          </cell>
          <cell r="J128" t="str">
            <v>Substation 3</v>
          </cell>
          <cell r="K128" t="str">
            <v>IM69-41-1</v>
          </cell>
          <cell r="M128">
            <v>500</v>
          </cell>
          <cell r="N128">
            <v>11</v>
          </cell>
          <cell r="O128">
            <v>415</v>
          </cell>
          <cell r="V128" t="str">
            <v>Fuse</v>
          </cell>
          <cell r="W128">
            <v>800</v>
          </cell>
          <cell r="AC128">
            <v>22</v>
          </cell>
          <cell r="AD128">
            <v>1</v>
          </cell>
          <cell r="AF128">
            <v>2006</v>
          </cell>
          <cell r="AG128" t="str">
            <v>US</v>
          </cell>
          <cell r="AH128" t="str">
            <v>Steve Farquhar</v>
          </cell>
          <cell r="AI128" t="str">
            <v>WC</v>
          </cell>
          <cell r="AJ128" t="str">
            <v>Indian ocean territories, federal government owned</v>
          </cell>
        </row>
        <row r="129">
          <cell r="F129" t="str">
            <v>Home Island</v>
          </cell>
          <cell r="H129" t="str">
            <v>Transformer</v>
          </cell>
          <cell r="J129" t="str">
            <v>Substation 4</v>
          </cell>
          <cell r="K129" t="str">
            <v>IM69-41-1</v>
          </cell>
          <cell r="M129">
            <v>500</v>
          </cell>
          <cell r="N129">
            <v>11</v>
          </cell>
          <cell r="O129">
            <v>415</v>
          </cell>
          <cell r="V129" t="str">
            <v>Fuse</v>
          </cell>
          <cell r="W129">
            <v>800</v>
          </cell>
          <cell r="AC129">
            <v>22</v>
          </cell>
          <cell r="AD129">
            <v>1</v>
          </cell>
          <cell r="AF129">
            <v>2006</v>
          </cell>
          <cell r="AG129" t="str">
            <v>US</v>
          </cell>
          <cell r="AH129" t="str">
            <v>Steve Farquhar</v>
          </cell>
          <cell r="AI129" t="str">
            <v>WC</v>
          </cell>
          <cell r="AJ129" t="str">
            <v>Indian ocean territories, federal government owned</v>
          </cell>
        </row>
        <row r="130">
          <cell r="F130" t="str">
            <v>Home Island</v>
          </cell>
          <cell r="H130" t="str">
            <v>Control Room Main DB</v>
          </cell>
          <cell r="J130" t="str">
            <v>Substation 1</v>
          </cell>
          <cell r="K130" t="str">
            <v>IM69-41-2</v>
          </cell>
          <cell r="V130" t="str">
            <v>MCB</v>
          </cell>
          <cell r="W130">
            <v>800</v>
          </cell>
          <cell r="AG130" t="str">
            <v>US</v>
          </cell>
          <cell r="AH130" t="str">
            <v>Steve Farquhar</v>
          </cell>
          <cell r="AI130" t="str">
            <v>WC</v>
          </cell>
          <cell r="AJ130" t="str">
            <v>Indian ocean territories, federal government owned</v>
          </cell>
        </row>
        <row r="131">
          <cell r="F131" t="str">
            <v>Home Island</v>
          </cell>
          <cell r="H131" t="str">
            <v>Control Room Main DB</v>
          </cell>
          <cell r="J131" t="str">
            <v>Substation 2</v>
          </cell>
          <cell r="K131" t="str">
            <v>IM69-41-2</v>
          </cell>
          <cell r="V131" t="str">
            <v>MCB</v>
          </cell>
          <cell r="W131">
            <v>800</v>
          </cell>
          <cell r="AG131" t="str">
            <v>US</v>
          </cell>
          <cell r="AH131" t="str">
            <v>Steve Farquhar</v>
          </cell>
          <cell r="AI131" t="str">
            <v>WC</v>
          </cell>
          <cell r="AJ131" t="str">
            <v>Indian ocean territories, federal government owned</v>
          </cell>
        </row>
        <row r="132">
          <cell r="E132" t="str">
            <v>S8011498</v>
          </cell>
          <cell r="F132" t="str">
            <v>Nannup PS #3 - Railway St</v>
          </cell>
          <cell r="H132" t="str">
            <v>Supply Auth</v>
          </cell>
          <cell r="J132" t="str">
            <v>Pumping Station SB</v>
          </cell>
          <cell r="K132" t="str">
            <v>IM66-40-1</v>
          </cell>
          <cell r="V132" t="str">
            <v>Fuse</v>
          </cell>
          <cell r="W132">
            <v>32</v>
          </cell>
          <cell r="X132" t="str">
            <v>IM66-40-3</v>
          </cell>
          <cell r="AA132">
            <v>415</v>
          </cell>
          <cell r="AB132">
            <v>32</v>
          </cell>
          <cell r="AC132">
            <v>5</v>
          </cell>
          <cell r="AD132">
            <v>1</v>
          </cell>
          <cell r="AF132">
            <v>2008</v>
          </cell>
          <cell r="AH132" t="str">
            <v>Doug Clapp</v>
          </cell>
          <cell r="AI132" t="str">
            <v>WC</v>
          </cell>
        </row>
        <row r="133">
          <cell r="E133" t="str">
            <v>S7003794</v>
          </cell>
          <cell r="F133" t="str">
            <v>Veal St PS #1 &amp; PM</v>
          </cell>
          <cell r="J133" t="str">
            <v>Pumping Station SB</v>
          </cell>
          <cell r="K133" t="str">
            <v>IM39-40-2</v>
          </cell>
          <cell r="V133" t="str">
            <v>Fuse</v>
          </cell>
          <cell r="W133">
            <v>100</v>
          </cell>
          <cell r="X133" t="str">
            <v>IM39-40-3</v>
          </cell>
          <cell r="AF133">
            <v>2008</v>
          </cell>
          <cell r="AH133" t="str">
            <v>Sam Cockburn</v>
          </cell>
          <cell r="AI133" t="str">
            <v>WC</v>
          </cell>
        </row>
        <row r="134">
          <cell r="E134" t="str">
            <v>S0029118</v>
          </cell>
          <cell r="F134" t="str">
            <v>Mindarie Temporary PS</v>
          </cell>
          <cell r="H134" t="str">
            <v>Supply Auth</v>
          </cell>
          <cell r="J134" t="str">
            <v>Main SB</v>
          </cell>
          <cell r="K134" t="str">
            <v>IM17-40-1</v>
          </cell>
          <cell r="M134">
            <v>315</v>
          </cell>
          <cell r="N134">
            <v>22</v>
          </cell>
          <cell r="O134">
            <v>415</v>
          </cell>
          <cell r="S134" t="str">
            <v>XLPE/PVC</v>
          </cell>
          <cell r="T134" t="str">
            <v>2x1C+N 150mm2</v>
          </cell>
          <cell r="V134" t="str">
            <v>MCB</v>
          </cell>
          <cell r="W134">
            <v>453</v>
          </cell>
          <cell r="AF134">
            <v>2006</v>
          </cell>
          <cell r="AH134" t="str">
            <v>Dave Sutton</v>
          </cell>
          <cell r="AI134" t="str">
            <v>WC</v>
          </cell>
          <cell r="AJ134" t="str">
            <v>Station to be redundant when new main is complete etc</v>
          </cell>
        </row>
        <row r="135">
          <cell r="E135" t="str">
            <v>W0019975</v>
          </cell>
          <cell r="F135" t="str">
            <v>Wadouring Dam CWTP</v>
          </cell>
          <cell r="H135" t="str">
            <v>Supply Auth</v>
          </cell>
          <cell r="J135" t="str">
            <v>Main SB</v>
          </cell>
          <cell r="K135" t="str">
            <v>IL93-40-1</v>
          </cell>
          <cell r="S135" t="str">
            <v>XLPE/PVC</v>
          </cell>
          <cell r="T135" t="str">
            <v>4x1C 95mm2</v>
          </cell>
          <cell r="V135" t="str">
            <v>MCB</v>
          </cell>
          <cell r="W135">
            <v>160</v>
          </cell>
          <cell r="AA135">
            <v>415</v>
          </cell>
          <cell r="AB135">
            <v>250</v>
          </cell>
          <cell r="AC135">
            <v>10</v>
          </cell>
          <cell r="AD135">
            <v>1</v>
          </cell>
          <cell r="AF135">
            <v>2007</v>
          </cell>
          <cell r="AH135" t="str">
            <v>Rob Van-Tiel</v>
          </cell>
          <cell r="AI135" t="str">
            <v>WC</v>
          </cell>
        </row>
        <row r="136">
          <cell r="E136" t="str">
            <v>W8009944</v>
          </cell>
          <cell r="F136" t="str">
            <v>Picton WTP</v>
          </cell>
          <cell r="H136" t="str">
            <v>Tx 1 &amp; Tx 2</v>
          </cell>
          <cell r="J136" t="str">
            <v>Main LV SB</v>
          </cell>
          <cell r="K136" t="str">
            <v>IL80-40-2</v>
          </cell>
          <cell r="M136">
            <v>1500</v>
          </cell>
          <cell r="N136">
            <v>22</v>
          </cell>
          <cell r="O136">
            <v>433</v>
          </cell>
          <cell r="S136" t="str">
            <v>X-HF-110/PVC</v>
          </cell>
          <cell r="T136" t="str">
            <v>4x1C 630mm2</v>
          </cell>
          <cell r="V136" t="str">
            <v>MCB</v>
          </cell>
          <cell r="W136">
            <v>2000</v>
          </cell>
          <cell r="X136" t="str">
            <v>IL80-40-3</v>
          </cell>
          <cell r="AA136">
            <v>415</v>
          </cell>
          <cell r="AB136">
            <v>2500</v>
          </cell>
          <cell r="AC136">
            <v>40</v>
          </cell>
          <cell r="AD136">
            <v>1</v>
          </cell>
          <cell r="AE136">
            <v>29</v>
          </cell>
          <cell r="AF136">
            <v>2008</v>
          </cell>
          <cell r="AH136" t="str">
            <v>Not built</v>
          </cell>
        </row>
        <row r="137">
          <cell r="E137" t="str">
            <v>W7001747</v>
          </cell>
          <cell r="F137" t="str">
            <v>Bottle Creek PS</v>
          </cell>
          <cell r="H137" t="str">
            <v>Transformer #2</v>
          </cell>
          <cell r="J137" t="str">
            <v>Main SB</v>
          </cell>
          <cell r="K137" t="str">
            <v>GL42-40-1</v>
          </cell>
          <cell r="M137">
            <v>800</v>
          </cell>
          <cell r="N137">
            <v>22</v>
          </cell>
          <cell r="O137">
            <v>433</v>
          </cell>
          <cell r="P137">
            <v>5.5E-2</v>
          </cell>
          <cell r="S137" t="str">
            <v>XLPE</v>
          </cell>
          <cell r="T137" t="str">
            <v>3x1C 240mm2</v>
          </cell>
          <cell r="V137" t="str">
            <v>MCB</v>
          </cell>
          <cell r="W137">
            <v>1250</v>
          </cell>
          <cell r="X137" t="str">
            <v>GL42-40-2</v>
          </cell>
          <cell r="AA137">
            <v>600</v>
          </cell>
          <cell r="AB137">
            <v>1250</v>
          </cell>
          <cell r="AE137">
            <v>15</v>
          </cell>
          <cell r="AF137">
            <v>2002</v>
          </cell>
          <cell r="AH137" t="str">
            <v>Sam Cockburn</v>
          </cell>
          <cell r="AI137" t="str">
            <v>WC</v>
          </cell>
        </row>
        <row r="138">
          <cell r="E138" t="str">
            <v>W7001747</v>
          </cell>
          <cell r="F138" t="str">
            <v>Bottle Creek PS</v>
          </cell>
          <cell r="H138" t="str">
            <v>Main SB</v>
          </cell>
          <cell r="J138" t="str">
            <v>Main DB</v>
          </cell>
          <cell r="K138" t="str">
            <v>GL42-40-1</v>
          </cell>
          <cell r="V138" t="str">
            <v>MCB</v>
          </cell>
          <cell r="W138">
            <v>250</v>
          </cell>
          <cell r="X138" t="str">
            <v>GL42-40-2</v>
          </cell>
          <cell r="AA138">
            <v>415</v>
          </cell>
          <cell r="AB138">
            <v>250</v>
          </cell>
          <cell r="AC138">
            <v>25</v>
          </cell>
          <cell r="AD138">
            <v>1</v>
          </cell>
          <cell r="AF138">
            <v>2002</v>
          </cell>
          <cell r="AH138" t="str">
            <v>Sam Cockburn</v>
          </cell>
          <cell r="AI138" t="str">
            <v>WC</v>
          </cell>
        </row>
        <row r="139">
          <cell r="E139" t="str">
            <v>W048-001-001-001</v>
          </cell>
          <cell r="F139" t="str">
            <v>Southcoast PS Frenchman Bay Rd</v>
          </cell>
          <cell r="H139" t="str">
            <v>Auxillary Transformer #1</v>
          </cell>
          <cell r="J139" t="str">
            <v>Main SB</v>
          </cell>
          <cell r="K139" t="str">
            <v>GI07-42-2</v>
          </cell>
          <cell r="M139">
            <v>630</v>
          </cell>
          <cell r="N139">
            <v>22</v>
          </cell>
          <cell r="O139">
            <v>433</v>
          </cell>
          <cell r="P139">
            <v>5.5E-2</v>
          </cell>
          <cell r="R139">
            <v>14.9</v>
          </cell>
          <cell r="S139" t="str">
            <v>XLPE</v>
          </cell>
          <cell r="T139" t="str">
            <v>2x1C 240mm2</v>
          </cell>
          <cell r="V139" t="str">
            <v>MCB</v>
          </cell>
          <cell r="W139">
            <v>700</v>
          </cell>
          <cell r="AF139">
            <v>2002</v>
          </cell>
          <cell r="AH139" t="str">
            <v>Sam Cockburn</v>
          </cell>
          <cell r="AI139" t="str">
            <v>WC</v>
          </cell>
        </row>
        <row r="140">
          <cell r="E140" t="str">
            <v>W048-001-001-001</v>
          </cell>
          <cell r="F140" t="str">
            <v>Southcoast PS Frenchman Bay Rd</v>
          </cell>
          <cell r="G140" t="str">
            <v>E11</v>
          </cell>
          <cell r="H140" t="str">
            <v>Main SB</v>
          </cell>
          <cell r="J140" t="str">
            <v>Pump Station DB</v>
          </cell>
          <cell r="K140" t="str">
            <v>GI07-42-2</v>
          </cell>
          <cell r="S140" t="str">
            <v>XLPE</v>
          </cell>
          <cell r="T140" t="str">
            <v>70mm2</v>
          </cell>
          <cell r="V140" t="str">
            <v>MCB</v>
          </cell>
          <cell r="W140">
            <v>250</v>
          </cell>
          <cell r="AA140">
            <v>415</v>
          </cell>
          <cell r="AB140">
            <v>250</v>
          </cell>
          <cell r="AC140">
            <v>25</v>
          </cell>
          <cell r="AD140">
            <v>0.1</v>
          </cell>
          <cell r="AF140">
            <v>2002</v>
          </cell>
          <cell r="AH140" t="str">
            <v>Sam Cockburn</v>
          </cell>
          <cell r="AI140" t="str">
            <v>WC</v>
          </cell>
        </row>
        <row r="141">
          <cell r="E141" t="str">
            <v>W048-001-001-001</v>
          </cell>
          <cell r="F141" t="str">
            <v>Southcoast PS Frenchman Bay Rd</v>
          </cell>
          <cell r="H141" t="str">
            <v>Main SB</v>
          </cell>
          <cell r="J141" t="str">
            <v>Transfer PS SB</v>
          </cell>
          <cell r="K141" t="str">
            <v>GI07-42-2</v>
          </cell>
          <cell r="S141" t="str">
            <v>XLPE</v>
          </cell>
          <cell r="T141" t="str">
            <v>70mm2</v>
          </cell>
          <cell r="V141" t="str">
            <v>MCB</v>
          </cell>
          <cell r="W141">
            <v>150</v>
          </cell>
          <cell r="AF141">
            <v>2002</v>
          </cell>
          <cell r="AH141" t="str">
            <v>Sam Cockburn</v>
          </cell>
          <cell r="AI141" t="str">
            <v>WC</v>
          </cell>
        </row>
        <row r="142">
          <cell r="E142" t="str">
            <v>W0022801</v>
          </cell>
          <cell r="F142" t="str">
            <v>Southcoast WTP</v>
          </cell>
          <cell r="H142" t="str">
            <v>Tx 1 &amp; Tx 2</v>
          </cell>
          <cell r="J142" t="str">
            <v>Backwash Main SB</v>
          </cell>
          <cell r="K142" t="str">
            <v>GI00-40-1</v>
          </cell>
          <cell r="M142">
            <v>630</v>
          </cell>
          <cell r="N142">
            <v>22</v>
          </cell>
          <cell r="O142">
            <v>433</v>
          </cell>
          <cell r="P142">
            <v>5.5E-2</v>
          </cell>
          <cell r="S142" t="str">
            <v>XLPE</v>
          </cell>
          <cell r="T142" t="str">
            <v>2x300mm2</v>
          </cell>
          <cell r="V142" t="str">
            <v>MCB</v>
          </cell>
          <cell r="W142">
            <v>1000</v>
          </cell>
          <cell r="X142" t="str">
            <v>GI00-40-2</v>
          </cell>
          <cell r="AA142">
            <v>500</v>
          </cell>
          <cell r="AB142">
            <v>880</v>
          </cell>
          <cell r="AC142">
            <v>20</v>
          </cell>
          <cell r="AD142">
            <v>1</v>
          </cell>
          <cell r="AE142">
            <v>13.9</v>
          </cell>
          <cell r="AF142">
            <v>2002</v>
          </cell>
          <cell r="AH142" t="str">
            <v>Sam Cockburn</v>
          </cell>
          <cell r="AI142" t="str">
            <v>WC</v>
          </cell>
          <cell r="AJ142" t="str">
            <v>Conceptual Design for WTP Filter. May not go ahead</v>
          </cell>
        </row>
        <row r="143">
          <cell r="E143" t="str">
            <v>W0022802</v>
          </cell>
          <cell r="F143" t="str">
            <v>Southcoast WTP</v>
          </cell>
          <cell r="H143" t="str">
            <v>Backwash Main SB</v>
          </cell>
          <cell r="J143" t="str">
            <v>Filtration Plant SB</v>
          </cell>
          <cell r="K143" t="str">
            <v>GI00-40-1</v>
          </cell>
          <cell r="V143" t="str">
            <v>Fuse</v>
          </cell>
          <cell r="W143">
            <v>250</v>
          </cell>
          <cell r="X143" t="str">
            <v>GI00-40-2</v>
          </cell>
          <cell r="AA143">
            <v>500</v>
          </cell>
          <cell r="AB143">
            <v>250</v>
          </cell>
          <cell r="AC143">
            <v>10</v>
          </cell>
          <cell r="AD143">
            <v>1</v>
          </cell>
          <cell r="AE143">
            <v>7</v>
          </cell>
          <cell r="AF143">
            <v>2002</v>
          </cell>
          <cell r="AH143" t="str">
            <v>Sam Cockburn</v>
          </cell>
          <cell r="AI143" t="str">
            <v>WC</v>
          </cell>
          <cell r="AJ143" t="str">
            <v>Conceptual Design for WTP Filter. May not go ahead</v>
          </cell>
        </row>
        <row r="144">
          <cell r="E144" t="str">
            <v>S0034072</v>
          </cell>
          <cell r="F144" t="str">
            <v>Hardey Rd Transfer PS</v>
          </cell>
          <cell r="G144" t="str">
            <v>#1</v>
          </cell>
          <cell r="H144" t="str">
            <v>Transformer Room 2</v>
          </cell>
          <cell r="I144" t="str">
            <v>S0034078</v>
          </cell>
          <cell r="J144" t="str">
            <v>#1 Switchboard</v>
          </cell>
          <cell r="K144" t="str">
            <v>GF00-40-1</v>
          </cell>
          <cell r="M144">
            <v>3150</v>
          </cell>
          <cell r="N144">
            <v>22</v>
          </cell>
          <cell r="O144">
            <v>690</v>
          </cell>
          <cell r="S144" t="str">
            <v>MIMS</v>
          </cell>
          <cell r="T144" t="str">
            <v>4x1C 300mm2</v>
          </cell>
          <cell r="V144" t="str">
            <v>MCB</v>
          </cell>
          <cell r="W144">
            <v>3200</v>
          </cell>
          <cell r="X144" t="str">
            <v>GF00-40-2</v>
          </cell>
          <cell r="AA144">
            <v>690</v>
          </cell>
          <cell r="AB144">
            <v>3000</v>
          </cell>
          <cell r="AC144">
            <v>80</v>
          </cell>
          <cell r="AD144">
            <v>1</v>
          </cell>
          <cell r="AE144">
            <v>34.31</v>
          </cell>
          <cell r="AF144">
            <v>2002</v>
          </cell>
          <cell r="AH144" t="str">
            <v>Craig Warner</v>
          </cell>
          <cell r="AI144" t="str">
            <v>Aroona Alliance</v>
          </cell>
        </row>
        <row r="145">
          <cell r="E145" t="str">
            <v>S0034073</v>
          </cell>
          <cell r="F145" t="str">
            <v>Hardey Rd Transfer PS</v>
          </cell>
          <cell r="G145" t="str">
            <v>#2</v>
          </cell>
          <cell r="H145" t="str">
            <v>Transformer Room 2 &amp; 3</v>
          </cell>
          <cell r="J145" t="str">
            <v>#2 Switchboard</v>
          </cell>
          <cell r="K145" t="str">
            <v>GF00-40-1</v>
          </cell>
          <cell r="M145">
            <v>1600</v>
          </cell>
          <cell r="N145">
            <v>22</v>
          </cell>
          <cell r="O145">
            <v>690</v>
          </cell>
          <cell r="V145" t="str">
            <v>MCB</v>
          </cell>
          <cell r="W145">
            <v>2000</v>
          </cell>
          <cell r="X145" t="str">
            <v>GF00-40-2</v>
          </cell>
          <cell r="AA145">
            <v>690</v>
          </cell>
          <cell r="AB145">
            <v>2000</v>
          </cell>
          <cell r="AC145">
            <v>80</v>
          </cell>
          <cell r="AD145">
            <v>1</v>
          </cell>
          <cell r="AF145">
            <v>2002</v>
          </cell>
          <cell r="AH145" t="str">
            <v>Craig Warner</v>
          </cell>
          <cell r="AI145" t="str">
            <v>Aroona Alliance</v>
          </cell>
        </row>
        <row r="146">
          <cell r="E146" t="str">
            <v>S0034074</v>
          </cell>
          <cell r="F146" t="str">
            <v>Hardey Rd Transfer PS</v>
          </cell>
          <cell r="G146" t="str">
            <v>#3</v>
          </cell>
          <cell r="H146" t="str">
            <v>Transformer Room 4</v>
          </cell>
          <cell r="J146" t="str">
            <v>#3 Switchboard</v>
          </cell>
          <cell r="K146" t="str">
            <v>GF00-40-1</v>
          </cell>
          <cell r="M146">
            <v>3150</v>
          </cell>
          <cell r="N146">
            <v>22</v>
          </cell>
          <cell r="O146">
            <v>690</v>
          </cell>
          <cell r="S146" t="str">
            <v>MIMS</v>
          </cell>
          <cell r="T146" t="str">
            <v>4x1C 300mm2</v>
          </cell>
          <cell r="V146" t="str">
            <v>MCB</v>
          </cell>
          <cell r="W146">
            <v>3200</v>
          </cell>
          <cell r="X146" t="str">
            <v>GF00-40-2</v>
          </cell>
          <cell r="AA146">
            <v>690</v>
          </cell>
          <cell r="AB146">
            <v>3000</v>
          </cell>
          <cell r="AC146">
            <v>80</v>
          </cell>
          <cell r="AD146">
            <v>1</v>
          </cell>
          <cell r="AE146">
            <v>34.31</v>
          </cell>
          <cell r="AF146">
            <v>2002</v>
          </cell>
          <cell r="AH146" t="str">
            <v>Craig Warner</v>
          </cell>
          <cell r="AI146" t="str">
            <v>Aroona Alliance</v>
          </cell>
        </row>
        <row r="147">
          <cell r="E147" t="str">
            <v>S104-001-003</v>
          </cell>
          <cell r="F147" t="str">
            <v>Kemerton WWTP</v>
          </cell>
          <cell r="H147" t="str">
            <v>Supply Auth</v>
          </cell>
          <cell r="J147" t="str">
            <v>MCC SB</v>
          </cell>
          <cell r="K147" t="str">
            <v>GD42-43-1</v>
          </cell>
          <cell r="M147">
            <v>500</v>
          </cell>
          <cell r="N147">
            <v>22</v>
          </cell>
          <cell r="O147">
            <v>415</v>
          </cell>
          <cell r="R147">
            <v>13.04</v>
          </cell>
          <cell r="S147" t="str">
            <v>XLPE</v>
          </cell>
          <cell r="T147" t="str">
            <v>6x240mm2</v>
          </cell>
          <cell r="U147">
            <v>10</v>
          </cell>
          <cell r="V147" t="str">
            <v>MCB</v>
          </cell>
          <cell r="W147">
            <v>800</v>
          </cell>
          <cell r="Y147" t="str">
            <v>Plummers</v>
          </cell>
          <cell r="Z147" t="str">
            <v>Plummers</v>
          </cell>
          <cell r="AA147">
            <v>415</v>
          </cell>
          <cell r="AB147">
            <v>800</v>
          </cell>
          <cell r="AC147">
            <v>20</v>
          </cell>
          <cell r="AD147">
            <v>1</v>
          </cell>
          <cell r="AE147">
            <v>12.67</v>
          </cell>
          <cell r="AF147">
            <v>2002</v>
          </cell>
          <cell r="AH147" t="str">
            <v>Doug Clapp</v>
          </cell>
          <cell r="AI147" t="str">
            <v>WC</v>
          </cell>
          <cell r="AJ147" t="str">
            <v>Site to be upgraded</v>
          </cell>
        </row>
        <row r="148">
          <cell r="E148" t="str">
            <v>W3001063</v>
          </cell>
          <cell r="F148" t="str">
            <v>Harding Dam WTP</v>
          </cell>
          <cell r="G148" t="str">
            <v>E6</v>
          </cell>
          <cell r="H148" t="str">
            <v>2x Kiosk Transformers</v>
          </cell>
          <cell r="J148" t="str">
            <v>Microfiltration MCC</v>
          </cell>
          <cell r="K148" t="str">
            <v>FX73-42-1</v>
          </cell>
          <cell r="M148">
            <v>1000</v>
          </cell>
          <cell r="N148">
            <v>6.6</v>
          </cell>
          <cell r="O148">
            <v>433</v>
          </cell>
          <cell r="P148">
            <v>0.06</v>
          </cell>
          <cell r="S148" t="str">
            <v>XLPE</v>
          </cell>
          <cell r="T148" t="str">
            <v>3x1C 500mm2</v>
          </cell>
          <cell r="V148" t="str">
            <v>MCB</v>
          </cell>
          <cell r="W148">
            <v>1600</v>
          </cell>
          <cell r="AB148">
            <v>1600</v>
          </cell>
          <cell r="AC148">
            <v>28</v>
          </cell>
          <cell r="AF148">
            <v>2004</v>
          </cell>
          <cell r="AG148">
            <v>2</v>
          </cell>
          <cell r="AH148" t="str">
            <v>Steve Farquhar</v>
          </cell>
          <cell r="AI148" t="str">
            <v>WC</v>
          </cell>
          <cell r="AJ148" t="str">
            <v>Relatively new SB. Visual inspection indicates it is in good condition</v>
          </cell>
        </row>
        <row r="149">
          <cell r="E149" t="str">
            <v>W3001064</v>
          </cell>
          <cell r="F149" t="str">
            <v>Harding Dam WTP</v>
          </cell>
          <cell r="G149" t="str">
            <v>E30</v>
          </cell>
          <cell r="H149" t="str">
            <v>Kiosk Transformer</v>
          </cell>
          <cell r="J149" t="str">
            <v>Main LV SB</v>
          </cell>
          <cell r="K149" t="str">
            <v>FX73-42-2</v>
          </cell>
          <cell r="M149">
            <v>315</v>
          </cell>
          <cell r="N149">
            <v>6</v>
          </cell>
          <cell r="O149">
            <v>433</v>
          </cell>
          <cell r="P149">
            <v>4.7E-2</v>
          </cell>
          <cell r="V149" t="str">
            <v>MCB</v>
          </cell>
          <cell r="W149">
            <v>630</v>
          </cell>
          <cell r="AA149">
            <v>415</v>
          </cell>
          <cell r="AB149">
            <v>630</v>
          </cell>
          <cell r="AC149">
            <v>20</v>
          </cell>
          <cell r="AF149">
            <v>2003</v>
          </cell>
          <cell r="AG149">
            <v>2</v>
          </cell>
          <cell r="AH149" t="str">
            <v>Steve Farquhar</v>
          </cell>
          <cell r="AI149" t="str">
            <v>WC</v>
          </cell>
          <cell r="AJ149" t="str">
            <v>Relatively new SB. Visual inspection indicates it is in good condition</v>
          </cell>
        </row>
        <row r="150">
          <cell r="E150" t="str">
            <v>W8002936</v>
          </cell>
          <cell r="F150" t="str">
            <v>Binningup WTP</v>
          </cell>
          <cell r="G150" t="str">
            <v>Panel C</v>
          </cell>
          <cell r="H150" t="str">
            <v>Supply Auth</v>
          </cell>
          <cell r="J150" t="str">
            <v>Distribution Board</v>
          </cell>
          <cell r="K150" t="str">
            <v>GB17-41-5</v>
          </cell>
          <cell r="S150" t="str">
            <v>XLPE</v>
          </cell>
          <cell r="T150" t="str">
            <v>120mm2</v>
          </cell>
          <cell r="V150" t="str">
            <v>MCB</v>
          </cell>
          <cell r="W150">
            <v>400</v>
          </cell>
          <cell r="AF150">
            <v>2002</v>
          </cell>
          <cell r="AH150" t="str">
            <v>Ian Oswald</v>
          </cell>
          <cell r="AI150" t="str">
            <v>WC</v>
          </cell>
        </row>
        <row r="151">
          <cell r="F151" t="str">
            <v>Kalgoorlie WWTP</v>
          </cell>
          <cell r="H151" t="str">
            <v>Supply Auth</v>
          </cell>
          <cell r="K151" t="str">
            <v>FY88-42-62</v>
          </cell>
          <cell r="M151">
            <v>1000</v>
          </cell>
          <cell r="N151">
            <v>33</v>
          </cell>
          <cell r="O151">
            <v>415</v>
          </cell>
          <cell r="V151" t="str">
            <v>MCB</v>
          </cell>
          <cell r="W151">
            <v>1200</v>
          </cell>
          <cell r="AB151">
            <v>1200</v>
          </cell>
          <cell r="AC151">
            <v>31.5</v>
          </cell>
          <cell r="AD151">
            <v>1</v>
          </cell>
          <cell r="AF151">
            <v>2003</v>
          </cell>
          <cell r="AG151" t="str">
            <v>US</v>
          </cell>
          <cell r="AH151" t="str">
            <v>Rob Van-Tiel</v>
          </cell>
          <cell r="AI151" t="str">
            <v>WC</v>
          </cell>
          <cell r="AJ151" t="str">
            <v>Owned/operated by Shire???</v>
          </cell>
        </row>
        <row r="152">
          <cell r="E152" t="str">
            <v>W0005854</v>
          </cell>
          <cell r="F152" t="str">
            <v>Wanneroo WTP</v>
          </cell>
          <cell r="G152" t="str">
            <v>D5</v>
          </cell>
          <cell r="H152" t="str">
            <v>Tx 1 &amp; Tx 2</v>
          </cell>
          <cell r="J152" t="str">
            <v>MIEX SB</v>
          </cell>
          <cell r="K152" t="str">
            <v>FQ59-42-2</v>
          </cell>
          <cell r="M152">
            <v>500</v>
          </cell>
          <cell r="N152">
            <v>22</v>
          </cell>
          <cell r="O152">
            <v>433</v>
          </cell>
          <cell r="S152" t="str">
            <v>XLPE</v>
          </cell>
          <cell r="T152" t="str">
            <v>2x1C 240mm2</v>
          </cell>
          <cell r="V152" t="str">
            <v>MCB</v>
          </cell>
          <cell r="W152">
            <v>800</v>
          </cell>
          <cell r="X152" t="str">
            <v>FQ59-40-5</v>
          </cell>
          <cell r="AA152">
            <v>480</v>
          </cell>
          <cell r="AB152">
            <v>1000</v>
          </cell>
          <cell r="AC152">
            <v>35</v>
          </cell>
          <cell r="AD152">
            <v>1</v>
          </cell>
          <cell r="AE152">
            <v>12.24</v>
          </cell>
          <cell r="AF152">
            <v>2001</v>
          </cell>
          <cell r="AH152" t="str">
            <v>Dean Rayner</v>
          </cell>
          <cell r="AI152" t="str">
            <v>Aroona Alliance</v>
          </cell>
        </row>
        <row r="153">
          <cell r="E153" t="str">
            <v>W0026479</v>
          </cell>
          <cell r="F153" t="str">
            <v>Burrup Desalination Plant</v>
          </cell>
          <cell r="H153" t="str">
            <v>Tx 1 &amp; Tx 2</v>
          </cell>
          <cell r="J153" t="str">
            <v>Main LV SB</v>
          </cell>
          <cell r="K153" t="str">
            <v>FQ13-40-4</v>
          </cell>
          <cell r="M153">
            <v>1000</v>
          </cell>
          <cell r="N153">
            <v>11</v>
          </cell>
          <cell r="O153">
            <v>415</v>
          </cell>
          <cell r="P153">
            <v>0.06</v>
          </cell>
          <cell r="V153" t="str">
            <v>MCB</v>
          </cell>
          <cell r="W153">
            <v>1600</v>
          </cell>
          <cell r="X153" t="str">
            <v>FQ13-40-4</v>
          </cell>
          <cell r="AB153">
            <v>200</v>
          </cell>
          <cell r="AC153">
            <v>30</v>
          </cell>
          <cell r="AD153">
            <v>1</v>
          </cell>
          <cell r="AF153">
            <v>2004</v>
          </cell>
          <cell r="AG153">
            <v>2</v>
          </cell>
          <cell r="AH153" t="str">
            <v>Steve Farquhar</v>
          </cell>
          <cell r="AI153" t="str">
            <v>WC</v>
          </cell>
          <cell r="AJ153" t="str">
            <v>Recent visual inspection indicated the SB to be in good condition</v>
          </cell>
        </row>
        <row r="154">
          <cell r="E154" t="str">
            <v>W3001130</v>
          </cell>
          <cell r="F154" t="str">
            <v>Burrup Seawater Supply Scheme</v>
          </cell>
          <cell r="H154" t="str">
            <v>Padmount Tx 1</v>
          </cell>
          <cell r="J154" t="str">
            <v>Pump Station LV SB</v>
          </cell>
          <cell r="K154" t="str">
            <v>FQ12-40-4</v>
          </cell>
          <cell r="M154">
            <v>500</v>
          </cell>
          <cell r="N154">
            <v>33</v>
          </cell>
          <cell r="O154">
            <v>415</v>
          </cell>
          <cell r="P154">
            <v>4.7E-2</v>
          </cell>
          <cell r="S154" t="str">
            <v>XLPE</v>
          </cell>
          <cell r="T154" t="str">
            <v>2x1C 240mm2</v>
          </cell>
          <cell r="V154" t="str">
            <v>MCB</v>
          </cell>
          <cell r="W154">
            <v>800</v>
          </cell>
          <cell r="AA154">
            <v>415</v>
          </cell>
          <cell r="AB154">
            <v>800</v>
          </cell>
          <cell r="AC154">
            <v>18</v>
          </cell>
          <cell r="AE154">
            <v>11.1</v>
          </cell>
          <cell r="AF154">
            <v>2003</v>
          </cell>
          <cell r="AG154">
            <v>2</v>
          </cell>
          <cell r="AH154" t="str">
            <v>Steve Farquhar</v>
          </cell>
          <cell r="AI154" t="str">
            <v>WC</v>
          </cell>
          <cell r="AJ154" t="str">
            <v>Recent visual inspection indicated the SB to be in good condition</v>
          </cell>
        </row>
        <row r="155">
          <cell r="E155" t="str">
            <v>S0044405</v>
          </cell>
          <cell r="F155" t="str">
            <v>Collie PS #1</v>
          </cell>
          <cell r="G155" t="str">
            <v>E1</v>
          </cell>
          <cell r="H155" t="str">
            <v>Supply Auth</v>
          </cell>
          <cell r="K155" t="str">
            <v>FN25-41-3</v>
          </cell>
          <cell r="M155">
            <v>315</v>
          </cell>
          <cell r="N155">
            <v>22</v>
          </cell>
          <cell r="O155">
            <v>415</v>
          </cell>
          <cell r="P155">
            <v>0.05</v>
          </cell>
          <cell r="R155">
            <v>8.32</v>
          </cell>
          <cell r="V155" t="str">
            <v>MCB</v>
          </cell>
          <cell r="W155">
            <v>630</v>
          </cell>
          <cell r="X155" t="str">
            <v>FN25-40-2</v>
          </cell>
          <cell r="AA155">
            <v>415</v>
          </cell>
          <cell r="AB155">
            <v>800</v>
          </cell>
          <cell r="AC155">
            <v>25</v>
          </cell>
          <cell r="AD155">
            <v>1</v>
          </cell>
          <cell r="AE155">
            <v>10</v>
          </cell>
          <cell r="AF155">
            <v>2000</v>
          </cell>
          <cell r="AH155" t="str">
            <v>Doug Clapp</v>
          </cell>
          <cell r="AI155" t="str">
            <v>WC</v>
          </cell>
        </row>
        <row r="156">
          <cell r="E156" t="str">
            <v>S0044437</v>
          </cell>
          <cell r="F156" t="str">
            <v>Collie WWTP PS</v>
          </cell>
          <cell r="H156" t="str">
            <v>Supply Auth</v>
          </cell>
          <cell r="J156" t="str">
            <v>Treatment Plant SB</v>
          </cell>
          <cell r="K156" t="str">
            <v>FN09-41-1</v>
          </cell>
          <cell r="L156" t="str">
            <v>ABB</v>
          </cell>
          <cell r="M156">
            <v>500</v>
          </cell>
          <cell r="N156">
            <v>22</v>
          </cell>
          <cell r="O156">
            <v>440</v>
          </cell>
          <cell r="V156" t="str">
            <v>MCB</v>
          </cell>
          <cell r="W156">
            <v>800</v>
          </cell>
          <cell r="Y156" t="str">
            <v>Harwal</v>
          </cell>
          <cell r="Z156" t="str">
            <v>Harwal</v>
          </cell>
          <cell r="AA156">
            <v>440</v>
          </cell>
          <cell r="AC156">
            <v>50</v>
          </cell>
          <cell r="AD156">
            <v>1</v>
          </cell>
          <cell r="AE156">
            <v>10</v>
          </cell>
          <cell r="AF156">
            <v>2002</v>
          </cell>
          <cell r="AH156" t="str">
            <v>Doug Clapp</v>
          </cell>
          <cell r="AI156" t="str">
            <v>WC</v>
          </cell>
        </row>
        <row r="157">
          <cell r="E157" t="str">
            <v>S001-001-023</v>
          </cell>
          <cell r="F157" t="str">
            <v>Woodman Point WWTP</v>
          </cell>
          <cell r="G157" t="str">
            <v>SB3</v>
          </cell>
          <cell r="H157" t="str">
            <v>T5 + T6</v>
          </cell>
          <cell r="I157" t="str">
            <v>S0003208</v>
          </cell>
          <cell r="J157" t="str">
            <v>Final Eff. Pump Station MV Changeover Panel</v>
          </cell>
          <cell r="K157" t="str">
            <v>17871-41-35</v>
          </cell>
          <cell r="M157">
            <v>300</v>
          </cell>
          <cell r="N157">
            <v>22</v>
          </cell>
          <cell r="O157">
            <v>440</v>
          </cell>
          <cell r="V157" t="str">
            <v>MCB</v>
          </cell>
          <cell r="AE157">
            <v>8</v>
          </cell>
          <cell r="AF157">
            <v>1993</v>
          </cell>
          <cell r="AG157">
            <v>2</v>
          </cell>
          <cell r="AH157" t="str">
            <v>Peter Harris</v>
          </cell>
          <cell r="AI157" t="str">
            <v>Aroona Alliance</v>
          </cell>
        </row>
        <row r="158">
          <cell r="E158" t="str">
            <v>S001-001-023</v>
          </cell>
          <cell r="F158" t="str">
            <v>Woodman Point WWTP</v>
          </cell>
          <cell r="G158" t="str">
            <v>MC-50102</v>
          </cell>
          <cell r="H158" t="str">
            <v>TF-03105</v>
          </cell>
          <cell r="I158" t="str">
            <v>S1001754</v>
          </cell>
          <cell r="J158" t="str">
            <v>Secondary Treatment 415v MCC</v>
          </cell>
          <cell r="K158" t="str">
            <v>FL45-45-12.1</v>
          </cell>
          <cell r="M158">
            <v>2500</v>
          </cell>
          <cell r="N158">
            <v>22</v>
          </cell>
          <cell r="O158">
            <v>433</v>
          </cell>
          <cell r="P158">
            <v>6.7000000000000004E-2</v>
          </cell>
          <cell r="R158">
            <v>280</v>
          </cell>
          <cell r="S158" t="str">
            <v>PVC/PVC</v>
          </cell>
          <cell r="T158" t="str">
            <v>4x630mm2</v>
          </cell>
          <cell r="U158">
            <v>17</v>
          </cell>
          <cell r="V158" t="str">
            <v>MCB</v>
          </cell>
          <cell r="W158">
            <v>4000</v>
          </cell>
          <cell r="X158" t="str">
            <v>FL45-41-10.3</v>
          </cell>
          <cell r="AA158">
            <v>415</v>
          </cell>
          <cell r="AB158">
            <v>4000</v>
          </cell>
          <cell r="AC158">
            <v>63</v>
          </cell>
          <cell r="AD158">
            <v>1</v>
          </cell>
          <cell r="AE158">
            <v>45.1</v>
          </cell>
          <cell r="AF158">
            <v>2002</v>
          </cell>
          <cell r="AG158">
            <v>2</v>
          </cell>
          <cell r="AH158" t="str">
            <v>Peter Harris</v>
          </cell>
          <cell r="AI158" t="str">
            <v>Aroona Alliance</v>
          </cell>
        </row>
        <row r="159">
          <cell r="E159" t="str">
            <v>S001-001-023</v>
          </cell>
          <cell r="F159" t="str">
            <v>Woodman Point WWTP</v>
          </cell>
          <cell r="G159" t="str">
            <v>DB-50102</v>
          </cell>
          <cell r="H159" t="str">
            <v>MC-50102</v>
          </cell>
          <cell r="I159" t="str">
            <v>S1001759</v>
          </cell>
          <cell r="J159" t="str">
            <v>Blower House Light &amp; Small Power DB</v>
          </cell>
          <cell r="K159" t="str">
            <v>FL54-45-51</v>
          </cell>
          <cell r="R159">
            <v>45.1</v>
          </cell>
          <cell r="S159" t="str">
            <v>PVC/PVC</v>
          </cell>
          <cell r="T159" t="str">
            <v>25mm2</v>
          </cell>
          <cell r="U159">
            <v>20</v>
          </cell>
          <cell r="V159" t="str">
            <v>Fuse</v>
          </cell>
          <cell r="W159">
            <v>63</v>
          </cell>
          <cell r="AG159">
            <v>2</v>
          </cell>
          <cell r="AH159" t="str">
            <v>Peter Harris</v>
          </cell>
          <cell r="AI159" t="str">
            <v>Aroona Alliance</v>
          </cell>
        </row>
        <row r="160">
          <cell r="E160" t="str">
            <v>S001-001-023</v>
          </cell>
          <cell r="F160" t="str">
            <v>Woodman Point WWTP</v>
          </cell>
          <cell r="G160" t="str">
            <v>DB-50103</v>
          </cell>
          <cell r="H160" t="str">
            <v>MC-50101</v>
          </cell>
          <cell r="I160" t="str">
            <v>S1001753</v>
          </cell>
          <cell r="J160" t="str">
            <v>Secondary Treatment Valve DB</v>
          </cell>
          <cell r="K160" t="str">
            <v>FL45-45-52</v>
          </cell>
          <cell r="R160">
            <v>45.1</v>
          </cell>
          <cell r="S160" t="str">
            <v>PVC/PVC</v>
          </cell>
          <cell r="T160" t="str">
            <v>1C 16mm2</v>
          </cell>
          <cell r="U160">
            <v>12</v>
          </cell>
          <cell r="V160" t="str">
            <v>Fuse</v>
          </cell>
          <cell r="W160">
            <v>50</v>
          </cell>
          <cell r="Y160" t="str">
            <v>Cutler Hammer</v>
          </cell>
          <cell r="AG160">
            <v>2</v>
          </cell>
          <cell r="AH160" t="str">
            <v>Peter Harris</v>
          </cell>
          <cell r="AI160" t="str">
            <v>Aroona Alliance</v>
          </cell>
        </row>
        <row r="161">
          <cell r="E161" t="str">
            <v>S001-001-023</v>
          </cell>
          <cell r="F161" t="str">
            <v>Woodman Point WWTP</v>
          </cell>
          <cell r="G161" t="str">
            <v>MC-50104</v>
          </cell>
          <cell r="H161" t="str">
            <v>MC-50102</v>
          </cell>
          <cell r="J161" t="str">
            <v>Basin 2 Decanters 415v MCC</v>
          </cell>
          <cell r="K161" t="str">
            <v>FL45-45-545.1</v>
          </cell>
          <cell r="R161">
            <v>45.1</v>
          </cell>
          <cell r="S161" t="str">
            <v>PVC/PVC</v>
          </cell>
          <cell r="T161" t="str">
            <v>4C+E 25mm2</v>
          </cell>
          <cell r="U161">
            <v>150</v>
          </cell>
          <cell r="V161" t="str">
            <v>Fuse</v>
          </cell>
          <cell r="W161">
            <v>50</v>
          </cell>
          <cell r="Y161" t="str">
            <v>Cutler Hammer</v>
          </cell>
          <cell r="AF161">
            <v>2002</v>
          </cell>
          <cell r="AH161" t="str">
            <v>Peter Harris</v>
          </cell>
          <cell r="AI161" t="str">
            <v>Aroona Alliance</v>
          </cell>
        </row>
        <row r="162">
          <cell r="E162" t="str">
            <v>S001-001-023</v>
          </cell>
          <cell r="F162" t="str">
            <v>Woodman Point WWTP</v>
          </cell>
          <cell r="G162" t="str">
            <v>MC-50106</v>
          </cell>
          <cell r="H162" t="str">
            <v>MC-50102</v>
          </cell>
          <cell r="J162" t="str">
            <v>Basin 4 Decanters 415v MCC</v>
          </cell>
          <cell r="K162" t="str">
            <v>FL45-45-564.4</v>
          </cell>
          <cell r="R162">
            <v>45.1</v>
          </cell>
          <cell r="S162" t="str">
            <v>PVC/PVC</v>
          </cell>
          <cell r="T162" t="str">
            <v>4C+E 25mm2</v>
          </cell>
          <cell r="U162">
            <v>295</v>
          </cell>
          <cell r="V162" t="str">
            <v>Fuse</v>
          </cell>
          <cell r="W162">
            <v>50</v>
          </cell>
          <cell r="Y162" t="str">
            <v>Cutler Hammer</v>
          </cell>
          <cell r="AF162">
            <v>2002</v>
          </cell>
          <cell r="AH162" t="str">
            <v>Peter Harris</v>
          </cell>
          <cell r="AI162" t="str">
            <v>Aroona Alliance</v>
          </cell>
        </row>
        <row r="163">
          <cell r="E163" t="str">
            <v>S001-001-023</v>
          </cell>
          <cell r="F163" t="str">
            <v>Woodman Point WWTP</v>
          </cell>
          <cell r="G163" t="str">
            <v>DB-50109</v>
          </cell>
          <cell r="H163" t="str">
            <v>MC-50102</v>
          </cell>
          <cell r="J163" t="str">
            <v>HV Switchroom Light &amp; Small Power DB</v>
          </cell>
          <cell r="K163" t="str">
            <v>FL45-45-51</v>
          </cell>
          <cell r="R163">
            <v>45.1</v>
          </cell>
          <cell r="S163" t="str">
            <v>PVC/PVC</v>
          </cell>
          <cell r="T163" t="str">
            <v>4C+E 25mm2</v>
          </cell>
          <cell r="U163">
            <v>25</v>
          </cell>
          <cell r="V163" t="str">
            <v>Fuse</v>
          </cell>
          <cell r="W163">
            <v>50</v>
          </cell>
          <cell r="Y163" t="str">
            <v>Cutler Hammer</v>
          </cell>
          <cell r="AF163">
            <v>2002</v>
          </cell>
          <cell r="AG163">
            <v>2</v>
          </cell>
          <cell r="AH163" t="str">
            <v>Peter Harris</v>
          </cell>
          <cell r="AI163" t="str">
            <v>Aroona Alliance</v>
          </cell>
        </row>
        <row r="164">
          <cell r="E164" t="str">
            <v>S001-001-023</v>
          </cell>
          <cell r="F164" t="str">
            <v>Woodman Point WWTP</v>
          </cell>
          <cell r="G164" t="str">
            <v>MC-60101</v>
          </cell>
          <cell r="H164" t="str">
            <v>MC-50102</v>
          </cell>
          <cell r="J164" t="str">
            <v>Balancing Dam &amp; Outfall MCC</v>
          </cell>
          <cell r="K164" t="str">
            <v>FL45-46-1</v>
          </cell>
          <cell r="R164">
            <v>45.1</v>
          </cell>
          <cell r="S164" t="str">
            <v>PVC/PVC</v>
          </cell>
          <cell r="T164" t="str">
            <v>4C+E 240mm2</v>
          </cell>
          <cell r="U164">
            <v>200</v>
          </cell>
          <cell r="V164" t="str">
            <v>Fuse</v>
          </cell>
          <cell r="W164">
            <v>315</v>
          </cell>
          <cell r="Y164" t="str">
            <v>Cutler Hammer</v>
          </cell>
          <cell r="AA164">
            <v>415</v>
          </cell>
          <cell r="AB164">
            <v>400</v>
          </cell>
          <cell r="AC164">
            <v>10</v>
          </cell>
          <cell r="AD164">
            <v>1</v>
          </cell>
          <cell r="AE164">
            <v>7.2</v>
          </cell>
          <cell r="AF164">
            <v>2002</v>
          </cell>
          <cell r="AG164">
            <v>2</v>
          </cell>
          <cell r="AH164" t="str">
            <v>Peter Harris</v>
          </cell>
          <cell r="AI164" t="str">
            <v>Aroona Alliance</v>
          </cell>
        </row>
        <row r="165">
          <cell r="E165" t="str">
            <v>S001-001-023</v>
          </cell>
          <cell r="F165" t="str">
            <v>Woodman Point WWTP</v>
          </cell>
          <cell r="G165" t="str">
            <v>MC-50101</v>
          </cell>
          <cell r="H165" t="str">
            <v>TF-03104</v>
          </cell>
          <cell r="I165" t="str">
            <v>S1001751</v>
          </cell>
          <cell r="J165" t="str">
            <v>Secondary Treatment MCC</v>
          </cell>
          <cell r="K165" t="str">
            <v>FL45-45-11.1</v>
          </cell>
          <cell r="M165">
            <v>2500</v>
          </cell>
          <cell r="N165">
            <v>22</v>
          </cell>
          <cell r="O165">
            <v>433</v>
          </cell>
          <cell r="P165">
            <v>6.7000000000000004E-2</v>
          </cell>
          <cell r="R165">
            <v>280</v>
          </cell>
          <cell r="S165" t="str">
            <v>XLPE/PVC</v>
          </cell>
          <cell r="T165" t="str">
            <v>4x 630mm2 phase</v>
          </cell>
          <cell r="U165">
            <v>15</v>
          </cell>
          <cell r="V165" t="str">
            <v>MCB</v>
          </cell>
          <cell r="W165">
            <v>4000</v>
          </cell>
          <cell r="X165" t="str">
            <v>FL45-41-10.3</v>
          </cell>
          <cell r="Y165" t="str">
            <v>O'Donnell Griffin</v>
          </cell>
          <cell r="AA165">
            <v>415</v>
          </cell>
          <cell r="AB165">
            <v>4000</v>
          </cell>
          <cell r="AC165">
            <v>63</v>
          </cell>
          <cell r="AD165">
            <v>1</v>
          </cell>
          <cell r="AE165">
            <v>45.1</v>
          </cell>
          <cell r="AF165">
            <v>2002</v>
          </cell>
          <cell r="AG165">
            <v>2</v>
          </cell>
          <cell r="AH165" t="str">
            <v>Peter Harris</v>
          </cell>
          <cell r="AI165" t="str">
            <v>Aroona Alliance</v>
          </cell>
          <cell r="AJ165" t="str">
            <v>Tx Compound needs weed spraying</v>
          </cell>
        </row>
        <row r="166">
          <cell r="E166" t="str">
            <v>S001-001-023</v>
          </cell>
          <cell r="F166" t="str">
            <v>Woodman Point WWTP</v>
          </cell>
          <cell r="G166" t="str">
            <v>DB-50101</v>
          </cell>
          <cell r="H166" t="str">
            <v>UPS-50101</v>
          </cell>
          <cell r="I166" t="str">
            <v>S1001752</v>
          </cell>
          <cell r="J166" t="str">
            <v>Secondary Treatment Instrument DB</v>
          </cell>
          <cell r="K166" t="str">
            <v>FL45-45-53</v>
          </cell>
          <cell r="R166">
            <v>45.1</v>
          </cell>
          <cell r="S166" t="str">
            <v>PVC/PVC</v>
          </cell>
          <cell r="T166" t="str">
            <v>2C+E 16mm2</v>
          </cell>
          <cell r="U166">
            <v>10</v>
          </cell>
          <cell r="V166" t="str">
            <v>Fuse</v>
          </cell>
          <cell r="W166">
            <v>32</v>
          </cell>
          <cell r="Y166" t="str">
            <v>Cutler Hammer</v>
          </cell>
          <cell r="AF166">
            <v>2002</v>
          </cell>
          <cell r="AG166">
            <v>2</v>
          </cell>
          <cell r="AH166" t="str">
            <v>Peter Harris</v>
          </cell>
          <cell r="AI166" t="str">
            <v>Aroona Alliance</v>
          </cell>
        </row>
        <row r="167">
          <cell r="E167" t="str">
            <v>S001-001-023</v>
          </cell>
          <cell r="F167" t="str">
            <v>Woodman Point WWTP</v>
          </cell>
          <cell r="G167" t="str">
            <v>DB-50104</v>
          </cell>
          <cell r="H167" t="str">
            <v>MC-50102</v>
          </cell>
          <cell r="I167" t="str">
            <v>S1001755</v>
          </cell>
          <cell r="J167" t="str">
            <v>Secondary Treatment Valve DB</v>
          </cell>
          <cell r="K167" t="str">
            <v>FL45-45-52</v>
          </cell>
          <cell r="R167">
            <v>45.1</v>
          </cell>
          <cell r="S167" t="str">
            <v>PVC/PVC</v>
          </cell>
          <cell r="T167" t="str">
            <v>4C+E 25mm2</v>
          </cell>
          <cell r="U167">
            <v>20</v>
          </cell>
          <cell r="V167" t="str">
            <v>Fuse</v>
          </cell>
          <cell r="W167">
            <v>50</v>
          </cell>
          <cell r="Y167" t="str">
            <v>Cutler Hammer</v>
          </cell>
          <cell r="AF167">
            <v>2002</v>
          </cell>
          <cell r="AG167">
            <v>2</v>
          </cell>
          <cell r="AH167" t="str">
            <v>Peter Harris</v>
          </cell>
          <cell r="AI167" t="str">
            <v>Aroona Alliance</v>
          </cell>
        </row>
        <row r="168">
          <cell r="E168" t="str">
            <v>S001-001-023</v>
          </cell>
          <cell r="F168" t="str">
            <v>Woodman Point WWTP</v>
          </cell>
          <cell r="G168" t="str">
            <v>MC-50103</v>
          </cell>
          <cell r="H168" t="str">
            <v>MC-50101</v>
          </cell>
          <cell r="J168" t="str">
            <v>SBR Basin 1 Decanters 415v MCC</v>
          </cell>
          <cell r="K168" t="str">
            <v>FL45-45-504.3</v>
          </cell>
          <cell r="R168">
            <v>45.1</v>
          </cell>
          <cell r="S168" t="str">
            <v>PVC/PVC</v>
          </cell>
          <cell r="T168" t="str">
            <v>4C+E 25mm2</v>
          </cell>
          <cell r="U168">
            <v>150</v>
          </cell>
          <cell r="V168" t="str">
            <v>Fuse</v>
          </cell>
          <cell r="W168">
            <v>50</v>
          </cell>
          <cell r="AF168">
            <v>2002</v>
          </cell>
          <cell r="AH168" t="str">
            <v>Peter Harris</v>
          </cell>
          <cell r="AI168" t="str">
            <v>Aroona Alliance</v>
          </cell>
        </row>
        <row r="169">
          <cell r="E169" t="str">
            <v>S001-001-023</v>
          </cell>
          <cell r="F169" t="str">
            <v>Woodman Point WWTP</v>
          </cell>
          <cell r="G169" t="str">
            <v>MC-50105</v>
          </cell>
          <cell r="H169" t="str">
            <v>MC-50101</v>
          </cell>
          <cell r="J169" t="str">
            <v>SBR Basin 3 Decanters 415v MCC</v>
          </cell>
          <cell r="K169" t="str">
            <v>FL45-45-525</v>
          </cell>
          <cell r="R169">
            <v>45.1</v>
          </cell>
          <cell r="S169" t="str">
            <v>PVC/PVC</v>
          </cell>
          <cell r="T169" t="str">
            <v>4C+E 25mm2</v>
          </cell>
          <cell r="U169">
            <v>295</v>
          </cell>
          <cell r="V169" t="str">
            <v>Fuse</v>
          </cell>
          <cell r="W169">
            <v>50</v>
          </cell>
          <cell r="AF169">
            <v>2002</v>
          </cell>
          <cell r="AH169" t="str">
            <v>Peter Harris</v>
          </cell>
          <cell r="AI169" t="str">
            <v>Aroona Alliance</v>
          </cell>
          <cell r="AJ169" t="str">
            <v>Modifications since install</v>
          </cell>
        </row>
        <row r="170">
          <cell r="E170" t="str">
            <v>S001-001-023</v>
          </cell>
          <cell r="F170" t="str">
            <v>Woodman Point WWTP</v>
          </cell>
          <cell r="G170" t="str">
            <v>MC-60101</v>
          </cell>
          <cell r="H170" t="str">
            <v>MC-50102</v>
          </cell>
          <cell r="J170" t="str">
            <v>Reclaimed Effluent 415v MCC 2</v>
          </cell>
          <cell r="K170" t="str">
            <v>FL45-46-2</v>
          </cell>
          <cell r="R170">
            <v>45.1</v>
          </cell>
          <cell r="S170" t="str">
            <v>PVC/PVC</v>
          </cell>
          <cell r="T170" t="str">
            <v>4C+E 240mm2</v>
          </cell>
          <cell r="U170">
            <v>200</v>
          </cell>
          <cell r="V170" t="str">
            <v>Fuse</v>
          </cell>
          <cell r="W170">
            <v>400</v>
          </cell>
          <cell r="AA170">
            <v>415</v>
          </cell>
          <cell r="AB170">
            <v>400</v>
          </cell>
          <cell r="AC170">
            <v>10</v>
          </cell>
          <cell r="AD170">
            <v>1</v>
          </cell>
          <cell r="AE170">
            <v>7.2</v>
          </cell>
          <cell r="AF170">
            <v>2009</v>
          </cell>
          <cell r="AH170" t="str">
            <v>Peter Harris</v>
          </cell>
          <cell r="AI170" t="str">
            <v>Aroona Alliance</v>
          </cell>
        </row>
        <row r="171">
          <cell r="E171" t="str">
            <v>S001-001-023</v>
          </cell>
          <cell r="F171" t="str">
            <v>Woodman Point WWTP</v>
          </cell>
          <cell r="G171" t="str">
            <v>MC-26101</v>
          </cell>
          <cell r="H171" t="str">
            <v>TF-03106</v>
          </cell>
          <cell r="I171" t="str">
            <v>S1003246</v>
          </cell>
          <cell r="J171" t="str">
            <v>Tanker Receival Facility 415v MCC</v>
          </cell>
          <cell r="K171" t="str">
            <v>FL45-49-1</v>
          </cell>
          <cell r="M171">
            <v>315</v>
          </cell>
          <cell r="N171">
            <v>22</v>
          </cell>
          <cell r="O171">
            <v>433</v>
          </cell>
          <cell r="S171" t="str">
            <v>XLPE/PVC</v>
          </cell>
          <cell r="T171" t="str">
            <v>1C 400mm2</v>
          </cell>
          <cell r="U171">
            <v>7</v>
          </cell>
          <cell r="V171" t="str">
            <v>MCB</v>
          </cell>
          <cell r="W171">
            <v>250</v>
          </cell>
          <cell r="AA171">
            <v>415</v>
          </cell>
          <cell r="AB171">
            <v>600</v>
          </cell>
          <cell r="AC171">
            <v>50</v>
          </cell>
          <cell r="AD171">
            <v>1</v>
          </cell>
          <cell r="AE171">
            <v>10</v>
          </cell>
          <cell r="AF171">
            <v>2003</v>
          </cell>
          <cell r="AG171">
            <v>2</v>
          </cell>
          <cell r="AH171" t="str">
            <v>Peter Harris</v>
          </cell>
          <cell r="AI171" t="str">
            <v>Aroona Alliance</v>
          </cell>
          <cell r="AJ171" t="str">
            <v>Padmount Tx</v>
          </cell>
        </row>
        <row r="172">
          <cell r="E172" t="str">
            <v>S001-001-023</v>
          </cell>
          <cell r="F172" t="str">
            <v>Woodman Point WWTP</v>
          </cell>
          <cell r="G172" t="str">
            <v>SB-0304</v>
          </cell>
          <cell r="H172" t="str">
            <v>SB-03102</v>
          </cell>
          <cell r="J172" t="str">
            <v>Energy Recovery 415v MSB</v>
          </cell>
          <cell r="K172" t="str">
            <v>IM36-55-09</v>
          </cell>
          <cell r="M172">
            <v>2300</v>
          </cell>
          <cell r="N172">
            <v>22</v>
          </cell>
          <cell r="O172">
            <v>440</v>
          </cell>
          <cell r="R172">
            <v>57.6</v>
          </cell>
          <cell r="V172" t="str">
            <v>MCB</v>
          </cell>
          <cell r="W172">
            <v>4000</v>
          </cell>
          <cell r="X172" t="str">
            <v>FL45-41-10.5</v>
          </cell>
          <cell r="AA172">
            <v>415</v>
          </cell>
          <cell r="AB172">
            <v>3000</v>
          </cell>
          <cell r="AC172">
            <v>63</v>
          </cell>
          <cell r="AD172">
            <v>1</v>
          </cell>
          <cell r="AE172">
            <v>57.6</v>
          </cell>
          <cell r="AG172">
            <v>1</v>
          </cell>
          <cell r="AH172" t="str">
            <v>Peter Harris</v>
          </cell>
          <cell r="AI172" t="str">
            <v>Aroona Alliance</v>
          </cell>
          <cell r="AJ172" t="str">
            <v>Modifications since install</v>
          </cell>
        </row>
        <row r="173">
          <cell r="E173" t="str">
            <v>S001-001-023</v>
          </cell>
          <cell r="F173" t="str">
            <v>Woodman Point WWTP</v>
          </cell>
          <cell r="G173" t="str">
            <v>MC-0301</v>
          </cell>
          <cell r="H173" t="str">
            <v>SB-0304</v>
          </cell>
          <cell r="J173" t="str">
            <v>Energy Recovery MCCA</v>
          </cell>
          <cell r="K173" t="str">
            <v>IM36-55-06</v>
          </cell>
          <cell r="R173">
            <v>57.6</v>
          </cell>
          <cell r="V173" t="str">
            <v>MCB</v>
          </cell>
          <cell r="W173">
            <v>1250</v>
          </cell>
          <cell r="AG173">
            <v>2</v>
          </cell>
          <cell r="AH173" t="str">
            <v>Peter Harris</v>
          </cell>
          <cell r="AI173" t="str">
            <v>Aroona Alliance</v>
          </cell>
        </row>
        <row r="174">
          <cell r="E174" t="str">
            <v>S001-001-023</v>
          </cell>
          <cell r="F174" t="str">
            <v>Woodman Point WWTP</v>
          </cell>
          <cell r="G174" t="str">
            <v>MC-0302</v>
          </cell>
          <cell r="H174" t="str">
            <v>SB-0304</v>
          </cell>
          <cell r="J174" t="str">
            <v>Energy Recovery MCCB</v>
          </cell>
          <cell r="K174" t="str">
            <v>IM36-55-07</v>
          </cell>
          <cell r="R174">
            <v>57.6</v>
          </cell>
          <cell r="U174">
            <v>15</v>
          </cell>
          <cell r="V174" t="str">
            <v>MCB</v>
          </cell>
          <cell r="W174">
            <v>1250</v>
          </cell>
          <cell r="AG174">
            <v>2</v>
          </cell>
          <cell r="AH174" t="str">
            <v>Peter Harris</v>
          </cell>
          <cell r="AI174" t="str">
            <v>Aroona Alliance</v>
          </cell>
          <cell r="AJ174" t="str">
            <v>SB0304 No ID.</v>
          </cell>
        </row>
        <row r="175">
          <cell r="E175" t="str">
            <v>S001-001-023</v>
          </cell>
          <cell r="F175" t="str">
            <v>Woodman Point WWTP</v>
          </cell>
          <cell r="G175" t="str">
            <v>MC-70101</v>
          </cell>
          <cell r="H175" t="str">
            <v>SB-0304</v>
          </cell>
          <cell r="J175" t="str">
            <v>Sludge Treatment MCC</v>
          </cell>
          <cell r="K175" t="str">
            <v>IM36-55-13</v>
          </cell>
          <cell r="R175">
            <v>57.6</v>
          </cell>
          <cell r="S175" t="str">
            <v>XLPE/PVC</v>
          </cell>
          <cell r="T175" t="str">
            <v>1C 240mm2</v>
          </cell>
          <cell r="U175">
            <v>110</v>
          </cell>
          <cell r="V175" t="str">
            <v>MCB</v>
          </cell>
          <cell r="W175">
            <v>800</v>
          </cell>
          <cell r="AA175">
            <v>415</v>
          </cell>
          <cell r="AB175">
            <v>400</v>
          </cell>
          <cell r="AC175">
            <v>30</v>
          </cell>
          <cell r="AD175">
            <v>1</v>
          </cell>
          <cell r="AE175">
            <v>24.3</v>
          </cell>
          <cell r="AF175">
            <v>2006</v>
          </cell>
          <cell r="AG175" t="str">
            <v>g</v>
          </cell>
          <cell r="AH175" t="str">
            <v>Peter Harris</v>
          </cell>
          <cell r="AI175" t="str">
            <v>Aroona Alliance</v>
          </cell>
          <cell r="AJ175" t="str">
            <v>does not exist</v>
          </cell>
        </row>
        <row r="176">
          <cell r="E176" t="str">
            <v>S001-001-023</v>
          </cell>
          <cell r="F176" t="str">
            <v>Woodman Point WWTP</v>
          </cell>
          <cell r="G176" t="str">
            <v>DB-70103</v>
          </cell>
          <cell r="H176" t="str">
            <v>MC-70101</v>
          </cell>
          <cell r="J176" t="str">
            <v>Sludge Treatment Light &amp; Power DB</v>
          </cell>
          <cell r="K176" t="str">
            <v>FL45-47-51</v>
          </cell>
          <cell r="R176">
            <v>24.3</v>
          </cell>
          <cell r="S176" t="str">
            <v>PVC/PVC</v>
          </cell>
          <cell r="T176" t="str">
            <v>4C+E 16mm2</v>
          </cell>
          <cell r="U176">
            <v>20</v>
          </cell>
          <cell r="V176" t="str">
            <v>Fuse</v>
          </cell>
          <cell r="W176">
            <v>63</v>
          </cell>
          <cell r="AG176" t="str">
            <v>g</v>
          </cell>
          <cell r="AH176" t="str">
            <v>Peter Harris</v>
          </cell>
          <cell r="AI176" t="str">
            <v>Aroona Alliance</v>
          </cell>
          <cell r="AJ176" t="str">
            <v>does not exist</v>
          </cell>
        </row>
        <row r="177">
          <cell r="E177" t="str">
            <v>S001-001-023</v>
          </cell>
          <cell r="F177" t="str">
            <v>Woodman Point WWTP</v>
          </cell>
          <cell r="G177" t="str">
            <v>MC-70102</v>
          </cell>
          <cell r="H177" t="str">
            <v>SB-0304</v>
          </cell>
          <cell r="J177" t="str">
            <v>Sludge Treatment MCC</v>
          </cell>
          <cell r="K177" t="str">
            <v>IM36-55-15</v>
          </cell>
          <cell r="R177">
            <v>57.6</v>
          </cell>
          <cell r="S177" t="str">
            <v>XLPE/PVC</v>
          </cell>
          <cell r="T177" t="str">
            <v>1C 240mm2</v>
          </cell>
          <cell r="U177">
            <v>110</v>
          </cell>
          <cell r="V177" t="str">
            <v>MCB</v>
          </cell>
          <cell r="W177">
            <v>800</v>
          </cell>
          <cell r="AA177">
            <v>415</v>
          </cell>
          <cell r="AB177">
            <v>400</v>
          </cell>
          <cell r="AC177">
            <v>30</v>
          </cell>
          <cell r="AD177">
            <v>1</v>
          </cell>
          <cell r="AE177">
            <v>24.3</v>
          </cell>
          <cell r="AF177">
            <v>2006</v>
          </cell>
          <cell r="AG177" t="str">
            <v>g</v>
          </cell>
          <cell r="AH177" t="str">
            <v>Peter Harris</v>
          </cell>
          <cell r="AI177" t="str">
            <v>Aroona Alliance</v>
          </cell>
          <cell r="AJ177" t="str">
            <v>does not exist</v>
          </cell>
        </row>
        <row r="178">
          <cell r="E178" t="str">
            <v>S001-001-023</v>
          </cell>
          <cell r="F178" t="str">
            <v>Woodman Point WWTP</v>
          </cell>
          <cell r="G178" t="str">
            <v>MC-07101</v>
          </cell>
          <cell r="H178" t="str">
            <v>TF-03107</v>
          </cell>
          <cell r="J178" t="str">
            <v>Odour Control MCC</v>
          </cell>
          <cell r="M178">
            <v>2000</v>
          </cell>
          <cell r="N178">
            <v>22</v>
          </cell>
          <cell r="O178">
            <v>433</v>
          </cell>
          <cell r="P178">
            <v>6.6400000000000001E-2</v>
          </cell>
          <cell r="R178">
            <v>45</v>
          </cell>
          <cell r="S178" t="str">
            <v>XLPE/PVC</v>
          </cell>
          <cell r="T178" t="str">
            <v>5x1C 630mm2</v>
          </cell>
          <cell r="U178">
            <v>20</v>
          </cell>
          <cell r="V178" t="str">
            <v>MCB</v>
          </cell>
          <cell r="AA178">
            <v>415</v>
          </cell>
          <cell r="AB178">
            <v>3200</v>
          </cell>
          <cell r="AC178">
            <v>80</v>
          </cell>
          <cell r="AD178">
            <v>1</v>
          </cell>
          <cell r="AE178">
            <v>45</v>
          </cell>
          <cell r="AF178">
            <v>2009</v>
          </cell>
          <cell r="AH178" t="str">
            <v>Peter Harris</v>
          </cell>
          <cell r="AI178" t="str">
            <v>Aroona Alliance</v>
          </cell>
        </row>
        <row r="179">
          <cell r="E179" t="str">
            <v>S001-001-023</v>
          </cell>
          <cell r="F179" t="str">
            <v>Woodman Point WWTP</v>
          </cell>
          <cell r="G179" t="str">
            <v>MC-07102</v>
          </cell>
          <cell r="H179" t="str">
            <v>TF-03108</v>
          </cell>
          <cell r="J179" t="str">
            <v>Odour Control MCC</v>
          </cell>
          <cell r="M179">
            <v>2000</v>
          </cell>
          <cell r="N179">
            <v>22</v>
          </cell>
          <cell r="O179">
            <v>433</v>
          </cell>
          <cell r="R179">
            <v>45</v>
          </cell>
          <cell r="S179" t="str">
            <v>XLPE/PVC</v>
          </cell>
          <cell r="T179" t="str">
            <v>5x1C 630mm2</v>
          </cell>
          <cell r="U179">
            <v>20</v>
          </cell>
          <cell r="V179" t="str">
            <v>MCB</v>
          </cell>
          <cell r="AA179">
            <v>415</v>
          </cell>
          <cell r="AB179">
            <v>3200</v>
          </cell>
          <cell r="AC179">
            <v>80</v>
          </cell>
          <cell r="AD179">
            <v>1</v>
          </cell>
          <cell r="AE179">
            <v>45</v>
          </cell>
          <cell r="AF179">
            <v>2009</v>
          </cell>
          <cell r="AH179" t="str">
            <v>Peter Harris</v>
          </cell>
          <cell r="AI179" t="str">
            <v>Aroona Alliance</v>
          </cell>
          <cell r="AJ179" t="str">
            <v>No access to board</v>
          </cell>
        </row>
        <row r="180">
          <cell r="E180" t="str">
            <v>S001-001-023</v>
          </cell>
          <cell r="F180" t="str">
            <v>Woodman Point WWTP</v>
          </cell>
          <cell r="G180" t="str">
            <v>MC-070101</v>
          </cell>
          <cell r="H180" t="str">
            <v>SB-0304</v>
          </cell>
          <cell r="J180" t="str">
            <v>Sludge Thickening MCC</v>
          </cell>
          <cell r="K180" t="str">
            <v>DI20-44-201</v>
          </cell>
          <cell r="R180">
            <v>57.6</v>
          </cell>
          <cell r="S180" t="str">
            <v>XLPE/PVC</v>
          </cell>
          <cell r="T180" t="str">
            <v>1C 240mm2</v>
          </cell>
          <cell r="U180">
            <v>110</v>
          </cell>
          <cell r="V180" t="str">
            <v>MCB</v>
          </cell>
          <cell r="AA180">
            <v>415</v>
          </cell>
          <cell r="AE180">
            <v>45</v>
          </cell>
          <cell r="AG180" t="str">
            <v>g</v>
          </cell>
          <cell r="AH180" t="str">
            <v>Peter Harris</v>
          </cell>
          <cell r="AI180" t="str">
            <v>Aroona Alliance</v>
          </cell>
          <cell r="AJ180" t="str">
            <v>does not exist</v>
          </cell>
        </row>
        <row r="181">
          <cell r="E181" t="str">
            <v>S001-001-023</v>
          </cell>
          <cell r="F181" t="str">
            <v>Woodman Point WWTP</v>
          </cell>
          <cell r="G181" t="str">
            <v>MC-070102</v>
          </cell>
          <cell r="H181" t="str">
            <v>SB-0304</v>
          </cell>
          <cell r="J181" t="str">
            <v>Sludge Thickening MCC</v>
          </cell>
          <cell r="R181">
            <v>57.6</v>
          </cell>
          <cell r="S181" t="str">
            <v>XLPE/PVC</v>
          </cell>
          <cell r="T181" t="str">
            <v>1C 240mm2</v>
          </cell>
          <cell r="U181">
            <v>110</v>
          </cell>
          <cell r="V181" t="str">
            <v>MCB</v>
          </cell>
          <cell r="AA181">
            <v>415</v>
          </cell>
          <cell r="AE181">
            <v>45</v>
          </cell>
          <cell r="AG181" t="str">
            <v>g</v>
          </cell>
          <cell r="AH181" t="str">
            <v>Peter Harris</v>
          </cell>
          <cell r="AI181" t="str">
            <v>Aroona Alliance</v>
          </cell>
          <cell r="AJ181" t="str">
            <v>does not exist</v>
          </cell>
        </row>
        <row r="182">
          <cell r="E182" t="str">
            <v>W3000688</v>
          </cell>
          <cell r="F182" t="str">
            <v>Broome Transfer PS &amp; Tank Site</v>
          </cell>
          <cell r="H182" t="str">
            <v>Supply Auth</v>
          </cell>
          <cell r="I182" t="str">
            <v>W3000692</v>
          </cell>
          <cell r="J182" t="str">
            <v>415V Main SB</v>
          </cell>
          <cell r="K182" t="str">
            <v>FJ65-55-1</v>
          </cell>
          <cell r="M182">
            <v>500</v>
          </cell>
          <cell r="N182">
            <v>11</v>
          </cell>
          <cell r="O182">
            <v>415</v>
          </cell>
          <cell r="S182" t="str">
            <v>XLPE/PVC</v>
          </cell>
          <cell r="T182" t="str">
            <v>6x1C 240mm2</v>
          </cell>
          <cell r="V182" t="str">
            <v>MCB</v>
          </cell>
          <cell r="W182">
            <v>800</v>
          </cell>
          <cell r="AA182">
            <v>415</v>
          </cell>
          <cell r="AB182">
            <v>800</v>
          </cell>
          <cell r="AC182">
            <v>25</v>
          </cell>
          <cell r="AD182">
            <v>1</v>
          </cell>
          <cell r="AE182">
            <v>15.46</v>
          </cell>
          <cell r="AF182">
            <v>2000</v>
          </cell>
          <cell r="AG182" t="str">
            <v>3B</v>
          </cell>
          <cell r="AH182" t="str">
            <v>Steve Farquhar</v>
          </cell>
          <cell r="AI182" t="str">
            <v>WC</v>
          </cell>
          <cell r="AJ182" t="str">
            <v>Site is in good condition, internal site installation of main SB</v>
          </cell>
        </row>
        <row r="183">
          <cell r="E183" t="str">
            <v>W3000654</v>
          </cell>
          <cell r="F183" t="str">
            <v>Lakeside Booster PS &amp; Tank Site</v>
          </cell>
          <cell r="H183" t="str">
            <v>Supply Auth</v>
          </cell>
          <cell r="K183" t="str">
            <v>FJ45-41-2</v>
          </cell>
          <cell r="M183">
            <v>100</v>
          </cell>
          <cell r="N183">
            <v>22</v>
          </cell>
          <cell r="O183">
            <v>415</v>
          </cell>
          <cell r="S183" t="str">
            <v>XLPE/PVC</v>
          </cell>
          <cell r="T183" t="str">
            <v>35mm2</v>
          </cell>
          <cell r="V183" t="str">
            <v>MCB</v>
          </cell>
          <cell r="W183">
            <v>160</v>
          </cell>
          <cell r="AF183">
            <v>2000</v>
          </cell>
          <cell r="AG183" t="str">
            <v>FUTURE-K</v>
          </cell>
          <cell r="AH183" t="str">
            <v>Steve Farquhar</v>
          </cell>
          <cell r="AI183" t="str">
            <v>WC</v>
          </cell>
          <cell r="AJ183" t="str">
            <v>Site is in good condition, external installation under shade structure</v>
          </cell>
        </row>
        <row r="184">
          <cell r="E184" t="str">
            <v>S048-001-003</v>
          </cell>
          <cell r="F184" t="str">
            <v>South Hedland WWTP</v>
          </cell>
          <cell r="H184" t="str">
            <v>Supply Auth</v>
          </cell>
          <cell r="K184" t="str">
            <v>FJ15-41-2</v>
          </cell>
          <cell r="M184">
            <v>200</v>
          </cell>
          <cell r="N184">
            <v>22</v>
          </cell>
          <cell r="O184">
            <v>415</v>
          </cell>
          <cell r="S184" t="str">
            <v>XLPE/PVC</v>
          </cell>
          <cell r="T184" t="str">
            <v>185mm2</v>
          </cell>
          <cell r="V184" t="str">
            <v>MCB</v>
          </cell>
          <cell r="W184">
            <v>400</v>
          </cell>
          <cell r="AA184">
            <v>600</v>
          </cell>
          <cell r="AC184">
            <v>10</v>
          </cell>
          <cell r="AD184">
            <v>1</v>
          </cell>
          <cell r="AF184">
            <v>1999</v>
          </cell>
          <cell r="AH184" t="str">
            <v>Steve Farquhar</v>
          </cell>
          <cell r="AI184" t="str">
            <v>WC</v>
          </cell>
          <cell r="AJ184" t="str">
            <v>Switcboard is in poor condition due to modifications and lack of maintenance. It is an external SB and is exposed to the elemnts. This site is subject to an upgrade in the next 2 years</v>
          </cell>
        </row>
        <row r="185">
          <cell r="E185" t="str">
            <v>W0039624</v>
          </cell>
          <cell r="F185" t="str">
            <v>Allanooka Lime Dosing Plant</v>
          </cell>
          <cell r="H185" t="str">
            <v>Transformer</v>
          </cell>
          <cell r="I185" t="str">
            <v>W4000923</v>
          </cell>
          <cell r="J185" t="str">
            <v>Allanooka Plant 415v MCC</v>
          </cell>
          <cell r="K185" t="str">
            <v>FF85-41-5.1</v>
          </cell>
          <cell r="M185">
            <v>100</v>
          </cell>
          <cell r="N185">
            <v>33</v>
          </cell>
          <cell r="O185">
            <v>415</v>
          </cell>
          <cell r="V185" t="str">
            <v>MCB</v>
          </cell>
          <cell r="W185">
            <v>250</v>
          </cell>
          <cell r="X185" t="str">
            <v>FF85-40-4</v>
          </cell>
          <cell r="AA185">
            <v>415</v>
          </cell>
          <cell r="AB185">
            <v>400</v>
          </cell>
          <cell r="AC185">
            <v>10</v>
          </cell>
          <cell r="AD185">
            <v>1</v>
          </cell>
          <cell r="AE185">
            <v>2.48</v>
          </cell>
          <cell r="AF185">
            <v>1996</v>
          </cell>
          <cell r="AG185" t="str">
            <v>3B</v>
          </cell>
          <cell r="AH185" t="str">
            <v>Russell Blyth</v>
          </cell>
          <cell r="AI185" t="str">
            <v>WC</v>
          </cell>
          <cell r="AJ185" t="str">
            <v>Internal SwBd - no known issues</v>
          </cell>
        </row>
        <row r="186">
          <cell r="E186" t="str">
            <v>W0045513</v>
          </cell>
          <cell r="F186" t="str">
            <v>Capel WTP &amp; Borefield</v>
          </cell>
          <cell r="H186" t="str">
            <v>Supply Auth</v>
          </cell>
          <cell r="J186" t="str">
            <v>Main SB</v>
          </cell>
          <cell r="K186" t="str">
            <v>FF25-42-4.1</v>
          </cell>
          <cell r="N186">
            <v>22</v>
          </cell>
          <cell r="O186">
            <v>415</v>
          </cell>
          <cell r="S186" t="str">
            <v>XLPE/PVC</v>
          </cell>
          <cell r="T186" t="str">
            <v>3x1C 185mm2</v>
          </cell>
          <cell r="V186" t="str">
            <v>MCB</v>
          </cell>
          <cell r="W186">
            <v>400</v>
          </cell>
          <cell r="AG186">
            <v>2</v>
          </cell>
          <cell r="AH186" t="str">
            <v>Ian Oswald</v>
          </cell>
          <cell r="AI186" t="str">
            <v>WC</v>
          </cell>
        </row>
        <row r="187">
          <cell r="E187" t="str">
            <v>W5011995</v>
          </cell>
          <cell r="F187" t="str">
            <v>Walgoolan Booster PS</v>
          </cell>
          <cell r="G187" t="str">
            <v>E11</v>
          </cell>
          <cell r="H187" t="str">
            <v>Auxillary Transformer E4</v>
          </cell>
          <cell r="J187" t="str">
            <v>PS 415v DB</v>
          </cell>
          <cell r="K187" t="str">
            <v>FE98-42-2</v>
          </cell>
          <cell r="M187">
            <v>200</v>
          </cell>
          <cell r="N187">
            <v>22</v>
          </cell>
          <cell r="O187">
            <v>433</v>
          </cell>
          <cell r="S187" t="str">
            <v>XLPE/PVC</v>
          </cell>
          <cell r="T187" t="str">
            <v>3x1C 150mm2</v>
          </cell>
          <cell r="V187" t="str">
            <v>MCB</v>
          </cell>
          <cell r="W187">
            <v>250</v>
          </cell>
          <cell r="AA187">
            <v>415</v>
          </cell>
          <cell r="AB187">
            <v>250</v>
          </cell>
          <cell r="AC187">
            <v>25</v>
          </cell>
          <cell r="AD187">
            <v>1</v>
          </cell>
          <cell r="AH187" t="str">
            <v>Rob Van-Tiel</v>
          </cell>
          <cell r="AI187" t="str">
            <v>WC</v>
          </cell>
        </row>
        <row r="188">
          <cell r="E188" t="str">
            <v>W5004967</v>
          </cell>
          <cell r="F188" t="str">
            <v>Merredin Transfer PS</v>
          </cell>
          <cell r="H188" t="str">
            <v>Transformer</v>
          </cell>
          <cell r="J188" t="str">
            <v>415v MCC</v>
          </cell>
          <cell r="K188" t="str">
            <v>FE96-42-3.1</v>
          </cell>
          <cell r="M188">
            <v>200</v>
          </cell>
          <cell r="N188">
            <v>22</v>
          </cell>
          <cell r="O188">
            <v>415</v>
          </cell>
          <cell r="P188">
            <v>4.7E-2</v>
          </cell>
          <cell r="S188" t="str">
            <v>XLPE</v>
          </cell>
          <cell r="T188" t="str">
            <v>3x1C 120mm2</v>
          </cell>
          <cell r="V188" t="str">
            <v>MCB</v>
          </cell>
          <cell r="AA188">
            <v>415</v>
          </cell>
          <cell r="AB188">
            <v>800</v>
          </cell>
          <cell r="AC188">
            <v>50</v>
          </cell>
          <cell r="AD188">
            <v>1</v>
          </cell>
          <cell r="AF188">
            <v>2000</v>
          </cell>
          <cell r="AH188" t="str">
            <v>Rob Van-Tiel</v>
          </cell>
          <cell r="AI188" t="str">
            <v>WC</v>
          </cell>
        </row>
        <row r="189">
          <cell r="E189" t="str">
            <v>W5003650</v>
          </cell>
          <cell r="F189" t="str">
            <v>Kellerberrin Booster PS</v>
          </cell>
          <cell r="H189" t="str">
            <v>Transformer</v>
          </cell>
          <cell r="J189" t="str">
            <v>415v MCC</v>
          </cell>
          <cell r="K189" t="str">
            <v>FE95-42-4.1</v>
          </cell>
          <cell r="M189">
            <v>500</v>
          </cell>
          <cell r="N189">
            <v>22</v>
          </cell>
          <cell r="O189">
            <v>415</v>
          </cell>
          <cell r="P189">
            <v>4.7E-2</v>
          </cell>
          <cell r="S189" t="str">
            <v>XLPE</v>
          </cell>
          <cell r="T189" t="str">
            <v>3x1C 630mm2</v>
          </cell>
          <cell r="V189" t="str">
            <v>MCB</v>
          </cell>
          <cell r="W189">
            <v>800</v>
          </cell>
          <cell r="AA189">
            <v>415</v>
          </cell>
          <cell r="AB189">
            <v>800</v>
          </cell>
          <cell r="AC189">
            <v>50</v>
          </cell>
          <cell r="AD189">
            <v>1</v>
          </cell>
          <cell r="AE189">
            <v>11.25</v>
          </cell>
          <cell r="AF189">
            <v>2000</v>
          </cell>
          <cell r="AH189" t="str">
            <v>Rob Van-Tiel</v>
          </cell>
          <cell r="AI189" t="str">
            <v>WC</v>
          </cell>
        </row>
        <row r="190">
          <cell r="E190" t="str">
            <v>W0045735</v>
          </cell>
          <cell r="F190" t="str">
            <v>Quindalup GWTP</v>
          </cell>
          <cell r="H190" t="str">
            <v>Supply Auth</v>
          </cell>
          <cell r="J190" t="str">
            <v>Main SB</v>
          </cell>
          <cell r="K190" t="str">
            <v>FC30-40-1.1</v>
          </cell>
          <cell r="M190">
            <v>630</v>
          </cell>
          <cell r="N190">
            <v>22</v>
          </cell>
          <cell r="O190">
            <v>415</v>
          </cell>
          <cell r="R190">
            <v>11.1</v>
          </cell>
          <cell r="S190" t="str">
            <v>XLPE/PVC</v>
          </cell>
          <cell r="T190" t="str">
            <v>6x1C 300mm2</v>
          </cell>
          <cell r="V190" t="str">
            <v>MCB</v>
          </cell>
          <cell r="W190">
            <v>1250</v>
          </cell>
          <cell r="X190" t="str">
            <v>FC30-40-5</v>
          </cell>
          <cell r="AA190">
            <v>415</v>
          </cell>
          <cell r="AB190">
            <v>1500</v>
          </cell>
          <cell r="AC190">
            <v>18</v>
          </cell>
          <cell r="AE190">
            <v>10.9</v>
          </cell>
          <cell r="AF190">
            <v>2000</v>
          </cell>
          <cell r="AH190" t="str">
            <v>Ian Oswald</v>
          </cell>
          <cell r="AI190" t="str">
            <v>WC</v>
          </cell>
        </row>
        <row r="191">
          <cell r="E191" t="str">
            <v>S023-003-001</v>
          </cell>
          <cell r="F191" t="str">
            <v>Denmark WWTP</v>
          </cell>
          <cell r="H191" t="str">
            <v>Supply Auth</v>
          </cell>
          <cell r="J191" t="str">
            <v>MCC</v>
          </cell>
          <cell r="K191" t="str">
            <v>FB76-55-1.1</v>
          </cell>
          <cell r="M191">
            <v>200</v>
          </cell>
          <cell r="N191">
            <v>22</v>
          </cell>
          <cell r="O191">
            <v>415</v>
          </cell>
          <cell r="S191" t="str">
            <v>XLPE</v>
          </cell>
          <cell r="T191" t="str">
            <v>3x1C 120mm2</v>
          </cell>
          <cell r="V191" t="str">
            <v>MCB</v>
          </cell>
          <cell r="W191">
            <v>280</v>
          </cell>
          <cell r="AA191">
            <v>415</v>
          </cell>
          <cell r="AB191">
            <v>300</v>
          </cell>
          <cell r="AF191">
            <v>2009</v>
          </cell>
          <cell r="AH191" t="str">
            <v>Sam Cockburn</v>
          </cell>
          <cell r="AI191" t="str">
            <v>WC</v>
          </cell>
        </row>
        <row r="192">
          <cell r="E192" t="str">
            <v>S8000472</v>
          </cell>
          <cell r="F192" t="str">
            <v>Bridgetown WWTP #2</v>
          </cell>
          <cell r="H192" t="str">
            <v>Supply Auth</v>
          </cell>
          <cell r="J192" t="str">
            <v>Main SB</v>
          </cell>
          <cell r="K192" t="str">
            <v>FB55-41-3.1</v>
          </cell>
          <cell r="M192">
            <v>160</v>
          </cell>
          <cell r="N192">
            <v>22</v>
          </cell>
          <cell r="O192">
            <v>415</v>
          </cell>
          <cell r="S192" t="str">
            <v>PVC</v>
          </cell>
          <cell r="T192" t="str">
            <v>3x1C 120mm2</v>
          </cell>
          <cell r="V192" t="str">
            <v>MCB</v>
          </cell>
          <cell r="W192">
            <v>250</v>
          </cell>
          <cell r="AA192">
            <v>415</v>
          </cell>
          <cell r="AB192">
            <v>630</v>
          </cell>
          <cell r="AC192">
            <v>10</v>
          </cell>
          <cell r="AD192">
            <v>1</v>
          </cell>
          <cell r="AF192">
            <v>2001</v>
          </cell>
          <cell r="AH192" t="str">
            <v>Doug Clapp</v>
          </cell>
          <cell r="AI192" t="str">
            <v>WC</v>
          </cell>
        </row>
        <row r="193">
          <cell r="E193" t="str">
            <v>W1004408</v>
          </cell>
          <cell r="F193" t="str">
            <v>Stirling Dam Trunk Main Chemical Dosing Plant</v>
          </cell>
          <cell r="H193" t="str">
            <v>Main SB</v>
          </cell>
          <cell r="J193" t="str">
            <v>Control Building SB</v>
          </cell>
          <cell r="K193" t="str">
            <v>FB36-40-1.1</v>
          </cell>
          <cell r="M193">
            <v>630</v>
          </cell>
          <cell r="N193">
            <v>22</v>
          </cell>
          <cell r="O193">
            <v>415</v>
          </cell>
          <cell r="V193" t="str">
            <v>MCB</v>
          </cell>
          <cell r="W193">
            <v>1000</v>
          </cell>
          <cell r="AA193">
            <v>415</v>
          </cell>
          <cell r="AC193">
            <v>16</v>
          </cell>
          <cell r="AE193">
            <v>10.6</v>
          </cell>
          <cell r="AG193">
            <v>2</v>
          </cell>
          <cell r="AH193" t="str">
            <v>Craig Warner</v>
          </cell>
          <cell r="AI193" t="str">
            <v>Aroona Alliance</v>
          </cell>
        </row>
        <row r="194">
          <cell r="E194" t="str">
            <v>W1005931</v>
          </cell>
          <cell r="F194" t="str">
            <v>Tamworth Hill PS</v>
          </cell>
          <cell r="G194" t="str">
            <v>E108</v>
          </cell>
          <cell r="H194" t="str">
            <v>Auxillary</v>
          </cell>
          <cell r="K194" t="str">
            <v>FB22-46-10.1</v>
          </cell>
          <cell r="M194">
            <v>200</v>
          </cell>
          <cell r="N194">
            <v>22</v>
          </cell>
          <cell r="O194">
            <v>433</v>
          </cell>
          <cell r="P194">
            <v>0.04</v>
          </cell>
          <cell r="R194">
            <v>6.7</v>
          </cell>
          <cell r="S194" t="str">
            <v>XLPE/PVC</v>
          </cell>
          <cell r="T194" t="str">
            <v>3x1C 185mm2</v>
          </cell>
          <cell r="V194" t="str">
            <v>MCB</v>
          </cell>
          <cell r="W194">
            <v>300</v>
          </cell>
          <cell r="AA194">
            <v>415</v>
          </cell>
          <cell r="AB194">
            <v>300</v>
          </cell>
          <cell r="AC194">
            <v>10</v>
          </cell>
          <cell r="AD194">
            <v>1</v>
          </cell>
          <cell r="AE194">
            <v>6.1</v>
          </cell>
          <cell r="AF194">
            <v>2009</v>
          </cell>
          <cell r="AH194" t="str">
            <v>Craig Warner</v>
          </cell>
          <cell r="AI194" t="str">
            <v>Aroona Alliance</v>
          </cell>
        </row>
        <row r="195">
          <cell r="F195" t="str">
            <v>Stirling Dam DN1400 Trunk Main</v>
          </cell>
          <cell r="H195" t="str">
            <v>Supply Auth</v>
          </cell>
          <cell r="J195" t="str">
            <v>Main SB</v>
          </cell>
          <cell r="K195" t="str">
            <v>FB19-42-1.1</v>
          </cell>
          <cell r="M195">
            <v>315</v>
          </cell>
          <cell r="N195">
            <v>22</v>
          </cell>
          <cell r="O195">
            <v>415</v>
          </cell>
          <cell r="V195" t="str">
            <v>MCB</v>
          </cell>
          <cell r="W195">
            <v>100</v>
          </cell>
          <cell r="AF195">
            <v>2003</v>
          </cell>
          <cell r="AH195" t="str">
            <v>Craig Warner</v>
          </cell>
          <cell r="AI195" t="str">
            <v>Aroona Alliance</v>
          </cell>
        </row>
        <row r="196">
          <cell r="E196" t="str">
            <v>S0034072</v>
          </cell>
          <cell r="F196" t="str">
            <v>Belmont PS</v>
          </cell>
          <cell r="H196" t="str">
            <v>Auxillary Tx</v>
          </cell>
          <cell r="J196" t="str">
            <v>Pump SB #1 &amp; #2</v>
          </cell>
          <cell r="K196" t="str">
            <v>FA67-40-1.3</v>
          </cell>
          <cell r="M196">
            <v>100</v>
          </cell>
          <cell r="N196">
            <v>22</v>
          </cell>
          <cell r="O196">
            <v>415</v>
          </cell>
          <cell r="S196" t="str">
            <v>XLPE</v>
          </cell>
          <cell r="T196" t="str">
            <v>4x1C 70mm2</v>
          </cell>
          <cell r="V196" t="str">
            <v>MCB</v>
          </cell>
          <cell r="W196">
            <v>160</v>
          </cell>
          <cell r="AA196">
            <v>415</v>
          </cell>
          <cell r="AB196">
            <v>250</v>
          </cell>
          <cell r="AC196">
            <v>16</v>
          </cell>
          <cell r="AD196">
            <v>1</v>
          </cell>
          <cell r="AH196" t="str">
            <v>Craig Warner</v>
          </cell>
          <cell r="AI196" t="str">
            <v>Aroona Alliance</v>
          </cell>
        </row>
        <row r="197">
          <cell r="E197" t="str">
            <v>S0034073</v>
          </cell>
          <cell r="F197" t="str">
            <v>Belmont PS</v>
          </cell>
          <cell r="H197" t="str">
            <v>Transformers #1, #2 &amp; #3</v>
          </cell>
          <cell r="J197" t="str">
            <v>690v Main SB</v>
          </cell>
          <cell r="K197" t="str">
            <v>FA67-40-1.2</v>
          </cell>
          <cell r="M197">
            <v>1600</v>
          </cell>
          <cell r="N197">
            <v>22</v>
          </cell>
          <cell r="O197">
            <v>690</v>
          </cell>
          <cell r="S197" t="str">
            <v>MIMS</v>
          </cell>
          <cell r="T197" t="str">
            <v>6x1C 300mm2</v>
          </cell>
          <cell r="V197" t="str">
            <v>MCB</v>
          </cell>
          <cell r="W197">
            <v>2000</v>
          </cell>
          <cell r="X197" t="str">
            <v>FA67-40-2.1</v>
          </cell>
          <cell r="AA197">
            <v>690</v>
          </cell>
          <cell r="AB197">
            <v>3000</v>
          </cell>
          <cell r="AC197">
            <v>80</v>
          </cell>
          <cell r="AD197">
            <v>1</v>
          </cell>
          <cell r="AE197">
            <v>34.299999999999997</v>
          </cell>
          <cell r="AF197">
            <v>1999</v>
          </cell>
          <cell r="AH197" t="str">
            <v>Craig Warner</v>
          </cell>
          <cell r="AI197" t="str">
            <v>Aroona Alliance</v>
          </cell>
        </row>
        <row r="198">
          <cell r="F198" t="str">
            <v>Yarragadee Artesian Bores W7</v>
          </cell>
          <cell r="H198" t="str">
            <v>Kiosk Transformer</v>
          </cell>
          <cell r="J198" t="str">
            <v>Bore W7</v>
          </cell>
          <cell r="K198" t="str">
            <v>EZ65-41-3</v>
          </cell>
          <cell r="M198">
            <v>1120</v>
          </cell>
          <cell r="N198">
            <v>22</v>
          </cell>
          <cell r="O198">
            <v>460</v>
          </cell>
          <cell r="V198" t="str">
            <v>MCB</v>
          </cell>
          <cell r="W198">
            <v>1300</v>
          </cell>
          <cell r="AA198">
            <v>460</v>
          </cell>
          <cell r="AF198">
            <v>1999</v>
          </cell>
          <cell r="AH198" t="str">
            <v>Dean Rayner</v>
          </cell>
          <cell r="AI198" t="str">
            <v>Aroona Alliance</v>
          </cell>
        </row>
        <row r="199">
          <cell r="F199" t="str">
            <v>Yarragadee Artesian Bores W57</v>
          </cell>
          <cell r="H199" t="str">
            <v>Kiosk Transformer</v>
          </cell>
          <cell r="J199" t="str">
            <v>Bore W57</v>
          </cell>
          <cell r="K199" t="str">
            <v>EZ65-42-3</v>
          </cell>
          <cell r="M199">
            <v>1120</v>
          </cell>
          <cell r="N199">
            <v>22</v>
          </cell>
          <cell r="O199">
            <v>460</v>
          </cell>
          <cell r="V199" t="str">
            <v>MCB</v>
          </cell>
          <cell r="W199">
            <v>1300</v>
          </cell>
          <cell r="AA199">
            <v>460</v>
          </cell>
          <cell r="AF199">
            <v>1999</v>
          </cell>
          <cell r="AH199" t="str">
            <v>Dean Rayner</v>
          </cell>
          <cell r="AI199" t="str">
            <v>Aroona Alliance</v>
          </cell>
        </row>
        <row r="200">
          <cell r="F200" t="str">
            <v>Yarragadee Artesian Bores W257</v>
          </cell>
          <cell r="H200" t="str">
            <v>Kiosk Transformer</v>
          </cell>
          <cell r="J200" t="str">
            <v>Bore W257</v>
          </cell>
          <cell r="K200" t="str">
            <v>EZ65-43-3</v>
          </cell>
          <cell r="M200">
            <v>1120</v>
          </cell>
          <cell r="N200">
            <v>22</v>
          </cell>
          <cell r="O200">
            <v>460</v>
          </cell>
          <cell r="V200" t="str">
            <v>MCB</v>
          </cell>
          <cell r="W200">
            <v>1300</v>
          </cell>
          <cell r="AA200">
            <v>460</v>
          </cell>
          <cell r="AF200">
            <v>1999</v>
          </cell>
          <cell r="AH200" t="str">
            <v>Dean Rayner</v>
          </cell>
          <cell r="AI200" t="str">
            <v>Aroona Alliance</v>
          </cell>
        </row>
        <row r="201">
          <cell r="E201" t="str">
            <v>S8000642</v>
          </cell>
          <cell r="F201" t="str">
            <v>Dunsborough WWTP #2</v>
          </cell>
          <cell r="H201" t="str">
            <v>Metering Cubicle</v>
          </cell>
          <cell r="J201" t="str">
            <v>Main SB</v>
          </cell>
          <cell r="K201" t="str">
            <v>EW37-41-4.1</v>
          </cell>
          <cell r="M201">
            <v>315</v>
          </cell>
          <cell r="N201">
            <v>22</v>
          </cell>
          <cell r="O201">
            <v>415</v>
          </cell>
          <cell r="S201" t="str">
            <v>XLPE/PVC</v>
          </cell>
          <cell r="T201" t="str">
            <v>4x1C 240mm2</v>
          </cell>
          <cell r="V201" t="str">
            <v>MCB</v>
          </cell>
          <cell r="Y201" t="str">
            <v>Harwal</v>
          </cell>
          <cell r="Z201" t="str">
            <v>Harwal</v>
          </cell>
          <cell r="AA201">
            <v>1000</v>
          </cell>
          <cell r="AB201">
            <v>800</v>
          </cell>
          <cell r="AC201">
            <v>30</v>
          </cell>
          <cell r="AD201">
            <v>1</v>
          </cell>
          <cell r="AF201">
            <v>2000</v>
          </cell>
          <cell r="AH201" t="str">
            <v>Doug Clapp</v>
          </cell>
          <cell r="AI201" t="str">
            <v>WC</v>
          </cell>
        </row>
        <row r="202">
          <cell r="E202" t="str">
            <v>S2001394</v>
          </cell>
          <cell r="F202" t="str">
            <v>Barrambie SPS / Lord Street PS</v>
          </cell>
          <cell r="H202" t="str">
            <v>Supply Auth</v>
          </cell>
          <cell r="I202" t="str">
            <v>S2003398</v>
          </cell>
          <cell r="J202" t="str">
            <v>Main SB</v>
          </cell>
          <cell r="K202" t="str">
            <v>EU20-40-1</v>
          </cell>
          <cell r="M202">
            <v>315</v>
          </cell>
          <cell r="N202">
            <v>22</v>
          </cell>
          <cell r="O202">
            <v>415</v>
          </cell>
          <cell r="R202">
            <v>7.7</v>
          </cell>
          <cell r="S202" t="str">
            <v>XLPE/PVC</v>
          </cell>
          <cell r="T202" t="str">
            <v>3x1C 240mm2</v>
          </cell>
          <cell r="V202" t="str">
            <v>MCB</v>
          </cell>
          <cell r="W202">
            <v>630</v>
          </cell>
          <cell r="AF202">
            <v>1998</v>
          </cell>
          <cell r="AH202" t="str">
            <v>Dave Sutton</v>
          </cell>
          <cell r="AI202" t="str">
            <v>WC</v>
          </cell>
          <cell r="AJ202" t="str">
            <v>This is now called Barrambie SPS</v>
          </cell>
        </row>
        <row r="203">
          <cell r="E203" t="str">
            <v>S081-001-003</v>
          </cell>
          <cell r="F203" t="str">
            <v>Busselton WWTP #1</v>
          </cell>
          <cell r="H203" t="str">
            <v>Supply Auth</v>
          </cell>
          <cell r="J203" t="str">
            <v>MCC #1</v>
          </cell>
          <cell r="K203" t="str">
            <v>ES53-41-1</v>
          </cell>
          <cell r="M203">
            <v>630</v>
          </cell>
          <cell r="N203">
            <v>22</v>
          </cell>
          <cell r="O203">
            <v>415</v>
          </cell>
          <cell r="U203">
            <v>12</v>
          </cell>
          <cell r="V203" t="str">
            <v>MCB</v>
          </cell>
          <cell r="W203">
            <v>1200</v>
          </cell>
          <cell r="Y203" t="str">
            <v>CPE</v>
          </cell>
          <cell r="Z203" t="str">
            <v>CPE</v>
          </cell>
          <cell r="AA203">
            <v>600</v>
          </cell>
          <cell r="AB203">
            <v>1250</v>
          </cell>
          <cell r="AC203">
            <v>50</v>
          </cell>
          <cell r="AD203">
            <v>1</v>
          </cell>
          <cell r="AF203">
            <v>1998</v>
          </cell>
          <cell r="AH203" t="str">
            <v>Doug Clapp</v>
          </cell>
          <cell r="AI203" t="str">
            <v>WC</v>
          </cell>
        </row>
        <row r="204">
          <cell r="E204" t="str">
            <v>W0007709</v>
          </cell>
          <cell r="F204" t="str">
            <v>Neerabup WTP</v>
          </cell>
          <cell r="G204" t="str">
            <v>7501MC</v>
          </cell>
          <cell r="H204" t="str">
            <v>Tr #7601TR &amp; #7602TR</v>
          </cell>
          <cell r="J204" t="str">
            <v>Chemical Building SCA</v>
          </cell>
          <cell r="K204" t="str">
            <v>EM06-41-7</v>
          </cell>
          <cell r="M204">
            <v>500</v>
          </cell>
          <cell r="N204">
            <v>22</v>
          </cell>
          <cell r="O204">
            <v>440</v>
          </cell>
          <cell r="S204" t="str">
            <v>XLPE/PVC</v>
          </cell>
          <cell r="T204" t="str">
            <v>6x1C 150mm2</v>
          </cell>
          <cell r="V204" t="str">
            <v>MCB</v>
          </cell>
          <cell r="W204">
            <v>630</v>
          </cell>
          <cell r="AA204">
            <v>415</v>
          </cell>
          <cell r="AB204">
            <v>700</v>
          </cell>
          <cell r="AC204">
            <v>25</v>
          </cell>
          <cell r="AD204">
            <v>1</v>
          </cell>
          <cell r="AF204">
            <v>1997</v>
          </cell>
          <cell r="AH204" t="str">
            <v>Dean Rayner</v>
          </cell>
          <cell r="AI204" t="str">
            <v>Aroona Alliance</v>
          </cell>
        </row>
        <row r="205">
          <cell r="E205" t="str">
            <v>W0007709</v>
          </cell>
          <cell r="F205" t="str">
            <v>Neerabup WTP</v>
          </cell>
          <cell r="G205" t="str">
            <v>4403MC</v>
          </cell>
          <cell r="H205" t="str">
            <v>Tr #7601TR &amp; #7602TR</v>
          </cell>
          <cell r="J205" t="str">
            <v>Pumping Station SCA</v>
          </cell>
          <cell r="K205" t="str">
            <v>EM06-41-7</v>
          </cell>
          <cell r="M205">
            <v>500</v>
          </cell>
          <cell r="N205">
            <v>22</v>
          </cell>
          <cell r="O205">
            <v>440</v>
          </cell>
          <cell r="S205" t="str">
            <v>XLPE/PVC</v>
          </cell>
          <cell r="T205" t="str">
            <v>6x1C 150mm2</v>
          </cell>
          <cell r="V205" t="str">
            <v>MCB</v>
          </cell>
          <cell r="W205">
            <v>630</v>
          </cell>
          <cell r="AA205">
            <v>415</v>
          </cell>
          <cell r="AB205">
            <v>700</v>
          </cell>
          <cell r="AC205">
            <v>25</v>
          </cell>
          <cell r="AD205">
            <v>1</v>
          </cell>
          <cell r="AF205">
            <v>1997</v>
          </cell>
          <cell r="AH205" t="str">
            <v>Dean Rayner</v>
          </cell>
          <cell r="AI205" t="str">
            <v>Aroona Alliance</v>
          </cell>
        </row>
        <row r="206">
          <cell r="E206" t="str">
            <v>W1001652</v>
          </cell>
          <cell r="F206" t="str">
            <v>Lexia Clear Water PS</v>
          </cell>
          <cell r="G206" t="str">
            <v>SCA01</v>
          </cell>
          <cell r="H206" t="str">
            <v>Transformer #1</v>
          </cell>
          <cell r="K206" t="str">
            <v>EL31-42-2</v>
          </cell>
          <cell r="M206">
            <v>1500</v>
          </cell>
          <cell r="N206">
            <v>22</v>
          </cell>
          <cell r="O206">
            <v>433</v>
          </cell>
          <cell r="V206" t="str">
            <v>MCB</v>
          </cell>
          <cell r="W206">
            <v>1250</v>
          </cell>
          <cell r="AA206">
            <v>415</v>
          </cell>
          <cell r="AB206">
            <v>3000</v>
          </cell>
          <cell r="AC206">
            <v>40</v>
          </cell>
          <cell r="AD206">
            <v>1</v>
          </cell>
          <cell r="AF206">
            <v>1999</v>
          </cell>
          <cell r="AH206" t="str">
            <v>Dean Rayner</v>
          </cell>
          <cell r="AI206" t="str">
            <v>Aroona Alliance</v>
          </cell>
        </row>
        <row r="207">
          <cell r="E207" t="str">
            <v>W1001652</v>
          </cell>
          <cell r="F207" t="str">
            <v>Lexia Clear Water PS</v>
          </cell>
          <cell r="G207" t="str">
            <v>SCA02</v>
          </cell>
          <cell r="H207" t="str">
            <v>Transformer #2</v>
          </cell>
          <cell r="J207" t="str">
            <v>Chemical Building SCA</v>
          </cell>
          <cell r="K207" t="str">
            <v>EL31-42-3</v>
          </cell>
          <cell r="M207">
            <v>1500</v>
          </cell>
          <cell r="N207">
            <v>22</v>
          </cell>
          <cell r="O207">
            <v>433</v>
          </cell>
          <cell r="V207" t="str">
            <v>MCB</v>
          </cell>
          <cell r="W207">
            <v>1250</v>
          </cell>
          <cell r="AA207">
            <v>415</v>
          </cell>
          <cell r="AB207">
            <v>3000</v>
          </cell>
          <cell r="AC207">
            <v>40</v>
          </cell>
          <cell r="AD207">
            <v>1</v>
          </cell>
          <cell r="AF207">
            <v>1999</v>
          </cell>
          <cell r="AH207" t="str">
            <v>Dean Rayner</v>
          </cell>
          <cell r="AI207" t="str">
            <v>Aroona Alliance</v>
          </cell>
        </row>
        <row r="208">
          <cell r="E208" t="str">
            <v>W1001652</v>
          </cell>
          <cell r="F208" t="str">
            <v>Lexia Clear Water PS</v>
          </cell>
          <cell r="G208" t="str">
            <v>SCA03</v>
          </cell>
          <cell r="H208" t="str">
            <v>SCA02</v>
          </cell>
          <cell r="J208" t="str">
            <v>Chlorine Building SCA</v>
          </cell>
          <cell r="K208" t="str">
            <v>EL31-42-4</v>
          </cell>
          <cell r="V208" t="str">
            <v>Fuse</v>
          </cell>
          <cell r="W208">
            <v>100</v>
          </cell>
          <cell r="AA208">
            <v>415</v>
          </cell>
          <cell r="AB208">
            <v>200</v>
          </cell>
          <cell r="AC208">
            <v>1</v>
          </cell>
          <cell r="AD208">
            <v>1</v>
          </cell>
          <cell r="AF208">
            <v>1999</v>
          </cell>
          <cell r="AH208" t="str">
            <v>Dean Rayner</v>
          </cell>
          <cell r="AI208" t="str">
            <v>Aroona Alliance</v>
          </cell>
        </row>
        <row r="209">
          <cell r="E209" t="str">
            <v>W4000920</v>
          </cell>
          <cell r="F209" t="str">
            <v>Lancelin Seaview Park WTP</v>
          </cell>
          <cell r="H209" t="str">
            <v>Supply Auth</v>
          </cell>
          <cell r="K209" t="str">
            <v>EL25-1-1</v>
          </cell>
          <cell r="M209">
            <v>100</v>
          </cell>
          <cell r="N209">
            <v>22</v>
          </cell>
          <cell r="O209">
            <v>415</v>
          </cell>
          <cell r="S209" t="str">
            <v>PVC/PVC</v>
          </cell>
          <cell r="T209" t="str">
            <v>4C 70mm2</v>
          </cell>
          <cell r="U209">
            <v>40</v>
          </cell>
          <cell r="V209" t="str">
            <v>MCB</v>
          </cell>
          <cell r="W209">
            <v>250</v>
          </cell>
          <cell r="AA209">
            <v>415</v>
          </cell>
          <cell r="AB209">
            <v>500</v>
          </cell>
          <cell r="AC209">
            <v>25</v>
          </cell>
          <cell r="AD209">
            <v>1</v>
          </cell>
          <cell r="AF209">
            <v>1995</v>
          </cell>
          <cell r="AH209" t="str">
            <v>Russell Blyth</v>
          </cell>
          <cell r="AI209" t="str">
            <v>WC</v>
          </cell>
          <cell r="AJ209" t="str">
            <v>Contractor supplied - no known issues</v>
          </cell>
        </row>
        <row r="210">
          <cell r="E210" t="str">
            <v>S081-001-003</v>
          </cell>
          <cell r="F210" t="str">
            <v>Busselton WWTP #1</v>
          </cell>
          <cell r="H210" t="str">
            <v>Supply Auth</v>
          </cell>
          <cell r="J210" t="str">
            <v>415v MCC</v>
          </cell>
          <cell r="K210" t="str">
            <v>EL10-41-3.1</v>
          </cell>
          <cell r="M210">
            <v>750</v>
          </cell>
          <cell r="N210">
            <v>22</v>
          </cell>
          <cell r="O210">
            <v>415</v>
          </cell>
          <cell r="V210" t="str">
            <v>MCB</v>
          </cell>
          <cell r="W210">
            <v>1500</v>
          </cell>
          <cell r="AF210">
            <v>1997</v>
          </cell>
          <cell r="AH210" t="str">
            <v>Doug Clapp</v>
          </cell>
          <cell r="AI210" t="str">
            <v>WC</v>
          </cell>
          <cell r="AJ210" t="str">
            <v>Not built, future upgrades</v>
          </cell>
        </row>
        <row r="211">
          <cell r="E211" t="str">
            <v>S038-002-004</v>
          </cell>
          <cell r="F211" t="str">
            <v>Broome Effluent PS</v>
          </cell>
          <cell r="H211" t="str">
            <v>Supply Auth</v>
          </cell>
          <cell r="I211" t="str">
            <v>S3001399</v>
          </cell>
          <cell r="J211" t="str">
            <v>PS SB</v>
          </cell>
          <cell r="K211" t="str">
            <v>EK58-41-4.1</v>
          </cell>
          <cell r="M211">
            <v>315</v>
          </cell>
          <cell r="N211">
            <v>11</v>
          </cell>
          <cell r="O211">
            <v>433</v>
          </cell>
          <cell r="P211">
            <v>4.8000000000000001E-2</v>
          </cell>
          <cell r="S211" t="str">
            <v>XLPE/PVC</v>
          </cell>
          <cell r="T211" t="str">
            <v>3x1C 300mm2</v>
          </cell>
          <cell r="U211">
            <v>40</v>
          </cell>
          <cell r="V211" t="str">
            <v>MCB</v>
          </cell>
          <cell r="W211">
            <v>441</v>
          </cell>
          <cell r="AA211">
            <v>415</v>
          </cell>
          <cell r="AB211">
            <v>900</v>
          </cell>
          <cell r="AC211">
            <v>50</v>
          </cell>
          <cell r="AD211">
            <v>1</v>
          </cell>
          <cell r="AE211">
            <v>8</v>
          </cell>
          <cell r="AF211">
            <v>2008</v>
          </cell>
          <cell r="AG211" t="str">
            <v>3B</v>
          </cell>
          <cell r="AH211" t="str">
            <v>Steve Farquhar</v>
          </cell>
          <cell r="AI211" t="str">
            <v>WC</v>
          </cell>
          <cell r="AJ211" t="str">
            <v>New installation. Visual inspection indicates it is in good condition</v>
          </cell>
        </row>
        <row r="212">
          <cell r="E212" t="str">
            <v>W0059650</v>
          </cell>
          <cell r="F212" t="str">
            <v>Neerabup Transfer PS</v>
          </cell>
          <cell r="G212" t="str">
            <v>SB2</v>
          </cell>
          <cell r="H212" t="str">
            <v>Transformer #1 &amp; #2</v>
          </cell>
          <cell r="J212" t="str">
            <v>LV Main SB</v>
          </cell>
          <cell r="K212" t="str">
            <v>EG40-42-2.1</v>
          </cell>
          <cell r="M212">
            <v>1000</v>
          </cell>
          <cell r="N212">
            <v>22</v>
          </cell>
          <cell r="O212">
            <v>415</v>
          </cell>
          <cell r="S212" t="str">
            <v>PVC/PVC</v>
          </cell>
          <cell r="T212" t="str">
            <v>2x1C 500mm2</v>
          </cell>
          <cell r="V212" t="str">
            <v>MCB</v>
          </cell>
          <cell r="W212">
            <v>1600</v>
          </cell>
          <cell r="X212" t="str">
            <v>EG40-40-2</v>
          </cell>
          <cell r="AA212">
            <v>415</v>
          </cell>
          <cell r="AB212">
            <v>2000</v>
          </cell>
          <cell r="AC212">
            <v>50</v>
          </cell>
          <cell r="AE212">
            <v>42.3</v>
          </cell>
          <cell r="AF212">
            <v>1997</v>
          </cell>
          <cell r="AG212">
            <v>1</v>
          </cell>
          <cell r="AH212" t="str">
            <v>Dean Rayner</v>
          </cell>
          <cell r="AI212" t="str">
            <v>Aroona Alliance</v>
          </cell>
        </row>
        <row r="213">
          <cell r="E213" t="str">
            <v>W0059651</v>
          </cell>
          <cell r="F213" t="str">
            <v>Neerabup Transfer PS</v>
          </cell>
          <cell r="G213" t="str">
            <v>DB1</v>
          </cell>
          <cell r="H213" t="str">
            <v>SB2</v>
          </cell>
          <cell r="J213" t="str">
            <v>LV DB</v>
          </cell>
          <cell r="K213" t="str">
            <v>EG40-42-2.2</v>
          </cell>
          <cell r="R213">
            <v>42.3</v>
          </cell>
          <cell r="S213" t="str">
            <v>PVC/PVC</v>
          </cell>
          <cell r="T213" t="str">
            <v>4C 4mm2</v>
          </cell>
          <cell r="V213" t="str">
            <v>Fuse</v>
          </cell>
          <cell r="W213">
            <v>32</v>
          </cell>
          <cell r="AA213">
            <v>415</v>
          </cell>
          <cell r="AB213">
            <v>250</v>
          </cell>
          <cell r="AC213">
            <v>25</v>
          </cell>
          <cell r="AD213">
            <v>0.1</v>
          </cell>
          <cell r="AF213">
            <v>1997</v>
          </cell>
          <cell r="AG213">
            <v>1</v>
          </cell>
          <cell r="AH213" t="str">
            <v>Dean Rayner</v>
          </cell>
          <cell r="AI213" t="str">
            <v>Aroona Alliance</v>
          </cell>
        </row>
        <row r="214">
          <cell r="F214" t="str">
            <v>Yule Borefield Bore #16/96</v>
          </cell>
          <cell r="H214" t="str">
            <v>WaterCorp Transformer</v>
          </cell>
          <cell r="J214" t="str">
            <v>Main CB &amp; Motor Starter</v>
          </cell>
          <cell r="K214" t="str">
            <v>EF82-48-5.1</v>
          </cell>
          <cell r="M214">
            <v>200</v>
          </cell>
          <cell r="N214">
            <v>22</v>
          </cell>
          <cell r="O214">
            <v>415</v>
          </cell>
          <cell r="R214">
            <v>5.4</v>
          </cell>
          <cell r="S214" t="str">
            <v>XLPE/PVC</v>
          </cell>
          <cell r="T214" t="str">
            <v>3x1C 240mm2</v>
          </cell>
          <cell r="V214" t="str">
            <v>MCB</v>
          </cell>
          <cell r="W214">
            <v>400</v>
          </cell>
          <cell r="X214" t="str">
            <v>EF82-40-2.6</v>
          </cell>
          <cell r="AA214">
            <v>415</v>
          </cell>
          <cell r="AF214">
            <v>1998</v>
          </cell>
          <cell r="AH214" t="str">
            <v>Steve Farquhar</v>
          </cell>
          <cell r="AI214" t="str">
            <v>WC</v>
          </cell>
          <cell r="AJ214" t="str">
            <v>Site is similar to another 10 sites in the borefield</v>
          </cell>
        </row>
        <row r="215">
          <cell r="E215" t="str">
            <v>W0026284</v>
          </cell>
          <cell r="F215" t="str">
            <v>Yule PS</v>
          </cell>
          <cell r="H215" t="str">
            <v>Kiosk Transformer</v>
          </cell>
          <cell r="J215" t="str">
            <v>PS Main SB</v>
          </cell>
          <cell r="K215" t="str">
            <v>EF81-42-1</v>
          </cell>
          <cell r="M215">
            <v>500</v>
          </cell>
          <cell r="N215">
            <v>22</v>
          </cell>
          <cell r="O215">
            <v>415</v>
          </cell>
          <cell r="S215" t="str">
            <v>XLPE</v>
          </cell>
          <cell r="T215" t="str">
            <v>6x1C 300mm2</v>
          </cell>
          <cell r="V215" t="str">
            <v>MCB</v>
          </cell>
          <cell r="W215">
            <v>800</v>
          </cell>
          <cell r="X215" t="str">
            <v>EF81-40-3</v>
          </cell>
          <cell r="AA215">
            <v>415</v>
          </cell>
          <cell r="AB215">
            <v>800</v>
          </cell>
          <cell r="AC215">
            <v>16</v>
          </cell>
          <cell r="AD215">
            <v>1</v>
          </cell>
          <cell r="AE215">
            <v>9.6</v>
          </cell>
          <cell r="AF215">
            <v>1997</v>
          </cell>
          <cell r="AG215">
            <v>1</v>
          </cell>
          <cell r="AH215" t="str">
            <v>Steve Farquhar</v>
          </cell>
          <cell r="AI215" t="str">
            <v>WC</v>
          </cell>
          <cell r="AJ215" t="str">
            <v xml:space="preserve">Site is in good condition. Switchroom is air conditioned and used as an office. </v>
          </cell>
        </row>
        <row r="216">
          <cell r="E216" t="str">
            <v>S089-001-003</v>
          </cell>
          <cell r="F216" t="str">
            <v>Mandurah WWTP #2</v>
          </cell>
          <cell r="G216" t="str">
            <v>MC03100</v>
          </cell>
          <cell r="H216" t="str">
            <v>TF03101</v>
          </cell>
          <cell r="J216" t="str">
            <v>415v MCC LV Switchroom #2</v>
          </cell>
          <cell r="K216" t="str">
            <v>EF32-41-200.1</v>
          </cell>
          <cell r="L216" t="str">
            <v>TMC</v>
          </cell>
          <cell r="M216">
            <v>800</v>
          </cell>
          <cell r="N216">
            <v>22</v>
          </cell>
          <cell r="O216">
            <v>433</v>
          </cell>
          <cell r="P216">
            <v>5.5E-2</v>
          </cell>
          <cell r="S216" t="str">
            <v>XLPE/PVC</v>
          </cell>
          <cell r="T216" t="str">
            <v>9x1C 300mm2</v>
          </cell>
          <cell r="U216">
            <v>50</v>
          </cell>
          <cell r="V216" t="str">
            <v>MCB</v>
          </cell>
          <cell r="W216">
            <v>1250</v>
          </cell>
          <cell r="Y216" t="str">
            <v>Sivacon</v>
          </cell>
          <cell r="Z216" t="str">
            <v>Kounis</v>
          </cell>
          <cell r="AA216">
            <v>500</v>
          </cell>
          <cell r="AB216">
            <v>1500</v>
          </cell>
          <cell r="AC216">
            <v>50</v>
          </cell>
          <cell r="AD216">
            <v>1</v>
          </cell>
          <cell r="AF216">
            <v>2007</v>
          </cell>
          <cell r="AH216" t="str">
            <v>Chris Cooper</v>
          </cell>
          <cell r="AI216" t="str">
            <v>Aroona Alliance</v>
          </cell>
          <cell r="AJ216" t="str">
            <v>New</v>
          </cell>
        </row>
        <row r="217">
          <cell r="E217" t="str">
            <v>S089-001-003</v>
          </cell>
          <cell r="F217" t="str">
            <v>Mandurah WWTP #2</v>
          </cell>
          <cell r="H217" t="str">
            <v>Transformer</v>
          </cell>
          <cell r="I217" t="str">
            <v>S8000194</v>
          </cell>
          <cell r="J217" t="str">
            <v>440V MCC #1</v>
          </cell>
          <cell r="K217" t="str">
            <v>EF32-42-2.1</v>
          </cell>
          <cell r="L217" t="str">
            <v>Westralian Transformers</v>
          </cell>
          <cell r="M217">
            <v>300</v>
          </cell>
          <cell r="N217">
            <v>22</v>
          </cell>
          <cell r="O217">
            <v>440</v>
          </cell>
          <cell r="P217">
            <v>4.7E-2</v>
          </cell>
          <cell r="S217" t="str">
            <v>XLPE/PVC</v>
          </cell>
          <cell r="T217" t="str">
            <v>4x1C 185mm2</v>
          </cell>
          <cell r="U217">
            <v>15</v>
          </cell>
          <cell r="V217" t="str">
            <v>MCB</v>
          </cell>
          <cell r="W217">
            <v>600</v>
          </cell>
          <cell r="X217" t="str">
            <v>EF32-41-102.1</v>
          </cell>
          <cell r="AA217">
            <v>440</v>
          </cell>
          <cell r="AB217">
            <v>600</v>
          </cell>
          <cell r="AC217">
            <v>40</v>
          </cell>
          <cell r="AE217">
            <v>17.5</v>
          </cell>
          <cell r="AF217">
            <v>1997</v>
          </cell>
          <cell r="AG217" t="str">
            <v>3B</v>
          </cell>
          <cell r="AH217" t="str">
            <v>Chris Cooper</v>
          </cell>
          <cell r="AI217" t="str">
            <v>Aroona Alliance</v>
          </cell>
        </row>
        <row r="218">
          <cell r="E218" t="str">
            <v>S0033080</v>
          </cell>
          <cell r="F218" t="str">
            <v xml:space="preserve">Cannington Wastewater Main PS </v>
          </cell>
          <cell r="H218" t="str">
            <v>Supply Auth</v>
          </cell>
          <cell r="I218" t="str">
            <v>S0033091</v>
          </cell>
          <cell r="J218" t="str">
            <v>Main SB</v>
          </cell>
          <cell r="K218" t="str">
            <v>EF03-40-3.1</v>
          </cell>
          <cell r="M218">
            <v>630</v>
          </cell>
          <cell r="N218">
            <v>22</v>
          </cell>
          <cell r="O218">
            <v>433</v>
          </cell>
          <cell r="P218">
            <v>0.04</v>
          </cell>
          <cell r="R218">
            <v>18.399999999999999</v>
          </cell>
          <cell r="S218" t="str">
            <v>XLPE/PVC</v>
          </cell>
          <cell r="T218" t="str">
            <v>2x1C 240mm2</v>
          </cell>
          <cell r="V218" t="str">
            <v>MCB</v>
          </cell>
          <cell r="W218">
            <v>640</v>
          </cell>
          <cell r="X218" t="str">
            <v>EF03-40-6</v>
          </cell>
          <cell r="AA218">
            <v>500</v>
          </cell>
          <cell r="AB218">
            <v>800</v>
          </cell>
          <cell r="AC218">
            <v>25</v>
          </cell>
          <cell r="AD218">
            <v>1</v>
          </cell>
          <cell r="AE218">
            <v>17</v>
          </cell>
          <cell r="AF218">
            <v>2003</v>
          </cell>
          <cell r="AH218" t="str">
            <v>Dave Sutton</v>
          </cell>
          <cell r="AI218" t="str">
            <v>WC</v>
          </cell>
        </row>
        <row r="219">
          <cell r="E219" t="str">
            <v>W0021236</v>
          </cell>
          <cell r="F219" t="str">
            <v>Yerbillon PS</v>
          </cell>
          <cell r="H219" t="str">
            <v>2x Supply Auth Tx</v>
          </cell>
          <cell r="K219" t="str">
            <v>ED40-42-1</v>
          </cell>
          <cell r="M219">
            <v>1500</v>
          </cell>
          <cell r="N219">
            <v>66</v>
          </cell>
          <cell r="O219">
            <v>440</v>
          </cell>
          <cell r="R219">
            <v>25.4</v>
          </cell>
          <cell r="T219" t="str">
            <v>180mm2</v>
          </cell>
          <cell r="V219" t="str">
            <v>MCB</v>
          </cell>
          <cell r="W219">
            <v>1665</v>
          </cell>
          <cell r="X219" t="str">
            <v>ED40-40-3.1</v>
          </cell>
          <cell r="AB219">
            <v>2000</v>
          </cell>
          <cell r="AC219">
            <v>30</v>
          </cell>
          <cell r="AD219">
            <v>1</v>
          </cell>
          <cell r="AE219">
            <v>24.8</v>
          </cell>
          <cell r="AF219">
            <v>1997</v>
          </cell>
          <cell r="AH219" t="str">
            <v>Rob Van-Tiel</v>
          </cell>
          <cell r="AI219" t="str">
            <v>WC</v>
          </cell>
        </row>
        <row r="220">
          <cell r="F220" t="str">
            <v>Neerabup GWS Bores Q140 &amp; Q145</v>
          </cell>
          <cell r="H220" t="str">
            <v>Supply Auth</v>
          </cell>
          <cell r="J220" t="str">
            <v>Main SB</v>
          </cell>
          <cell r="K220" t="str">
            <v>ED36-41-9</v>
          </cell>
          <cell r="M220">
            <v>315</v>
          </cell>
          <cell r="N220">
            <v>22</v>
          </cell>
          <cell r="O220">
            <v>440</v>
          </cell>
          <cell r="S220" t="str">
            <v>XLPE</v>
          </cell>
          <cell r="T220" t="str">
            <v>150mm2</v>
          </cell>
          <cell r="U220">
            <v>10</v>
          </cell>
          <cell r="V220" t="str">
            <v>MCB</v>
          </cell>
          <cell r="W220">
            <v>396</v>
          </cell>
          <cell r="AA220">
            <v>415</v>
          </cell>
          <cell r="AB220">
            <v>800</v>
          </cell>
          <cell r="AC220">
            <v>20</v>
          </cell>
          <cell r="AD220">
            <v>1</v>
          </cell>
          <cell r="AF220">
            <v>1997</v>
          </cell>
          <cell r="AH220" t="str">
            <v>Dean Rayner</v>
          </cell>
          <cell r="AI220" t="str">
            <v>Aroona Alliance</v>
          </cell>
          <cell r="AJ220" t="str">
            <v>SB located indoors. Good condition.</v>
          </cell>
        </row>
        <row r="221">
          <cell r="F221" t="str">
            <v>Neerabup GWS Bores WT40 &amp; WT45</v>
          </cell>
          <cell r="H221" t="str">
            <v>Supply Auth</v>
          </cell>
          <cell r="J221" t="str">
            <v>Bores WT40, WT45 MCC</v>
          </cell>
          <cell r="K221" t="str">
            <v>ED36-50-31</v>
          </cell>
          <cell r="M221">
            <v>500</v>
          </cell>
          <cell r="N221">
            <v>22</v>
          </cell>
          <cell r="O221">
            <v>440</v>
          </cell>
          <cell r="S221" t="str">
            <v>XLPE/PVC</v>
          </cell>
          <cell r="T221" t="str">
            <v>6x1C 185mm2</v>
          </cell>
          <cell r="V221" t="str">
            <v>MCB</v>
          </cell>
          <cell r="W221">
            <v>800</v>
          </cell>
          <cell r="X221" t="str">
            <v>ED36-40-28</v>
          </cell>
          <cell r="AA221">
            <v>415</v>
          </cell>
          <cell r="AB221">
            <v>800</v>
          </cell>
          <cell r="AC221">
            <v>18</v>
          </cell>
          <cell r="AD221">
            <v>1</v>
          </cell>
          <cell r="AE221">
            <v>14.4</v>
          </cell>
          <cell r="AF221">
            <v>1999</v>
          </cell>
          <cell r="AH221" t="str">
            <v>Dean Rayner</v>
          </cell>
          <cell r="AI221" t="str">
            <v>Aroona Alliance</v>
          </cell>
        </row>
        <row r="222">
          <cell r="F222" t="str">
            <v>Neerabup GWS Bores WT10 &amp; WT15</v>
          </cell>
          <cell r="H222" t="str">
            <v>Supply Auth</v>
          </cell>
          <cell r="K222" t="str">
            <v>ED36-40-25</v>
          </cell>
          <cell r="M222">
            <v>315</v>
          </cell>
          <cell r="N222">
            <v>22</v>
          </cell>
          <cell r="O222">
            <v>440</v>
          </cell>
          <cell r="S222" t="str">
            <v>XLPE/PVC</v>
          </cell>
          <cell r="T222" t="str">
            <v>3x1C 185mm2</v>
          </cell>
          <cell r="V222" t="str">
            <v>MCB</v>
          </cell>
          <cell r="W222">
            <v>504</v>
          </cell>
          <cell r="X222" t="str">
            <v>ED36-40-26</v>
          </cell>
          <cell r="AA222">
            <v>415</v>
          </cell>
          <cell r="AB222">
            <v>800</v>
          </cell>
          <cell r="AC222">
            <v>18</v>
          </cell>
          <cell r="AD222">
            <v>1</v>
          </cell>
          <cell r="AE222">
            <v>8.5</v>
          </cell>
          <cell r="AF222">
            <v>1998</v>
          </cell>
          <cell r="AH222" t="str">
            <v>Dean Rayner</v>
          </cell>
          <cell r="AI222" t="str">
            <v>Aroona Alliance</v>
          </cell>
        </row>
        <row r="223">
          <cell r="F223" t="str">
            <v>Neerabup GWS Bores WT90 &amp; WT97</v>
          </cell>
          <cell r="H223" t="str">
            <v>Supply Auth</v>
          </cell>
          <cell r="K223" t="str">
            <v>ED36-40-34</v>
          </cell>
          <cell r="M223">
            <v>630</v>
          </cell>
          <cell r="N223">
            <v>22</v>
          </cell>
          <cell r="O223">
            <v>433</v>
          </cell>
          <cell r="S223" t="str">
            <v>XLPE/PVC</v>
          </cell>
          <cell r="T223" t="str">
            <v>6x1C 185mm2</v>
          </cell>
          <cell r="V223" t="str">
            <v>MCB</v>
          </cell>
          <cell r="W223">
            <v>800</v>
          </cell>
          <cell r="X223" t="str">
            <v>ED36-40-35</v>
          </cell>
          <cell r="AA223">
            <v>415</v>
          </cell>
          <cell r="AB223">
            <v>800</v>
          </cell>
          <cell r="AC223">
            <v>25</v>
          </cell>
          <cell r="AD223">
            <v>1</v>
          </cell>
          <cell r="AE223">
            <v>18.100000000000001</v>
          </cell>
          <cell r="AF223">
            <v>1999</v>
          </cell>
          <cell r="AH223" t="str">
            <v>Dean Rayner</v>
          </cell>
          <cell r="AI223" t="str">
            <v>Aroona Alliance</v>
          </cell>
        </row>
        <row r="224">
          <cell r="F224" t="str">
            <v>Neerabup GWS Bores Q200 &amp; Q205</v>
          </cell>
          <cell r="H224" t="str">
            <v>Supply Auth</v>
          </cell>
          <cell r="K224" t="str">
            <v>ED36-41-149</v>
          </cell>
          <cell r="M224">
            <v>315</v>
          </cell>
          <cell r="N224">
            <v>22</v>
          </cell>
          <cell r="O224">
            <v>440</v>
          </cell>
          <cell r="S224" t="str">
            <v>XLPE/PVC</v>
          </cell>
          <cell r="T224" t="str">
            <v>3x1C 120mm2</v>
          </cell>
          <cell r="U224">
            <v>10</v>
          </cell>
          <cell r="V224" t="str">
            <v>MCB</v>
          </cell>
          <cell r="W224">
            <v>397</v>
          </cell>
          <cell r="X224" t="str">
            <v>ED36-40-2</v>
          </cell>
          <cell r="AA224">
            <v>415</v>
          </cell>
          <cell r="AB224">
            <v>800</v>
          </cell>
          <cell r="AC224">
            <v>12</v>
          </cell>
          <cell r="AE224">
            <v>9.98</v>
          </cell>
          <cell r="AF224">
            <v>1997</v>
          </cell>
          <cell r="AH224" t="str">
            <v>Dean Rayner</v>
          </cell>
          <cell r="AI224" t="str">
            <v>Aroona Alliance</v>
          </cell>
          <cell r="AJ224" t="str">
            <v>SB indoors and not labeled. In good condition</v>
          </cell>
        </row>
        <row r="225">
          <cell r="E225" t="str">
            <v>W5008540</v>
          </cell>
          <cell r="F225" t="str">
            <v>Ghooli PS</v>
          </cell>
          <cell r="G225" t="str">
            <v>E13</v>
          </cell>
          <cell r="H225" t="str">
            <v>Aux Tx E4</v>
          </cell>
          <cell r="J225" t="str">
            <v>PS 415v DB</v>
          </cell>
          <cell r="K225" t="str">
            <v>ED20-42-2</v>
          </cell>
          <cell r="M225">
            <v>200</v>
          </cell>
          <cell r="N225">
            <v>33</v>
          </cell>
          <cell r="O225">
            <v>433</v>
          </cell>
          <cell r="S225" t="str">
            <v>XLPE/PVC</v>
          </cell>
          <cell r="T225" t="str">
            <v>3x1C 150mm2</v>
          </cell>
          <cell r="V225" t="str">
            <v>MCB</v>
          </cell>
          <cell r="W225">
            <v>250</v>
          </cell>
          <cell r="AA225">
            <v>415</v>
          </cell>
          <cell r="AB225">
            <v>250</v>
          </cell>
          <cell r="AC225">
            <v>25</v>
          </cell>
          <cell r="AD225">
            <v>0.1</v>
          </cell>
          <cell r="AF225">
            <v>2001</v>
          </cell>
          <cell r="AH225" t="str">
            <v>Rob Van-Tiel</v>
          </cell>
          <cell r="AI225" t="str">
            <v>WC</v>
          </cell>
        </row>
        <row r="226">
          <cell r="E226" t="str">
            <v>W0007709</v>
          </cell>
          <cell r="F226" t="str">
            <v>Neerabup GWTP</v>
          </cell>
          <cell r="H226" t="str">
            <v>PMT #2</v>
          </cell>
          <cell r="K226" t="str">
            <v>DZ68-40-3</v>
          </cell>
          <cell r="M226">
            <v>315</v>
          </cell>
          <cell r="N226">
            <v>22</v>
          </cell>
          <cell r="O226">
            <v>440</v>
          </cell>
          <cell r="V226" t="str">
            <v>MCB</v>
          </cell>
          <cell r="AF226">
            <v>1996</v>
          </cell>
          <cell r="AH226" t="str">
            <v>Dean Rayner</v>
          </cell>
          <cell r="AI226" t="str">
            <v>Aroona Alliance</v>
          </cell>
        </row>
        <row r="227">
          <cell r="F227" t="str">
            <v>Packsaddle PS (Ord Irrigation Project)</v>
          </cell>
          <cell r="H227" t="str">
            <v>Tx 1 &amp; Tx 2</v>
          </cell>
          <cell r="J227" t="str">
            <v>Pump Control Panel</v>
          </cell>
          <cell r="K227" t="str">
            <v>DY51-42-1</v>
          </cell>
          <cell r="M227">
            <v>500</v>
          </cell>
          <cell r="N227">
            <v>22</v>
          </cell>
          <cell r="O227">
            <v>440</v>
          </cell>
          <cell r="S227" t="str">
            <v>XLPE/PVC</v>
          </cell>
          <cell r="T227" t="str">
            <v>6x1C 240mm2</v>
          </cell>
          <cell r="V227" t="str">
            <v>MCB</v>
          </cell>
          <cell r="W227">
            <v>720</v>
          </cell>
          <cell r="X227" t="str">
            <v>DY51-41-5</v>
          </cell>
          <cell r="AA227">
            <v>415</v>
          </cell>
          <cell r="AB227">
            <v>1250</v>
          </cell>
          <cell r="AC227">
            <v>50</v>
          </cell>
          <cell r="AE227">
            <v>16</v>
          </cell>
          <cell r="AF227">
            <v>1997</v>
          </cell>
          <cell r="AG227" t="str">
            <v>US</v>
          </cell>
          <cell r="AH227" t="str">
            <v>Steve Farquhar</v>
          </cell>
          <cell r="AI227" t="str">
            <v>WC</v>
          </cell>
          <cell r="AJ227" t="str">
            <v>Not WC owned</v>
          </cell>
        </row>
        <row r="228">
          <cell r="E228" t="str">
            <v>S083-001-003</v>
          </cell>
          <cell r="F228" t="str">
            <v>Collie WWTP</v>
          </cell>
          <cell r="G228" t="str">
            <v>DB3</v>
          </cell>
          <cell r="H228" t="str">
            <v>WC Tx DB2</v>
          </cell>
          <cell r="J228" t="str">
            <v>Treatment Plant SB</v>
          </cell>
          <cell r="K228" t="str">
            <v>DY09-41-2</v>
          </cell>
          <cell r="L228" t="str">
            <v>Schneider</v>
          </cell>
          <cell r="M228">
            <v>500</v>
          </cell>
          <cell r="N228">
            <v>22</v>
          </cell>
          <cell r="O228">
            <v>433</v>
          </cell>
          <cell r="P228">
            <v>3.95E-2</v>
          </cell>
          <cell r="R228">
            <v>13.6</v>
          </cell>
          <cell r="S228" t="str">
            <v>XLPE/PVC</v>
          </cell>
          <cell r="T228" t="str">
            <v>6x1C 240mm2</v>
          </cell>
          <cell r="U228">
            <v>20</v>
          </cell>
          <cell r="V228" t="str">
            <v>MCB</v>
          </cell>
          <cell r="W228">
            <v>800</v>
          </cell>
          <cell r="X228" t="str">
            <v>DY09-40-3</v>
          </cell>
          <cell r="Y228" t="str">
            <v>Western Controls</v>
          </cell>
          <cell r="Z228" t="str">
            <v>Western Controls</v>
          </cell>
          <cell r="AB228">
            <v>1400</v>
          </cell>
          <cell r="AC228">
            <v>50</v>
          </cell>
          <cell r="AD228">
            <v>1</v>
          </cell>
          <cell r="AF228">
            <v>1996</v>
          </cell>
          <cell r="AH228" t="str">
            <v>Doug Clapp</v>
          </cell>
          <cell r="AI228" t="str">
            <v>WC</v>
          </cell>
        </row>
        <row r="229">
          <cell r="E229" t="str">
            <v>S091-001-004</v>
          </cell>
          <cell r="F229" t="str">
            <v>Mandurah WWTP #1</v>
          </cell>
          <cell r="G229" t="str">
            <v>MC03100</v>
          </cell>
          <cell r="H229" t="str">
            <v>TF03100</v>
          </cell>
          <cell r="J229" t="str">
            <v>415V MCC</v>
          </cell>
          <cell r="K229" t="str">
            <v>DX32-41-200.1</v>
          </cell>
          <cell r="L229" t="str">
            <v>TMC</v>
          </cell>
          <cell r="M229">
            <v>1000</v>
          </cell>
          <cell r="N229">
            <v>22</v>
          </cell>
          <cell r="O229">
            <v>433</v>
          </cell>
          <cell r="P229">
            <v>0.06</v>
          </cell>
          <cell r="S229" t="str">
            <v>XLPE/PVC</v>
          </cell>
          <cell r="T229" t="str">
            <v>12x1C 300mm2</v>
          </cell>
          <cell r="U229">
            <v>8</v>
          </cell>
          <cell r="V229" t="str">
            <v>MCB</v>
          </cell>
          <cell r="W229">
            <v>1600</v>
          </cell>
          <cell r="X229" t="str">
            <v>DX32-41-102.1</v>
          </cell>
          <cell r="Y229" t="str">
            <v>Sivacon</v>
          </cell>
          <cell r="Z229" t="str">
            <v>Kounis</v>
          </cell>
          <cell r="AA229">
            <v>415</v>
          </cell>
          <cell r="AB229">
            <v>2000</v>
          </cell>
          <cell r="AC229">
            <v>50</v>
          </cell>
          <cell r="AD229">
            <v>1</v>
          </cell>
          <cell r="AE229">
            <v>20.3</v>
          </cell>
          <cell r="AF229">
            <v>2008</v>
          </cell>
          <cell r="AH229" t="str">
            <v>Chris Cooper</v>
          </cell>
          <cell r="AI229" t="str">
            <v>Aroona Alliance</v>
          </cell>
        </row>
        <row r="230">
          <cell r="E230" t="str">
            <v>S091-001-004</v>
          </cell>
          <cell r="F230" t="str">
            <v>Mandurah WWTP #1</v>
          </cell>
          <cell r="H230" t="str">
            <v>TF01 + TF02</v>
          </cell>
          <cell r="J230" t="str">
            <v>440V MCC</v>
          </cell>
          <cell r="K230" t="str">
            <v>DX32-40-2.1</v>
          </cell>
          <cell r="L230" t="str">
            <v>Westralian Transformers</v>
          </cell>
          <cell r="M230">
            <v>300</v>
          </cell>
          <cell r="N230">
            <v>22</v>
          </cell>
          <cell r="O230">
            <v>440</v>
          </cell>
          <cell r="P230">
            <v>4.5999999999999999E-2</v>
          </cell>
          <cell r="S230" t="str">
            <v>PVC/PVC</v>
          </cell>
          <cell r="T230" t="str">
            <v>3x1C 240mm2</v>
          </cell>
          <cell r="U230">
            <v>10</v>
          </cell>
          <cell r="V230" t="str">
            <v>MCB</v>
          </cell>
          <cell r="W230">
            <v>600</v>
          </cell>
          <cell r="AA230">
            <v>440</v>
          </cell>
          <cell r="AB230">
            <v>800</v>
          </cell>
          <cell r="AC230">
            <v>20</v>
          </cell>
          <cell r="AD230">
            <v>1</v>
          </cell>
          <cell r="AF230">
            <v>1995</v>
          </cell>
          <cell r="AG230">
            <v>1</v>
          </cell>
          <cell r="AH230" t="str">
            <v>Chris Cooper</v>
          </cell>
          <cell r="AI230" t="str">
            <v>Aroona Alliance</v>
          </cell>
          <cell r="AJ230" t="str">
            <v>Ind Lights - Few are spare &amp; blanked with plastic caps</v>
          </cell>
        </row>
        <row r="231">
          <cell r="E231" t="str">
            <v>W0021096</v>
          </cell>
          <cell r="F231" t="str">
            <v>Piccadilly St PS #3</v>
          </cell>
          <cell r="H231" t="str">
            <v>Supply Auth</v>
          </cell>
          <cell r="I231" t="str">
            <v>W0021098</v>
          </cell>
          <cell r="J231" t="str">
            <v>PS SB</v>
          </cell>
          <cell r="K231" t="str">
            <v>CB02-41-7</v>
          </cell>
          <cell r="M231">
            <v>300</v>
          </cell>
          <cell r="O231">
            <v>415</v>
          </cell>
          <cell r="S231" t="str">
            <v>XLPE</v>
          </cell>
          <cell r="T231" t="str">
            <v>185mm2</v>
          </cell>
          <cell r="V231" t="str">
            <v>MCB</v>
          </cell>
          <cell r="W231">
            <v>500</v>
          </cell>
          <cell r="X231" t="str">
            <v>CB02-41-2</v>
          </cell>
          <cell r="AE231">
            <v>11</v>
          </cell>
          <cell r="AF231">
            <v>1990</v>
          </cell>
          <cell r="AG231" t="str">
            <v>3B</v>
          </cell>
          <cell r="AH231" t="str">
            <v>Rob Van-Tiel</v>
          </cell>
          <cell r="AI231" t="str">
            <v>WC</v>
          </cell>
        </row>
        <row r="232">
          <cell r="E232" t="str">
            <v>S0030235</v>
          </cell>
          <cell r="F232" t="str">
            <v>Wilkie St PS #1</v>
          </cell>
          <cell r="I232" t="str">
            <v>S2000004</v>
          </cell>
          <cell r="K232" t="str">
            <v>CA69-41-5.1</v>
          </cell>
          <cell r="O232">
            <v>415</v>
          </cell>
          <cell r="S232" t="str">
            <v>PYROLEX</v>
          </cell>
          <cell r="T232" t="str">
            <v>35mm2</v>
          </cell>
          <cell r="V232" t="str">
            <v>MCB</v>
          </cell>
          <cell r="W232">
            <v>125</v>
          </cell>
          <cell r="AF232">
            <v>1994</v>
          </cell>
          <cell r="AG232">
            <v>1</v>
          </cell>
          <cell r="AH232" t="str">
            <v>Dave Sutton</v>
          </cell>
          <cell r="AI232" t="str">
            <v>WC</v>
          </cell>
          <cell r="AJ232" t="str">
            <v>Station in bad condition bordering on overload, board runs hot in summer needs up grade and soon</v>
          </cell>
        </row>
        <row r="233">
          <cell r="E233" t="str">
            <v>W0035850</v>
          </cell>
          <cell r="F233" t="str">
            <v>Hale Rd PS</v>
          </cell>
          <cell r="H233" t="str">
            <v>Supply Auth</v>
          </cell>
          <cell r="I233" t="str">
            <v>W0035857</v>
          </cell>
          <cell r="J233" t="str">
            <v>Main Incomer Cubicle</v>
          </cell>
          <cell r="K233" t="str">
            <v>BZ58-41-05</v>
          </cell>
          <cell r="M233">
            <v>200</v>
          </cell>
          <cell r="N233">
            <v>22</v>
          </cell>
          <cell r="O233">
            <v>440</v>
          </cell>
          <cell r="P233">
            <v>3.7999999999999999E-2</v>
          </cell>
          <cell r="S233" t="str">
            <v>XLPE</v>
          </cell>
          <cell r="T233" t="str">
            <v>150mm2</v>
          </cell>
          <cell r="AF233">
            <v>1990</v>
          </cell>
          <cell r="AH233" t="str">
            <v>Craig Warner</v>
          </cell>
          <cell r="AI233" t="str">
            <v>Aroona Alliance</v>
          </cell>
        </row>
        <row r="234">
          <cell r="E234" t="str">
            <v>W0035374</v>
          </cell>
          <cell r="F234" t="str">
            <v>WPS OAKOVER RD MIDDLE SWAN</v>
          </cell>
          <cell r="H234" t="str">
            <v>Supply Auth Tx</v>
          </cell>
          <cell r="I234" t="str">
            <v>W0035379</v>
          </cell>
          <cell r="J234" t="str">
            <v>Incoming Cubicle</v>
          </cell>
          <cell r="K234" t="str">
            <v>BY60-44-4.1</v>
          </cell>
          <cell r="M234">
            <v>160</v>
          </cell>
          <cell r="O234">
            <v>415</v>
          </cell>
          <cell r="S234" t="str">
            <v>XLPE</v>
          </cell>
          <cell r="T234" t="str">
            <v>150mm2</v>
          </cell>
          <cell r="V234" t="str">
            <v>MCB</v>
          </cell>
          <cell r="W234">
            <v>400</v>
          </cell>
          <cell r="AF234">
            <v>1998</v>
          </cell>
          <cell r="AG234" t="str">
            <v>3A</v>
          </cell>
          <cell r="AH234" t="str">
            <v>Dave Sutton</v>
          </cell>
          <cell r="AI234" t="str">
            <v>WC</v>
          </cell>
        </row>
        <row r="235">
          <cell r="E235" t="str">
            <v>C0036742</v>
          </cell>
          <cell r="F235" t="str">
            <v>Depot</v>
          </cell>
          <cell r="H235" t="str">
            <v>Kiosk Substation #1</v>
          </cell>
          <cell r="J235" t="str">
            <v>Main Admin SB</v>
          </cell>
          <cell r="K235" t="str">
            <v>BW68-20-0.1</v>
          </cell>
          <cell r="O235">
            <v>415</v>
          </cell>
          <cell r="S235" t="str">
            <v>PVC</v>
          </cell>
          <cell r="T235" t="str">
            <v>150mm2</v>
          </cell>
          <cell r="V235" t="str">
            <v>MCB</v>
          </cell>
          <cell r="W235">
            <v>400</v>
          </cell>
          <cell r="AA235">
            <v>415</v>
          </cell>
          <cell r="AB235">
            <v>400</v>
          </cell>
          <cell r="AC235">
            <v>25</v>
          </cell>
          <cell r="AF235">
            <v>1989</v>
          </cell>
          <cell r="AG235">
            <v>2</v>
          </cell>
          <cell r="AH235" t="str">
            <v>Dave Sutton</v>
          </cell>
          <cell r="AI235" t="str">
            <v>WC</v>
          </cell>
        </row>
        <row r="236">
          <cell r="E236" t="str">
            <v>S0034418</v>
          </cell>
          <cell r="F236" t="str">
            <v>Purley Cr PS #1</v>
          </cell>
          <cell r="H236" t="str">
            <v>Supply Auth</v>
          </cell>
          <cell r="I236" t="str">
            <v>S0034423</v>
          </cell>
          <cell r="J236" t="str">
            <v>Main CB Cubicle</v>
          </cell>
          <cell r="K236" t="str">
            <v>BT41-41-5</v>
          </cell>
          <cell r="O236">
            <v>415</v>
          </cell>
          <cell r="S236" t="str">
            <v>XLPE</v>
          </cell>
          <cell r="V236" t="str">
            <v>MCB</v>
          </cell>
          <cell r="W236">
            <v>400</v>
          </cell>
          <cell r="AF236">
            <v>1991</v>
          </cell>
          <cell r="AG236">
            <v>1</v>
          </cell>
          <cell r="AH236" t="str">
            <v>Dave Sutton</v>
          </cell>
          <cell r="AI236" t="str">
            <v>WC</v>
          </cell>
          <cell r="AJ236" t="str">
            <v>Does not have original design ka level</v>
          </cell>
        </row>
        <row r="237">
          <cell r="E237" t="str">
            <v>W0021285</v>
          </cell>
          <cell r="F237" t="str">
            <v>Throssel St #1 &amp; #2 Standby Res - Site 613</v>
          </cell>
          <cell r="H237" t="str">
            <v>Supply Auth</v>
          </cell>
          <cell r="J237" t="str">
            <v>Switchboard</v>
          </cell>
          <cell r="K237" t="str">
            <v>BS84-51-1.1</v>
          </cell>
          <cell r="M237">
            <v>630</v>
          </cell>
          <cell r="N237">
            <v>11</v>
          </cell>
          <cell r="O237">
            <v>415</v>
          </cell>
          <cell r="S237" t="str">
            <v>XLPE</v>
          </cell>
          <cell r="T237" t="str">
            <v>630mm2</v>
          </cell>
          <cell r="V237" t="str">
            <v>MCB</v>
          </cell>
          <cell r="W237">
            <v>1200</v>
          </cell>
          <cell r="X237" t="str">
            <v>BS54-51-2.1</v>
          </cell>
          <cell r="AA237">
            <v>415</v>
          </cell>
          <cell r="AB237">
            <v>2500</v>
          </cell>
          <cell r="AC237">
            <v>50</v>
          </cell>
          <cell r="AD237">
            <v>1</v>
          </cell>
          <cell r="AE237">
            <v>11.98</v>
          </cell>
          <cell r="AF237">
            <v>2000</v>
          </cell>
          <cell r="AH237" t="str">
            <v>Rob Van-Tiel</v>
          </cell>
          <cell r="AI237" t="str">
            <v>WC</v>
          </cell>
        </row>
        <row r="238">
          <cell r="E238" t="str">
            <v>W3001037</v>
          </cell>
          <cell r="F238" t="str">
            <v>Lot #954 PS</v>
          </cell>
          <cell r="H238" t="str">
            <v>Supply Auth</v>
          </cell>
          <cell r="J238" t="str">
            <v>Main SB</v>
          </cell>
          <cell r="K238" t="str">
            <v>BP88-43-8</v>
          </cell>
          <cell r="M238">
            <v>1000</v>
          </cell>
          <cell r="N238">
            <v>22</v>
          </cell>
          <cell r="O238">
            <v>415</v>
          </cell>
          <cell r="S238" t="str">
            <v>XLPE</v>
          </cell>
          <cell r="T238" t="str">
            <v>2x1C 630mm2</v>
          </cell>
          <cell r="V238" t="str">
            <v>MCB</v>
          </cell>
          <cell r="W238">
            <v>1600</v>
          </cell>
          <cell r="X238" t="str">
            <v>BP88-40-3.2</v>
          </cell>
          <cell r="AA238">
            <v>415</v>
          </cell>
          <cell r="AB238">
            <v>1600</v>
          </cell>
          <cell r="AC238">
            <v>50</v>
          </cell>
          <cell r="AD238">
            <v>1</v>
          </cell>
          <cell r="AF238">
            <v>2003</v>
          </cell>
          <cell r="AG238">
            <v>1</v>
          </cell>
          <cell r="AH238" t="str">
            <v>Steve Farquhar</v>
          </cell>
          <cell r="AI238" t="str">
            <v>WC</v>
          </cell>
          <cell r="AJ238" t="str">
            <v>Relatively new SB. Visual inspection indicates it is in good condition. Located indoors. New priority 1 board suggested by Steve Farquhar and priority added on 2/10/13</v>
          </cell>
        </row>
        <row r="239">
          <cell r="E239" t="str">
            <v>S0037781</v>
          </cell>
          <cell r="F239" t="str">
            <v>Willcock Dr PS #1</v>
          </cell>
          <cell r="H239" t="str">
            <v>Supply Auth</v>
          </cell>
          <cell r="I239" t="str">
            <v>S4003796</v>
          </cell>
          <cell r="J239" t="str">
            <v>Main Incoming Panel</v>
          </cell>
          <cell r="K239" t="str">
            <v>BL20-40-1</v>
          </cell>
          <cell r="M239">
            <v>315</v>
          </cell>
          <cell r="N239">
            <v>11</v>
          </cell>
          <cell r="O239">
            <v>433</v>
          </cell>
          <cell r="P239">
            <v>0.04</v>
          </cell>
          <cell r="R239">
            <v>9</v>
          </cell>
          <cell r="S239" t="str">
            <v>XLPE</v>
          </cell>
          <cell r="T239" t="str">
            <v>2x1C 150mm2</v>
          </cell>
          <cell r="V239" t="str">
            <v>MCB</v>
          </cell>
          <cell r="W239">
            <v>190</v>
          </cell>
          <cell r="X239" t="str">
            <v>BL20-40-2.1</v>
          </cell>
          <cell r="AB239">
            <v>500</v>
          </cell>
          <cell r="AC239">
            <v>10</v>
          </cell>
          <cell r="AD239">
            <v>1</v>
          </cell>
          <cell r="AE239">
            <v>9</v>
          </cell>
          <cell r="AF239">
            <v>2008</v>
          </cell>
          <cell r="AG239" t="str">
            <v>3B</v>
          </cell>
          <cell r="AH239" t="str">
            <v>Russell Blyth</v>
          </cell>
          <cell r="AI239" t="str">
            <v>WC</v>
          </cell>
          <cell r="AJ239" t="str">
            <v xml:space="preserve">New External SwBd </v>
          </cell>
        </row>
        <row r="240">
          <cell r="E240" t="str">
            <v>S0030203</v>
          </cell>
          <cell r="F240" t="str">
            <v>Slade St Main PS</v>
          </cell>
          <cell r="H240" t="str">
            <v>Transformer Kiosk</v>
          </cell>
          <cell r="I240" t="str">
            <v>S0030209</v>
          </cell>
          <cell r="J240" t="str">
            <v>Station SB</v>
          </cell>
          <cell r="K240" t="str">
            <v>BJ42-40-1</v>
          </cell>
          <cell r="M240">
            <v>500</v>
          </cell>
          <cell r="N240">
            <v>11</v>
          </cell>
          <cell r="O240">
            <v>440</v>
          </cell>
          <cell r="P240">
            <v>4.3999999999999997E-2</v>
          </cell>
          <cell r="R240">
            <v>13.38</v>
          </cell>
          <cell r="S240" t="str">
            <v>XLPE</v>
          </cell>
          <cell r="T240" t="str">
            <v>240mm2</v>
          </cell>
          <cell r="X240" t="str">
            <v>BJ42-40-3</v>
          </cell>
          <cell r="AE240">
            <v>10.24</v>
          </cell>
          <cell r="AF240">
            <v>1990</v>
          </cell>
          <cell r="AG240">
            <v>2</v>
          </cell>
          <cell r="AH240" t="str">
            <v>Dave Sutton</v>
          </cell>
          <cell r="AI240" t="str">
            <v>WC</v>
          </cell>
        </row>
        <row r="241">
          <cell r="E241" t="str">
            <v>W0035570</v>
          </cell>
          <cell r="F241" t="str">
            <v>High Level Transfer &amp; Booster PS</v>
          </cell>
          <cell r="H241" t="str">
            <v>Supply Auth</v>
          </cell>
          <cell r="J241" t="str">
            <v>Main Switch Panel</v>
          </cell>
          <cell r="K241" t="str">
            <v>BH08-41-4</v>
          </cell>
          <cell r="M241">
            <v>100</v>
          </cell>
          <cell r="N241">
            <v>22</v>
          </cell>
          <cell r="O241">
            <v>415</v>
          </cell>
          <cell r="S241" t="str">
            <v>PVC</v>
          </cell>
          <cell r="T241" t="str">
            <v>70mm2</v>
          </cell>
          <cell r="U241">
            <v>100</v>
          </cell>
          <cell r="V241" t="str">
            <v>Fuse</v>
          </cell>
          <cell r="W241">
            <v>160</v>
          </cell>
          <cell r="AA241">
            <v>415</v>
          </cell>
          <cell r="AF241">
            <v>1988</v>
          </cell>
          <cell r="AG241">
            <v>1</v>
          </cell>
          <cell r="AH241" t="str">
            <v>Dave Sutton</v>
          </cell>
          <cell r="AI241" t="str">
            <v>WC</v>
          </cell>
          <cell r="AJ241" t="str">
            <v>Not a PSN site, but overall condition seems okay. All pumps tagged off 2003</v>
          </cell>
        </row>
        <row r="242">
          <cell r="F242" t="str">
            <v>JTWC</v>
          </cell>
          <cell r="H242" t="str">
            <v>Tx 1 &amp; Tx 2</v>
          </cell>
          <cell r="J242" t="str">
            <v>LV SB #1</v>
          </cell>
          <cell r="K242" t="str">
            <v>AP53-40-86</v>
          </cell>
          <cell r="M242">
            <v>1000</v>
          </cell>
          <cell r="N242">
            <v>11</v>
          </cell>
          <cell r="O242">
            <v>440</v>
          </cell>
          <cell r="P242">
            <v>6.0999999999999999E-2</v>
          </cell>
          <cell r="R242">
            <v>38.700000000000003</v>
          </cell>
          <cell r="S242" t="str">
            <v>PVC/PVC</v>
          </cell>
          <cell r="T242" t="str">
            <v>6x1C 500mm2</v>
          </cell>
          <cell r="U242">
            <v>10</v>
          </cell>
          <cell r="V242" t="str">
            <v>MCB</v>
          </cell>
          <cell r="W242">
            <v>1600</v>
          </cell>
          <cell r="Z242" t="str">
            <v>CPE</v>
          </cell>
          <cell r="AA242">
            <v>415</v>
          </cell>
          <cell r="AB242">
            <v>2500</v>
          </cell>
          <cell r="AC242">
            <v>50</v>
          </cell>
          <cell r="AD242">
            <v>1</v>
          </cell>
          <cell r="AE242">
            <v>36</v>
          </cell>
          <cell r="AF242">
            <v>1980</v>
          </cell>
          <cell r="AG242">
            <v>1</v>
          </cell>
          <cell r="AH242" t="str">
            <v>Peter Andruszkiw</v>
          </cell>
          <cell r="AI242" t="str">
            <v>WC</v>
          </cell>
          <cell r="AJ242" t="str">
            <v>Modifications since install</v>
          </cell>
        </row>
        <row r="243">
          <cell r="F243" t="str">
            <v>JTWC</v>
          </cell>
          <cell r="H243" t="str">
            <v>Tx 3</v>
          </cell>
          <cell r="J243" t="str">
            <v>LV SB #2</v>
          </cell>
          <cell r="K243" t="str">
            <v>AP53-40-86</v>
          </cell>
          <cell r="M243">
            <v>1000</v>
          </cell>
          <cell r="N243">
            <v>11</v>
          </cell>
          <cell r="O243">
            <v>440</v>
          </cell>
          <cell r="P243">
            <v>0.06</v>
          </cell>
          <cell r="R243">
            <v>23</v>
          </cell>
          <cell r="S243" t="str">
            <v>XLPE/PVC</v>
          </cell>
          <cell r="T243" t="str">
            <v>9x1C 300mm2</v>
          </cell>
          <cell r="U243">
            <v>20</v>
          </cell>
          <cell r="V243" t="str">
            <v>MCB</v>
          </cell>
          <cell r="W243">
            <v>1600</v>
          </cell>
          <cell r="AA243">
            <v>415</v>
          </cell>
          <cell r="AB243">
            <v>1400</v>
          </cell>
          <cell r="AC243">
            <v>23</v>
          </cell>
          <cell r="AD243">
            <v>1</v>
          </cell>
          <cell r="AE243">
            <v>20</v>
          </cell>
          <cell r="AF243">
            <v>1985</v>
          </cell>
          <cell r="AG243">
            <v>1</v>
          </cell>
          <cell r="AH243" t="str">
            <v>Peter Andruszkiw</v>
          </cell>
          <cell r="AI243" t="str">
            <v>WC</v>
          </cell>
        </row>
        <row r="244">
          <cell r="E244" t="str">
            <v>W4001380</v>
          </cell>
          <cell r="F244" t="str">
            <v>Wiluna WTP</v>
          </cell>
          <cell r="H244" t="str">
            <v>Supply Auth</v>
          </cell>
          <cell r="J244" t="str">
            <v>Main SB</v>
          </cell>
          <cell r="K244" t="str">
            <v>AP19-40-5.1</v>
          </cell>
          <cell r="M244">
            <v>200</v>
          </cell>
          <cell r="N244">
            <v>22</v>
          </cell>
          <cell r="O244">
            <v>440</v>
          </cell>
          <cell r="S244" t="str">
            <v>XLPE/PVC</v>
          </cell>
          <cell r="T244" t="str">
            <v>4x1C 185mm2</v>
          </cell>
          <cell r="V244" t="str">
            <v>MCB</v>
          </cell>
          <cell r="W244">
            <v>250</v>
          </cell>
          <cell r="X244" t="str">
            <v>AP19-40-5.4</v>
          </cell>
          <cell r="AB244">
            <v>250</v>
          </cell>
          <cell r="AC244">
            <v>10</v>
          </cell>
          <cell r="AD244">
            <v>1</v>
          </cell>
          <cell r="AE244">
            <v>7.35</v>
          </cell>
          <cell r="AF244">
            <v>2008</v>
          </cell>
          <cell r="AH244" t="str">
            <v>Russell Blyth</v>
          </cell>
          <cell r="AI244" t="str">
            <v>WC</v>
          </cell>
          <cell r="AJ244" t="str">
            <v>New External SwBd</v>
          </cell>
        </row>
        <row r="245">
          <cell r="E245" t="str">
            <v>C0025204</v>
          </cell>
          <cell r="F245" t="str">
            <v>Broome Depot</v>
          </cell>
          <cell r="G245" t="str">
            <v>DB1</v>
          </cell>
          <cell r="H245" t="str">
            <v>Supply Auth</v>
          </cell>
          <cell r="J245" t="str">
            <v>Office DB</v>
          </cell>
          <cell r="K245" t="str">
            <v>AK71-40-4</v>
          </cell>
          <cell r="M245">
            <v>200</v>
          </cell>
          <cell r="N245">
            <v>11</v>
          </cell>
          <cell r="O245">
            <v>415</v>
          </cell>
          <cell r="S245" t="str">
            <v>PVC</v>
          </cell>
          <cell r="T245" t="str">
            <v>3x1C 150mm2</v>
          </cell>
          <cell r="V245" t="str">
            <v>MCB</v>
          </cell>
          <cell r="W245">
            <v>250</v>
          </cell>
          <cell r="AB245">
            <v>400</v>
          </cell>
          <cell r="AC245">
            <v>16</v>
          </cell>
          <cell r="AD245">
            <v>1</v>
          </cell>
          <cell r="AF245">
            <v>1989</v>
          </cell>
          <cell r="AG245" t="str">
            <v>3B</v>
          </cell>
          <cell r="AH245" t="str">
            <v>Steve Farquhar</v>
          </cell>
          <cell r="AI245" t="str">
            <v>WC</v>
          </cell>
        </row>
        <row r="246">
          <cell r="E246" t="str">
            <v>D0036645</v>
          </cell>
          <cell r="F246" t="str">
            <v>Charles St PS</v>
          </cell>
          <cell r="G246" t="str">
            <v>Panel A</v>
          </cell>
          <cell r="H246" t="str">
            <v>Supply Auth</v>
          </cell>
          <cell r="I246" t="str">
            <v>D0036649</v>
          </cell>
          <cell r="J246" t="str">
            <v>Main Switch Panel</v>
          </cell>
          <cell r="K246" t="str">
            <v>AI61-40-5</v>
          </cell>
          <cell r="M246">
            <v>100</v>
          </cell>
          <cell r="O246">
            <v>440</v>
          </cell>
          <cell r="T246" t="str">
            <v>3x1C 70mm2</v>
          </cell>
          <cell r="V246" t="str">
            <v>Fuse</v>
          </cell>
          <cell r="W246">
            <v>160</v>
          </cell>
          <cell r="AF246">
            <v>1986</v>
          </cell>
          <cell r="AH246" t="str">
            <v>Dave Sutton</v>
          </cell>
          <cell r="AI246" t="str">
            <v>WC</v>
          </cell>
        </row>
        <row r="247">
          <cell r="E247" t="str">
            <v>D0036296</v>
          </cell>
          <cell r="F247" t="str">
            <v>Aberdale Rd PS</v>
          </cell>
          <cell r="H247" t="str">
            <v>Supply Auth</v>
          </cell>
          <cell r="I247" t="str">
            <v>D0036300</v>
          </cell>
          <cell r="J247" t="str">
            <v>Switchboard</v>
          </cell>
          <cell r="K247" t="str">
            <v>AG30-40-1</v>
          </cell>
          <cell r="M247">
            <v>200</v>
          </cell>
          <cell r="O247">
            <v>440</v>
          </cell>
          <cell r="S247" t="str">
            <v>PVC</v>
          </cell>
          <cell r="T247" t="str">
            <v>3x1C 70mm2</v>
          </cell>
          <cell r="V247" t="str">
            <v>Fuse</v>
          </cell>
          <cell r="W247">
            <v>160</v>
          </cell>
          <cell r="AF247">
            <v>1987</v>
          </cell>
          <cell r="AH247" t="str">
            <v>Dave Sutton</v>
          </cell>
          <cell r="AI247" t="str">
            <v>WC</v>
          </cell>
        </row>
        <row r="248">
          <cell r="E248" t="str">
            <v>S7003452</v>
          </cell>
          <cell r="F248" t="str">
            <v>Katanning Transfer PS</v>
          </cell>
          <cell r="G248" t="str">
            <v>Panel B</v>
          </cell>
          <cell r="J248" t="str">
            <v>Main Switch Panel</v>
          </cell>
          <cell r="K248" t="str">
            <v>AE61-41-4</v>
          </cell>
          <cell r="O248">
            <v>415</v>
          </cell>
          <cell r="S248" t="str">
            <v>XLPE/PVC</v>
          </cell>
          <cell r="T248" t="str">
            <v>3x1C 70mm2</v>
          </cell>
          <cell r="V248" t="str">
            <v>MCB</v>
          </cell>
          <cell r="W248">
            <v>250</v>
          </cell>
          <cell r="AF248">
            <v>2008</v>
          </cell>
          <cell r="AH248" t="str">
            <v>Sam Cockburn</v>
          </cell>
          <cell r="AI248" t="str">
            <v>WC</v>
          </cell>
        </row>
        <row r="249">
          <cell r="E249" t="str">
            <v>S025-003-001</v>
          </cell>
          <cell r="F249" t="str">
            <v>Katanning WWTP</v>
          </cell>
          <cell r="H249" t="str">
            <v>Supply Auth</v>
          </cell>
          <cell r="J249" t="str">
            <v>Aerated Ponds 1 &amp; 2 SB</v>
          </cell>
          <cell r="K249" t="str">
            <v>AE61-42-3</v>
          </cell>
          <cell r="O249">
            <v>415</v>
          </cell>
          <cell r="T249" t="str">
            <v>16mm2</v>
          </cell>
          <cell r="V249" t="str">
            <v>Fuse</v>
          </cell>
          <cell r="AF249">
            <v>2000</v>
          </cell>
          <cell r="AH249" t="str">
            <v>Sam Cockburn</v>
          </cell>
          <cell r="AI249" t="str">
            <v>WC</v>
          </cell>
        </row>
        <row r="250">
          <cell r="E250" t="str">
            <v>S001-001-017</v>
          </cell>
          <cell r="F250" t="str">
            <v>Port Kennedy WWTP</v>
          </cell>
          <cell r="H250" t="str">
            <v>Tx</v>
          </cell>
          <cell r="J250" t="str">
            <v>SB</v>
          </cell>
          <cell r="K250" t="str">
            <v>AB38-41-5.1</v>
          </cell>
          <cell r="M250">
            <v>200</v>
          </cell>
          <cell r="N250">
            <v>22</v>
          </cell>
          <cell r="O250">
            <v>415</v>
          </cell>
          <cell r="V250" t="str">
            <v>MCB</v>
          </cell>
          <cell r="W250">
            <v>250</v>
          </cell>
          <cell r="AF250">
            <v>1995</v>
          </cell>
          <cell r="AG250" t="str">
            <v>US</v>
          </cell>
          <cell r="AH250" t="str">
            <v>Chris Cooper</v>
          </cell>
          <cell r="AI250" t="str">
            <v>Aroona Alliance</v>
          </cell>
          <cell r="AJ250" t="str">
            <v>Decommissioned</v>
          </cell>
        </row>
        <row r="251">
          <cell r="E251" t="str">
            <v>W0006393</v>
          </cell>
          <cell r="F251" t="str">
            <v>Canning Dam Chemical Dosing Plant</v>
          </cell>
          <cell r="H251" t="str">
            <v>Supply Auth</v>
          </cell>
          <cell r="J251" t="str">
            <v>Main SB</v>
          </cell>
          <cell r="K251" t="str">
            <v>IK21-40-2</v>
          </cell>
          <cell r="M251">
            <v>200</v>
          </cell>
          <cell r="N251">
            <v>22</v>
          </cell>
          <cell r="O251">
            <v>415</v>
          </cell>
          <cell r="S251" t="str">
            <v>XLPE/PVC</v>
          </cell>
          <cell r="T251" t="str">
            <v>3x1C+N 150mm2</v>
          </cell>
          <cell r="V251" t="str">
            <v>MCB</v>
          </cell>
          <cell r="W251">
            <v>200</v>
          </cell>
          <cell r="X251" t="str">
            <v>IK21-40-4</v>
          </cell>
          <cell r="AA251">
            <v>415</v>
          </cell>
          <cell r="AE251">
            <v>5.66</v>
          </cell>
          <cell r="AF251">
            <v>2006</v>
          </cell>
          <cell r="AH251" t="str">
            <v>Craig Warner</v>
          </cell>
          <cell r="AI251" t="str">
            <v>Aroona Alliance</v>
          </cell>
        </row>
        <row r="252">
          <cell r="E252" t="str">
            <v>W0006394</v>
          </cell>
          <cell r="F252" t="str">
            <v>Canning Dam Chemical Dosing Plant</v>
          </cell>
          <cell r="H252" t="str">
            <v>Main SB</v>
          </cell>
          <cell r="J252" t="str">
            <v>Chlorination DB</v>
          </cell>
          <cell r="K252" t="str">
            <v>IK21-40-2</v>
          </cell>
          <cell r="V252" t="str">
            <v>MCB</v>
          </cell>
          <cell r="W252">
            <v>100</v>
          </cell>
          <cell r="X252" t="str">
            <v>IK21-40-4</v>
          </cell>
          <cell r="AA252">
            <v>415</v>
          </cell>
          <cell r="AC252">
            <v>6</v>
          </cell>
          <cell r="AD252">
            <v>1</v>
          </cell>
          <cell r="AE252">
            <v>5.32</v>
          </cell>
          <cell r="AF252">
            <v>2006</v>
          </cell>
          <cell r="AH252" t="str">
            <v>Craig Warner</v>
          </cell>
          <cell r="AI252" t="str">
            <v>Aroona Alliance</v>
          </cell>
        </row>
        <row r="253">
          <cell r="E253" t="str">
            <v>W0019646</v>
          </cell>
          <cell r="F253" t="str">
            <v>McLevie PS - Bell Rd</v>
          </cell>
          <cell r="H253" t="str">
            <v>Supply Auth</v>
          </cell>
          <cell r="J253" t="str">
            <v>Incoming Panel</v>
          </cell>
          <cell r="K253" t="str">
            <v>IJ16-41-1</v>
          </cell>
          <cell r="M253">
            <v>25</v>
          </cell>
          <cell r="N253">
            <v>33</v>
          </cell>
          <cell r="O253">
            <v>415</v>
          </cell>
          <cell r="V253" t="str">
            <v>Fuse</v>
          </cell>
          <cell r="W253">
            <v>63</v>
          </cell>
          <cell r="X253" t="str">
            <v>IJ16-41-2</v>
          </cell>
          <cell r="AF253">
            <v>2006</v>
          </cell>
          <cell r="AH253" t="str">
            <v>Rob Van-Tiel</v>
          </cell>
          <cell r="AI253" t="str">
            <v>WC</v>
          </cell>
        </row>
        <row r="254">
          <cell r="E254" t="str">
            <v>W5023150</v>
          </cell>
          <cell r="F254" t="str">
            <v>Binduli PS</v>
          </cell>
          <cell r="G254" t="str">
            <v>E7</v>
          </cell>
          <cell r="H254" t="str">
            <v>Transformer #1</v>
          </cell>
          <cell r="J254" t="str">
            <v>415V SB</v>
          </cell>
          <cell r="K254" t="str">
            <v>IJ48-42-2</v>
          </cell>
          <cell r="M254">
            <v>800</v>
          </cell>
          <cell r="N254">
            <v>11</v>
          </cell>
          <cell r="O254">
            <v>433</v>
          </cell>
          <cell r="R254">
            <v>135</v>
          </cell>
          <cell r="S254" t="str">
            <v>XLPE/PVC</v>
          </cell>
          <cell r="T254" t="str">
            <v>10x1C 300mm2</v>
          </cell>
          <cell r="V254" t="str">
            <v>MCB</v>
          </cell>
          <cell r="W254">
            <v>2000</v>
          </cell>
          <cell r="AA254">
            <v>500</v>
          </cell>
          <cell r="AB254">
            <v>1600</v>
          </cell>
          <cell r="AC254">
            <v>50</v>
          </cell>
          <cell r="AD254">
            <v>1</v>
          </cell>
          <cell r="AE254">
            <v>17.8</v>
          </cell>
          <cell r="AF254">
            <v>2007</v>
          </cell>
          <cell r="AH254" t="str">
            <v>Rob Van-Tiel</v>
          </cell>
          <cell r="AI254" t="str">
            <v>WC</v>
          </cell>
        </row>
        <row r="255">
          <cell r="E255" t="str">
            <v>W5023151</v>
          </cell>
          <cell r="F255" t="str">
            <v>Binduli PS</v>
          </cell>
          <cell r="G255" t="str">
            <v>E11</v>
          </cell>
          <cell r="H255" t="str">
            <v>E7</v>
          </cell>
          <cell r="J255" t="str">
            <v>415V SB - Common Services DB</v>
          </cell>
          <cell r="K255" t="str">
            <v>IJ48-42-2</v>
          </cell>
          <cell r="S255" t="str">
            <v>XLPE/PVC</v>
          </cell>
          <cell r="T255" t="str">
            <v>2x4C+E 50mm2</v>
          </cell>
          <cell r="V255" t="str">
            <v>MCB</v>
          </cell>
          <cell r="W255">
            <v>250</v>
          </cell>
          <cell r="AF255">
            <v>2007</v>
          </cell>
          <cell r="AH255" t="str">
            <v>Rob Van-Tiel</v>
          </cell>
          <cell r="AI255" t="str">
            <v>WC</v>
          </cell>
        </row>
        <row r="256">
          <cell r="E256" t="str">
            <v>W5023152</v>
          </cell>
          <cell r="F256" t="str">
            <v>Binduli PS</v>
          </cell>
          <cell r="G256" t="str">
            <v>E12</v>
          </cell>
          <cell r="H256" t="str">
            <v>E7</v>
          </cell>
          <cell r="J256" t="str">
            <v>415V SN - Essential Services DB</v>
          </cell>
          <cell r="K256" t="str">
            <v>IJ48-42-2</v>
          </cell>
          <cell r="V256" t="str">
            <v>MCB</v>
          </cell>
          <cell r="W256">
            <v>250</v>
          </cell>
          <cell r="AF256">
            <v>2007</v>
          </cell>
          <cell r="AH256" t="str">
            <v>Rob Van-Tiel</v>
          </cell>
          <cell r="AI256" t="str">
            <v>WC</v>
          </cell>
        </row>
        <row r="257">
          <cell r="E257" t="str">
            <v>W0035233</v>
          </cell>
          <cell r="F257" t="str">
            <v>Heritage Dr 2500m3 RCC GL Tanks &amp; PS</v>
          </cell>
          <cell r="H257" t="str">
            <v>Supply Auth</v>
          </cell>
          <cell r="I257" t="str">
            <v>WZ014041</v>
          </cell>
          <cell r="J257" t="str">
            <v>Main SB</v>
          </cell>
          <cell r="K257" t="str">
            <v>IJ16-41-3</v>
          </cell>
          <cell r="M257">
            <v>63</v>
          </cell>
          <cell r="N257">
            <v>22</v>
          </cell>
          <cell r="O257">
            <v>445</v>
          </cell>
          <cell r="S257" t="str">
            <v>PVC/PVC</v>
          </cell>
          <cell r="T257" t="str">
            <v>25mm2</v>
          </cell>
          <cell r="V257" t="str">
            <v>MCB</v>
          </cell>
          <cell r="W257">
            <v>100</v>
          </cell>
          <cell r="X257" t="str">
            <v>IJ16-41-4</v>
          </cell>
          <cell r="AG257" t="str">
            <v>3B</v>
          </cell>
          <cell r="AH257" t="str">
            <v>Craig Warner</v>
          </cell>
          <cell r="AI257" t="str">
            <v>Aroona Alliance</v>
          </cell>
        </row>
        <row r="258">
          <cell r="E258" t="str">
            <v>S101-001-003</v>
          </cell>
          <cell r="F258" t="str">
            <v>Treated Effluent Storage Dam</v>
          </cell>
          <cell r="H258" t="str">
            <v>Supply Auth</v>
          </cell>
          <cell r="J258" t="str">
            <v>WWTP SB</v>
          </cell>
          <cell r="K258" t="str">
            <v>II29-40-1</v>
          </cell>
          <cell r="M258">
            <v>200</v>
          </cell>
          <cell r="N258">
            <v>22</v>
          </cell>
          <cell r="O258">
            <v>433</v>
          </cell>
          <cell r="S258" t="str">
            <v>XLPE/PVC</v>
          </cell>
          <cell r="T258" t="str">
            <v>3x1C+E 240mm2</v>
          </cell>
          <cell r="V258" t="str">
            <v>MCB</v>
          </cell>
          <cell r="W258">
            <v>280</v>
          </cell>
          <cell r="X258" t="str">
            <v>II29-40-3</v>
          </cell>
          <cell r="AB258">
            <v>400</v>
          </cell>
          <cell r="AC258">
            <v>10</v>
          </cell>
          <cell r="AD258">
            <v>1</v>
          </cell>
          <cell r="AE258">
            <v>5.6</v>
          </cell>
          <cell r="AF258">
            <v>2007</v>
          </cell>
          <cell r="AH258" t="str">
            <v>Doug Clapp</v>
          </cell>
          <cell r="AI258" t="str">
            <v>WC</v>
          </cell>
        </row>
        <row r="259">
          <cell r="E259" t="str">
            <v>W1014413</v>
          </cell>
          <cell r="F259" t="str">
            <v>Gnangara Rd Booster PS</v>
          </cell>
          <cell r="H259" t="str">
            <v>Tx 1 &amp; Tx 2</v>
          </cell>
          <cell r="J259" t="str">
            <v>415V SB</v>
          </cell>
          <cell r="K259" t="str">
            <v>IH03-40-1</v>
          </cell>
          <cell r="M259">
            <v>1250</v>
          </cell>
          <cell r="N259">
            <v>22</v>
          </cell>
          <cell r="O259">
            <v>433</v>
          </cell>
          <cell r="R259">
            <v>1.64</v>
          </cell>
          <cell r="S259" t="str">
            <v>XLPE/PVC</v>
          </cell>
          <cell r="T259" t="str">
            <v>9x1C+N 630mm2</v>
          </cell>
          <cell r="V259" t="str">
            <v>MCB</v>
          </cell>
          <cell r="W259">
            <v>2250</v>
          </cell>
          <cell r="X259" t="str">
            <v>IH03-40-2</v>
          </cell>
          <cell r="AA259">
            <v>500</v>
          </cell>
          <cell r="AB259">
            <v>2100</v>
          </cell>
          <cell r="AC259">
            <v>50</v>
          </cell>
          <cell r="AD259">
            <v>1</v>
          </cell>
          <cell r="AE259">
            <v>23.6</v>
          </cell>
          <cell r="AF259">
            <v>2008</v>
          </cell>
          <cell r="AH259" t="str">
            <v>Dean Rayner</v>
          </cell>
          <cell r="AI259" t="str">
            <v>Aroona Alliance</v>
          </cell>
        </row>
        <row r="260">
          <cell r="E260" t="str">
            <v>S2020172</v>
          </cell>
          <cell r="F260" t="str">
            <v>Kwinana Main PS #700-32</v>
          </cell>
          <cell r="H260" t="str">
            <v>Supply Auth</v>
          </cell>
          <cell r="I260" t="str">
            <v>S2023203</v>
          </cell>
          <cell r="J260" t="str">
            <v>Main SB</v>
          </cell>
          <cell r="K260" t="str">
            <v>IG53-40-1</v>
          </cell>
          <cell r="M260">
            <v>160</v>
          </cell>
          <cell r="N260">
            <v>22</v>
          </cell>
          <cell r="O260">
            <v>415</v>
          </cell>
          <cell r="R260">
            <v>5.0999999999999996</v>
          </cell>
          <cell r="S260" t="str">
            <v>XLPE/PVC</v>
          </cell>
          <cell r="T260" t="str">
            <v>3x1C+N 95mm2</v>
          </cell>
          <cell r="V260" t="str">
            <v>MCB</v>
          </cell>
          <cell r="W260">
            <v>228</v>
          </cell>
          <cell r="AA260">
            <v>500</v>
          </cell>
          <cell r="AB260">
            <v>600</v>
          </cell>
          <cell r="AC260">
            <v>20</v>
          </cell>
          <cell r="AD260">
            <v>1</v>
          </cell>
          <cell r="AF260">
            <v>2006</v>
          </cell>
          <cell r="AH260" t="str">
            <v>Dave Sutton</v>
          </cell>
          <cell r="AI260" t="str">
            <v>WC</v>
          </cell>
        </row>
        <row r="261">
          <cell r="E261" t="str">
            <v>S2019016</v>
          </cell>
          <cell r="F261" t="str">
            <v>Cannington PS - Centenary Ave</v>
          </cell>
          <cell r="K261" t="str">
            <v>IG26-40-1</v>
          </cell>
          <cell r="M261">
            <v>160</v>
          </cell>
          <cell r="N261">
            <v>22</v>
          </cell>
          <cell r="O261">
            <v>433</v>
          </cell>
          <cell r="S261" t="str">
            <v>XLPE/PVC</v>
          </cell>
          <cell r="T261" t="str">
            <v>3x1C+N 16mm2</v>
          </cell>
          <cell r="V261" t="str">
            <v>MCB</v>
          </cell>
          <cell r="W261">
            <v>100</v>
          </cell>
          <cell r="X261" t="str">
            <v>IG26-40-2</v>
          </cell>
          <cell r="AE261">
            <v>3.8</v>
          </cell>
          <cell r="AF261">
            <v>2008</v>
          </cell>
          <cell r="AH261" t="str">
            <v>Dave Sutton</v>
          </cell>
          <cell r="AI261" t="str">
            <v>WC</v>
          </cell>
        </row>
        <row r="262">
          <cell r="F262" t="str">
            <v>Kununurra Irrigation M1P1 Pump</v>
          </cell>
          <cell r="H262" t="str">
            <v>Supply Auth</v>
          </cell>
          <cell r="J262" t="str">
            <v>Main Incomer Cubicle</v>
          </cell>
          <cell r="K262" t="str">
            <v>BE45-41-3</v>
          </cell>
          <cell r="S262" t="str">
            <v>XLPE</v>
          </cell>
          <cell r="T262" t="str">
            <v>6x1C+N 120mm2</v>
          </cell>
          <cell r="V262" t="str">
            <v>MCB</v>
          </cell>
          <cell r="W262">
            <v>300</v>
          </cell>
          <cell r="AF262">
            <v>1997</v>
          </cell>
          <cell r="AG262" t="str">
            <v>US</v>
          </cell>
          <cell r="AH262" t="str">
            <v>Steve Farquhar</v>
          </cell>
          <cell r="AI262" t="str">
            <v>WC</v>
          </cell>
          <cell r="AJ262" t="str">
            <v>Not WC owned</v>
          </cell>
        </row>
        <row r="263">
          <cell r="E263" t="str">
            <v>S0032776</v>
          </cell>
          <cell r="F263" t="str">
            <v>Westfield PS #4 River Rd</v>
          </cell>
          <cell r="G263" t="str">
            <v>Panel A</v>
          </cell>
          <cell r="H263" t="str">
            <v>Supply Auth</v>
          </cell>
          <cell r="I263" t="str">
            <v>S0032780</v>
          </cell>
          <cell r="J263" t="str">
            <v>Main Switch Panel</v>
          </cell>
          <cell r="K263" t="str">
            <v>BD79-41-6</v>
          </cell>
          <cell r="M263">
            <v>63</v>
          </cell>
          <cell r="N263">
            <v>22</v>
          </cell>
          <cell r="O263">
            <v>440</v>
          </cell>
          <cell r="P263">
            <v>4.7E-2</v>
          </cell>
          <cell r="R263">
            <v>1.84</v>
          </cell>
          <cell r="S263" t="str">
            <v>XLPE</v>
          </cell>
          <cell r="T263" t="str">
            <v>3x1C+N 25mm2</v>
          </cell>
          <cell r="V263" t="str">
            <v>Fuse</v>
          </cell>
          <cell r="W263">
            <v>160</v>
          </cell>
          <cell r="AF263">
            <v>1990</v>
          </cell>
          <cell r="AH263" t="str">
            <v>Dave Sutton</v>
          </cell>
          <cell r="AI263" t="str">
            <v>WC</v>
          </cell>
        </row>
        <row r="264">
          <cell r="E264" t="str">
            <v>I002-005-001</v>
          </cell>
          <cell r="F264" t="str">
            <v>Kununurra Diversion Dam</v>
          </cell>
          <cell r="H264" t="str">
            <v>Supply Auth</v>
          </cell>
          <cell r="J264" t="str">
            <v>Main SB</v>
          </cell>
          <cell r="K264" t="str">
            <v>BC88-41-3</v>
          </cell>
          <cell r="M264">
            <v>200</v>
          </cell>
          <cell r="N264">
            <v>6.6</v>
          </cell>
          <cell r="O264">
            <v>440</v>
          </cell>
          <cell r="AF264">
            <v>1990</v>
          </cell>
          <cell r="AG264" t="str">
            <v>FUTURE-K</v>
          </cell>
          <cell r="AH264" t="str">
            <v>Steve Farquhar</v>
          </cell>
          <cell r="AI264" t="str">
            <v>WC</v>
          </cell>
          <cell r="AJ264" t="str">
            <v>Site is in good condition</v>
          </cell>
        </row>
        <row r="265">
          <cell r="E265" t="str">
            <v>S0044584</v>
          </cell>
          <cell r="F265" t="str">
            <v>Mary St PS #43</v>
          </cell>
          <cell r="H265" t="str">
            <v>Supply Auth</v>
          </cell>
          <cell r="I265" t="str">
            <v>S8007181</v>
          </cell>
          <cell r="K265" t="str">
            <v>BA52-42-5</v>
          </cell>
          <cell r="S265" t="str">
            <v>XLPE/PVC</v>
          </cell>
          <cell r="T265" t="str">
            <v>3x1C+N 95mm2</v>
          </cell>
          <cell r="V265" t="str">
            <v>MCB</v>
          </cell>
          <cell r="W265">
            <v>250</v>
          </cell>
          <cell r="AF265">
            <v>2007</v>
          </cell>
          <cell r="AH265" t="str">
            <v>Chris Cooper</v>
          </cell>
          <cell r="AI265" t="str">
            <v>Aroona Alliance</v>
          </cell>
        </row>
        <row r="266">
          <cell r="F266" t="str">
            <v>Lookout Hill Transfer PS</v>
          </cell>
          <cell r="H266" t="str">
            <v>Supply Auth</v>
          </cell>
          <cell r="J266" t="str">
            <v>Incoming Mains Cubicle</v>
          </cell>
          <cell r="K266" t="str">
            <v>BA20-41-8</v>
          </cell>
          <cell r="V266" t="str">
            <v>MCB</v>
          </cell>
          <cell r="W266">
            <v>400</v>
          </cell>
          <cell r="AF266">
            <v>1988</v>
          </cell>
          <cell r="AG266" t="str">
            <v>US</v>
          </cell>
          <cell r="AH266" t="str">
            <v>Steve Farquhar</v>
          </cell>
          <cell r="AI266" t="str">
            <v>WC</v>
          </cell>
          <cell r="AJ266" t="str">
            <v>This site is no longer WC Property</v>
          </cell>
        </row>
        <row r="267">
          <cell r="E267" t="str">
            <v>D0036493</v>
          </cell>
          <cell r="F267" t="str">
            <v>Morris Buzacott Reserve PS</v>
          </cell>
          <cell r="H267" t="str">
            <v>Supply Auth</v>
          </cell>
          <cell r="I267">
            <v>1989</v>
          </cell>
          <cell r="J267" t="str">
            <v>Main CB Cubicle</v>
          </cell>
          <cell r="K267" t="str">
            <v>AZ10-41-4</v>
          </cell>
          <cell r="T267" t="str">
            <v>3x1C+N 120mm2</v>
          </cell>
          <cell r="V267" t="str">
            <v>MCB</v>
          </cell>
          <cell r="W267">
            <v>400</v>
          </cell>
          <cell r="AF267">
            <v>1989</v>
          </cell>
          <cell r="AG267">
            <v>2</v>
          </cell>
          <cell r="AH267" t="str">
            <v>Dave Sutton</v>
          </cell>
          <cell r="AI267" t="str">
            <v>WC</v>
          </cell>
        </row>
        <row r="268">
          <cell r="E268" t="str">
            <v>D0036487</v>
          </cell>
          <cell r="F268" t="str">
            <v>Frederick Baldwin Park PS (Sanders Loop)</v>
          </cell>
          <cell r="H268" t="str">
            <v>Padmount Tr</v>
          </cell>
          <cell r="J268" t="str">
            <v>Main Incomer Cubicle</v>
          </cell>
          <cell r="K268" t="str">
            <v>AZ09-41-4</v>
          </cell>
          <cell r="M268">
            <v>500</v>
          </cell>
          <cell r="N268">
            <v>22</v>
          </cell>
          <cell r="O268">
            <v>440</v>
          </cell>
          <cell r="S268" t="str">
            <v>XLPE</v>
          </cell>
          <cell r="T268" t="str">
            <v>6x1C+N 150mm2</v>
          </cell>
          <cell r="V268" t="str">
            <v>MCB</v>
          </cell>
          <cell r="W268">
            <v>700</v>
          </cell>
          <cell r="AF268">
            <v>1988</v>
          </cell>
          <cell r="AG268">
            <v>2</v>
          </cell>
          <cell r="AH268" t="str">
            <v>Dave Sutton</v>
          </cell>
          <cell r="AI268" t="str">
            <v>WC</v>
          </cell>
        </row>
        <row r="269">
          <cell r="F269" t="str">
            <v>Conjurunup Pipehead Dam</v>
          </cell>
          <cell r="H269" t="str">
            <v>Supply Auth</v>
          </cell>
          <cell r="J269" t="str">
            <v>Main SB</v>
          </cell>
          <cell r="K269" t="str">
            <v>AU75-40-1</v>
          </cell>
          <cell r="M269">
            <v>63</v>
          </cell>
          <cell r="N269">
            <v>22</v>
          </cell>
          <cell r="O269">
            <v>440</v>
          </cell>
          <cell r="P269">
            <v>4.7E-2</v>
          </cell>
          <cell r="R269">
            <v>0.39600000000000002</v>
          </cell>
          <cell r="S269" t="str">
            <v>PVC</v>
          </cell>
          <cell r="T269" t="str">
            <v>1x4C 50mm2</v>
          </cell>
          <cell r="V269" t="str">
            <v>MCB</v>
          </cell>
          <cell r="W269">
            <v>63</v>
          </cell>
          <cell r="AE269">
            <v>1.75</v>
          </cell>
          <cell r="AF269">
            <v>1992</v>
          </cell>
          <cell r="AH269" t="str">
            <v>Craig Warner</v>
          </cell>
          <cell r="AI269" t="str">
            <v>Aroona Alliance</v>
          </cell>
        </row>
        <row r="270">
          <cell r="F270" t="str">
            <v>North Dandalup Damn</v>
          </cell>
          <cell r="H270" t="str">
            <v>Supply Auth</v>
          </cell>
          <cell r="J270" t="str">
            <v>Site Man SB</v>
          </cell>
          <cell r="K270" t="str">
            <v>AU73-41-4</v>
          </cell>
          <cell r="V270" t="str">
            <v>MCB</v>
          </cell>
          <cell r="W270">
            <v>160</v>
          </cell>
          <cell r="AF270">
            <v>1994</v>
          </cell>
          <cell r="AH270" t="str">
            <v>Craig Warner</v>
          </cell>
          <cell r="AI270" t="str">
            <v>Aroona Alliance</v>
          </cell>
        </row>
        <row r="271">
          <cell r="F271" t="str">
            <v>North Dandalup Damn</v>
          </cell>
          <cell r="H271" t="str">
            <v>Site Main SB</v>
          </cell>
          <cell r="J271" t="str">
            <v>Operations Building SB</v>
          </cell>
          <cell r="K271" t="str">
            <v>AU73-42-4</v>
          </cell>
          <cell r="V271" t="str">
            <v>MCB</v>
          </cell>
          <cell r="W271">
            <v>160</v>
          </cell>
          <cell r="AF271">
            <v>1994</v>
          </cell>
          <cell r="AH271" t="str">
            <v>Craig Warner</v>
          </cell>
          <cell r="AI271" t="str">
            <v>Aroona Alliance</v>
          </cell>
        </row>
        <row r="272">
          <cell r="E272" t="str">
            <v>S0028683</v>
          </cell>
          <cell r="F272" t="str">
            <v>Victoria Rd West PS #5</v>
          </cell>
          <cell r="I272" t="str">
            <v>S0028686</v>
          </cell>
          <cell r="K272" t="str">
            <v>AU18-40-1</v>
          </cell>
          <cell r="M272">
            <v>200</v>
          </cell>
          <cell r="N272">
            <v>22</v>
          </cell>
          <cell r="O272">
            <v>440</v>
          </cell>
          <cell r="R272">
            <v>7.2</v>
          </cell>
          <cell r="S272" t="str">
            <v>XLPE/PVC</v>
          </cell>
          <cell r="T272" t="str">
            <v>240mm2</v>
          </cell>
          <cell r="V272" t="str">
            <v>MCB</v>
          </cell>
          <cell r="W272">
            <v>400</v>
          </cell>
          <cell r="X272" t="str">
            <v>AU18-40-2</v>
          </cell>
          <cell r="AE272">
            <v>5.85</v>
          </cell>
          <cell r="AF272">
            <v>1993</v>
          </cell>
          <cell r="AH272" t="str">
            <v>Dave Sutton</v>
          </cell>
          <cell r="AI272" t="str">
            <v>WC</v>
          </cell>
        </row>
        <row r="273">
          <cell r="F273" t="str">
            <v>Two Rocks WTP Bores #6 &amp; #7</v>
          </cell>
          <cell r="H273" t="str">
            <v>Supply Auth</v>
          </cell>
          <cell r="J273" t="str">
            <v>Main SB</v>
          </cell>
          <cell r="K273" t="str">
            <v>AQ84-40-11</v>
          </cell>
          <cell r="N273">
            <v>22</v>
          </cell>
          <cell r="O273">
            <v>415</v>
          </cell>
          <cell r="T273" t="str">
            <v>95mm2</v>
          </cell>
          <cell r="U273">
            <v>15</v>
          </cell>
          <cell r="V273" t="str">
            <v>MCB</v>
          </cell>
          <cell r="W273">
            <v>225</v>
          </cell>
          <cell r="AA273">
            <v>415</v>
          </cell>
          <cell r="AF273">
            <v>1981</v>
          </cell>
          <cell r="AG273" t="str">
            <v>g</v>
          </cell>
          <cell r="AH273" t="str">
            <v>Dean Rayner</v>
          </cell>
          <cell r="AI273" t="str">
            <v>Aroona Alliance</v>
          </cell>
          <cell r="AJ273" t="str">
            <v>Modifications since install. Control wiring changed due to new telemetry system. SB in good condition. TF nameplate not accessible</v>
          </cell>
        </row>
        <row r="274">
          <cell r="E274" t="str">
            <v>W0046387</v>
          </cell>
          <cell r="F274" t="str">
            <v>Harris Dam</v>
          </cell>
          <cell r="H274" t="str">
            <v>Aux Tx</v>
          </cell>
          <cell r="J274" t="str">
            <v>Station Aux Cubicle</v>
          </cell>
          <cell r="K274" t="str">
            <v>AA03-44-19</v>
          </cell>
          <cell r="M274">
            <v>315</v>
          </cell>
          <cell r="N274">
            <v>6.6</v>
          </cell>
          <cell r="O274">
            <v>440</v>
          </cell>
          <cell r="P274">
            <v>3.6999999999999998E-2</v>
          </cell>
          <cell r="R274">
            <v>2.37</v>
          </cell>
          <cell r="S274" t="str">
            <v>XLPE/PVC</v>
          </cell>
          <cell r="T274" t="str">
            <v>95mm2</v>
          </cell>
          <cell r="V274" t="str">
            <v>MCB</v>
          </cell>
          <cell r="W274">
            <v>225</v>
          </cell>
          <cell r="AF274">
            <v>1989</v>
          </cell>
          <cell r="AG274">
            <v>2</v>
          </cell>
          <cell r="AH274" t="str">
            <v>Ian Oswald</v>
          </cell>
          <cell r="AI274" t="str">
            <v>WC</v>
          </cell>
        </row>
        <row r="275">
          <cell r="E275" t="str">
            <v>S089-001-003</v>
          </cell>
          <cell r="F275" t="str">
            <v>Mandurah WWTP #2</v>
          </cell>
          <cell r="H275" t="str">
            <v>Tx</v>
          </cell>
          <cell r="J275" t="str">
            <v>440V MCC #1</v>
          </cell>
          <cell r="K275" t="str">
            <v>56112-91-1</v>
          </cell>
          <cell r="M275">
            <v>300</v>
          </cell>
          <cell r="N275">
            <v>22</v>
          </cell>
          <cell r="O275">
            <v>440</v>
          </cell>
          <cell r="V275" t="str">
            <v>MCB</v>
          </cell>
          <cell r="W275">
            <v>600</v>
          </cell>
          <cell r="AA275">
            <v>440</v>
          </cell>
          <cell r="AB275">
            <v>600</v>
          </cell>
          <cell r="AF275">
            <v>1985</v>
          </cell>
          <cell r="AG275" t="str">
            <v>g</v>
          </cell>
          <cell r="AH275" t="str">
            <v>Chris Cooper</v>
          </cell>
          <cell r="AI275" t="str">
            <v>Aroona Alliance</v>
          </cell>
          <cell r="AJ275" t="str">
            <v>Same as board #215</v>
          </cell>
        </row>
        <row r="276">
          <cell r="F276" t="str">
            <v>Laporte Titanium Oxide Plant - Effluent Disposal</v>
          </cell>
          <cell r="H276" t="str">
            <v>Metering Cubicle A</v>
          </cell>
          <cell r="J276" t="str">
            <v>440V SB</v>
          </cell>
          <cell r="K276" t="str">
            <v>55760-43-3</v>
          </cell>
          <cell r="M276">
            <v>200</v>
          </cell>
          <cell r="N276">
            <v>6.6</v>
          </cell>
          <cell r="O276">
            <v>440</v>
          </cell>
          <cell r="V276" t="str">
            <v>MCB</v>
          </cell>
          <cell r="W276">
            <v>250</v>
          </cell>
          <cell r="AF276">
            <v>1984</v>
          </cell>
          <cell r="AG276" t="str">
            <v>US</v>
          </cell>
          <cell r="AH276" t="str">
            <v>Doug Clapp</v>
          </cell>
          <cell r="AI276" t="str">
            <v>WC</v>
          </cell>
          <cell r="AJ276" t="str">
            <v>Site decommissioned</v>
          </cell>
        </row>
        <row r="277">
          <cell r="E277" t="str">
            <v>W0045264</v>
          </cell>
          <cell r="F277" t="str">
            <v>Australind WTP - Old Coast Rd</v>
          </cell>
          <cell r="G277" t="str">
            <v>Incomer SB</v>
          </cell>
          <cell r="H277" t="str">
            <v>Padmount Kiosk</v>
          </cell>
          <cell r="J277" t="str">
            <v>Incomer Switchboard</v>
          </cell>
          <cell r="K277" t="str">
            <v>CV53-42-1.1</v>
          </cell>
          <cell r="M277">
            <v>500</v>
          </cell>
          <cell r="N277">
            <v>22</v>
          </cell>
          <cell r="O277">
            <v>440</v>
          </cell>
          <cell r="P277">
            <v>4.7E-2</v>
          </cell>
          <cell r="S277" t="str">
            <v>XLPE</v>
          </cell>
          <cell r="T277" t="str">
            <v>3x1C 150mm2</v>
          </cell>
          <cell r="V277" t="str">
            <v>Fuse</v>
          </cell>
          <cell r="W277">
            <v>40</v>
          </cell>
          <cell r="AF277">
            <v>1993</v>
          </cell>
          <cell r="AG277">
            <v>2</v>
          </cell>
          <cell r="AH277" t="str">
            <v>Ian Oswald</v>
          </cell>
          <cell r="AI277" t="str">
            <v>WC</v>
          </cell>
        </row>
        <row r="278">
          <cell r="E278" t="str">
            <v>W0045264</v>
          </cell>
          <cell r="F278" t="str">
            <v>Australind WTP - Old Coast Rd</v>
          </cell>
          <cell r="G278" t="str">
            <v>Cubicle A</v>
          </cell>
          <cell r="H278" t="str">
            <v>Distribution Cubicle</v>
          </cell>
          <cell r="I278" t="str">
            <v>W8010733</v>
          </cell>
          <cell r="J278" t="str">
            <v>Chemical Feed Building Main Switch &amp; Distribution Cubicle A</v>
          </cell>
          <cell r="K278" t="str">
            <v>CV53-42-1.2</v>
          </cell>
          <cell r="M278">
            <v>500</v>
          </cell>
          <cell r="N278">
            <v>22</v>
          </cell>
          <cell r="O278">
            <v>440</v>
          </cell>
          <cell r="S278" t="str">
            <v>PVC</v>
          </cell>
          <cell r="T278" t="str">
            <v>4x1C+E+N 185mm2</v>
          </cell>
          <cell r="V278" t="str">
            <v>MCB</v>
          </cell>
          <cell r="W278">
            <v>400</v>
          </cell>
          <cell r="AA278">
            <v>415</v>
          </cell>
          <cell r="AF278">
            <v>1993</v>
          </cell>
          <cell r="AG278" t="str">
            <v>3B</v>
          </cell>
          <cell r="AH278" t="str">
            <v>Ian Oswald</v>
          </cell>
          <cell r="AI278" t="str">
            <v>WC</v>
          </cell>
          <cell r="AJ278" t="str">
            <v>recommended for stage 3</v>
          </cell>
        </row>
        <row r="279">
          <cell r="E279" t="str">
            <v>S091-001-004</v>
          </cell>
          <cell r="F279" t="str">
            <v>Mandurah WWTP #1</v>
          </cell>
          <cell r="G279" t="str">
            <v>DB03101</v>
          </cell>
          <cell r="H279" t="str">
            <v>MC03100</v>
          </cell>
          <cell r="J279" t="str">
            <v>Light &amp; Small Power DB</v>
          </cell>
          <cell r="K279" t="str">
            <v>DX32-41-400.1</v>
          </cell>
          <cell r="R279">
            <v>20.3</v>
          </cell>
          <cell r="S279" t="str">
            <v>XLPE/PVC</v>
          </cell>
          <cell r="T279" t="str">
            <v>3x1C 35mm2</v>
          </cell>
          <cell r="U279">
            <v>15</v>
          </cell>
          <cell r="V279" t="str">
            <v>MCB</v>
          </cell>
          <cell r="W279">
            <v>100</v>
          </cell>
          <cell r="AA279">
            <v>415</v>
          </cell>
          <cell r="AB279">
            <v>250</v>
          </cell>
          <cell r="AC279">
            <v>25</v>
          </cell>
          <cell r="AD279">
            <v>0.1</v>
          </cell>
          <cell r="AF279">
            <v>2008</v>
          </cell>
          <cell r="AH279" t="str">
            <v>Chris Cooper</v>
          </cell>
          <cell r="AI279" t="str">
            <v>Aroona Alliance</v>
          </cell>
        </row>
        <row r="280">
          <cell r="E280" t="str">
            <v>S091-001-004</v>
          </cell>
          <cell r="F280" t="str">
            <v>Mandurah WWTP #1</v>
          </cell>
          <cell r="G280" t="str">
            <v>DB03102</v>
          </cell>
          <cell r="H280" t="str">
            <v>MC03100</v>
          </cell>
          <cell r="J280" t="str">
            <v>Centrifuge Building Power DB</v>
          </cell>
          <cell r="K280" t="str">
            <v>DX32-41-403.1</v>
          </cell>
          <cell r="R280">
            <v>20.3</v>
          </cell>
          <cell r="S280" t="str">
            <v>XLPE/PVC</v>
          </cell>
          <cell r="T280" t="str">
            <v>3x1C 95mm2</v>
          </cell>
          <cell r="U280">
            <v>175</v>
          </cell>
          <cell r="V280" t="str">
            <v>MCB</v>
          </cell>
          <cell r="W280">
            <v>100</v>
          </cell>
          <cell r="AA280">
            <v>415</v>
          </cell>
          <cell r="AB280">
            <v>250</v>
          </cell>
          <cell r="AC280">
            <v>25</v>
          </cell>
          <cell r="AD280">
            <v>0.1</v>
          </cell>
          <cell r="AF280">
            <v>2008</v>
          </cell>
          <cell r="AH280" t="str">
            <v>Chris Cooper</v>
          </cell>
          <cell r="AI280" t="str">
            <v>Aroona Alliance</v>
          </cell>
        </row>
        <row r="281">
          <cell r="E281" t="str">
            <v>W1001626</v>
          </cell>
          <cell r="F281" t="str">
            <v>Melville Reservoir Bore MR17</v>
          </cell>
          <cell r="H281" t="str">
            <v>Supply Auth</v>
          </cell>
          <cell r="K281" t="str">
            <v>DW76-41-2</v>
          </cell>
          <cell r="M281">
            <v>630</v>
          </cell>
          <cell r="N281">
            <v>22</v>
          </cell>
          <cell r="O281">
            <v>432</v>
          </cell>
          <cell r="S281" t="str">
            <v>XLPE/PVC</v>
          </cell>
          <cell r="T281" t="str">
            <v>6x1C 240mm2</v>
          </cell>
          <cell r="V281" t="str">
            <v>MCB</v>
          </cell>
          <cell r="W281">
            <v>450</v>
          </cell>
          <cell r="X281" t="str">
            <v>DW76-40-3</v>
          </cell>
          <cell r="AA281">
            <v>415</v>
          </cell>
          <cell r="AB281">
            <v>1000</v>
          </cell>
          <cell r="AC281">
            <v>23</v>
          </cell>
          <cell r="AF281">
            <v>1996</v>
          </cell>
          <cell r="AH281" t="str">
            <v>Dean Rayner</v>
          </cell>
          <cell r="AI281" t="str">
            <v>Aroona Alliance</v>
          </cell>
        </row>
        <row r="282">
          <cell r="E282" t="str">
            <v>S0030110</v>
          </cell>
          <cell r="F282" t="str">
            <v>Creswell Rd Main PS</v>
          </cell>
          <cell r="H282" t="str">
            <v>Supply Auth</v>
          </cell>
          <cell r="I282" t="str">
            <v>S0030121</v>
          </cell>
          <cell r="J282" t="str">
            <v>Main SB</v>
          </cell>
          <cell r="K282" t="str">
            <v>DW58-42-1</v>
          </cell>
          <cell r="M282">
            <v>630</v>
          </cell>
          <cell r="N282">
            <v>11</v>
          </cell>
          <cell r="O282">
            <v>440</v>
          </cell>
          <cell r="R282">
            <v>19.5</v>
          </cell>
          <cell r="S282" t="str">
            <v>XLPE/PVC</v>
          </cell>
          <cell r="T282" t="str">
            <v>6x1C 240mm2</v>
          </cell>
          <cell r="V282" t="str">
            <v>MCB</v>
          </cell>
          <cell r="W282">
            <v>720</v>
          </cell>
          <cell r="X282" t="str">
            <v>DW58-40-03</v>
          </cell>
          <cell r="AA282">
            <v>415</v>
          </cell>
          <cell r="AB282">
            <v>2400</v>
          </cell>
          <cell r="AC282">
            <v>50</v>
          </cell>
          <cell r="AD282">
            <v>1</v>
          </cell>
          <cell r="AE282">
            <v>37</v>
          </cell>
          <cell r="AF282">
            <v>2004</v>
          </cell>
          <cell r="AG282">
            <v>1</v>
          </cell>
          <cell r="AH282" t="str">
            <v>Dave Sutton</v>
          </cell>
          <cell r="AI282" t="str">
            <v>WC</v>
          </cell>
        </row>
        <row r="283">
          <cell r="E283" t="str">
            <v>W0039293</v>
          </cell>
          <cell r="F283" t="str">
            <v>Allanooka Bore 2/83</v>
          </cell>
          <cell r="H283" t="str">
            <v>WC Tx</v>
          </cell>
          <cell r="I283" t="str">
            <v>W4009291</v>
          </cell>
          <cell r="J283" t="str">
            <v>BORE 2/83</v>
          </cell>
          <cell r="K283" t="str">
            <v>DW56-42-4</v>
          </cell>
          <cell r="M283">
            <v>200</v>
          </cell>
          <cell r="N283">
            <v>33</v>
          </cell>
          <cell r="O283">
            <v>440</v>
          </cell>
          <cell r="S283" t="str">
            <v>XLPE/PVC</v>
          </cell>
          <cell r="T283" t="str">
            <v>3x1C 95mm2</v>
          </cell>
          <cell r="V283" t="str">
            <v>MCB</v>
          </cell>
          <cell r="W283">
            <v>250</v>
          </cell>
          <cell r="AF283">
            <v>1996</v>
          </cell>
          <cell r="AG283" t="str">
            <v>3B</v>
          </cell>
          <cell r="AH283" t="str">
            <v>Russell Blyth</v>
          </cell>
          <cell r="AI283" t="str">
            <v>WC</v>
          </cell>
          <cell r="AJ283" t="str">
            <v>Standard external SwBd, Main switch (Merlin Gerin NS250, NS400) actuating lever breaks off - 2 of so far</v>
          </cell>
        </row>
        <row r="284">
          <cell r="E284" t="str">
            <v>S079-001-004</v>
          </cell>
          <cell r="F284" t="str">
            <v>Bunbury WWTP #2</v>
          </cell>
          <cell r="G284" t="str">
            <v>SB1</v>
          </cell>
          <cell r="H284" t="str">
            <v>Supply Auth</v>
          </cell>
          <cell r="J284" t="str">
            <v>Main SB</v>
          </cell>
          <cell r="K284" t="str">
            <v>DO01-41-6</v>
          </cell>
          <cell r="L284" t="str">
            <v>Merlin Gerin</v>
          </cell>
          <cell r="M284">
            <v>500</v>
          </cell>
          <cell r="N284">
            <v>22</v>
          </cell>
          <cell r="O284">
            <v>433</v>
          </cell>
          <cell r="P284">
            <v>4.1099999999999998E-2</v>
          </cell>
          <cell r="S284" t="str">
            <v>XLPE</v>
          </cell>
          <cell r="T284" t="str">
            <v>8x1C 240mm2</v>
          </cell>
          <cell r="U284">
            <v>8</v>
          </cell>
          <cell r="V284" t="str">
            <v>MCB</v>
          </cell>
          <cell r="W284">
            <v>800</v>
          </cell>
          <cell r="Y284" t="str">
            <v>Western Controls</v>
          </cell>
          <cell r="Z284" t="str">
            <v>Western Controls</v>
          </cell>
          <cell r="AA284">
            <v>4890</v>
          </cell>
          <cell r="AB284">
            <v>800</v>
          </cell>
          <cell r="AC284">
            <v>50</v>
          </cell>
          <cell r="AD284">
            <v>1</v>
          </cell>
          <cell r="AF284">
            <v>2008</v>
          </cell>
          <cell r="AH284" t="str">
            <v>Doug Clapp</v>
          </cell>
          <cell r="AI284" t="str">
            <v>WC</v>
          </cell>
          <cell r="AJ284" t="str">
            <v>Main switch (Merlin Gerin NS250, NS400) actuating lever breaks off - 2 of so far</v>
          </cell>
        </row>
        <row r="285">
          <cell r="E285" t="str">
            <v>S0032687</v>
          </cell>
          <cell r="F285" t="str">
            <v>Swanbourne Main PS</v>
          </cell>
          <cell r="G285" t="str">
            <v>SB1</v>
          </cell>
          <cell r="H285" t="str">
            <v>Supply Auth</v>
          </cell>
          <cell r="I285" t="str">
            <v>S0032694</v>
          </cell>
          <cell r="J285" t="str">
            <v>Main SB</v>
          </cell>
          <cell r="K285" t="str">
            <v>DM86-43-1.2</v>
          </cell>
          <cell r="M285">
            <v>315</v>
          </cell>
          <cell r="N285">
            <v>6.6109999999999998</v>
          </cell>
          <cell r="O285">
            <v>440</v>
          </cell>
          <cell r="V285" t="str">
            <v>MCB</v>
          </cell>
          <cell r="W285">
            <v>480</v>
          </cell>
          <cell r="X285" t="str">
            <v>DM86-40-3</v>
          </cell>
          <cell r="Z285" t="str">
            <v>WACORP</v>
          </cell>
          <cell r="AA285">
            <v>415</v>
          </cell>
          <cell r="AB285">
            <v>590</v>
          </cell>
          <cell r="AE285">
            <v>6.86</v>
          </cell>
          <cell r="AF285">
            <v>1997</v>
          </cell>
          <cell r="AG285">
            <v>1</v>
          </cell>
          <cell r="AH285" t="str">
            <v>Dave Sutton</v>
          </cell>
          <cell r="AI285" t="str">
            <v>WC</v>
          </cell>
          <cell r="AJ285" t="str">
            <v xml:space="preserve">No longer 6kv changed 2009 to 11kv ka now higher ka, there has been additions and modifications to bus. Warrants ka assessment consider replacement. </v>
          </cell>
        </row>
        <row r="286">
          <cell r="E286" t="str">
            <v>W1001630</v>
          </cell>
          <cell r="F286" t="str">
            <v>Leederville Bore L6</v>
          </cell>
          <cell r="H286" t="str">
            <v>Kiosk Transformer</v>
          </cell>
          <cell r="J286" t="str">
            <v>Main Switch &amp; Motor CB Cubicle</v>
          </cell>
          <cell r="K286" t="str">
            <v>DM84-41-6</v>
          </cell>
          <cell r="M286">
            <v>500</v>
          </cell>
          <cell r="N286">
            <v>11</v>
          </cell>
          <cell r="O286">
            <v>440</v>
          </cell>
          <cell r="P286">
            <v>0.04</v>
          </cell>
          <cell r="S286" t="str">
            <v>XLPE</v>
          </cell>
          <cell r="T286" t="str">
            <v>6x1C 240mm2</v>
          </cell>
          <cell r="V286" t="str">
            <v>MCB</v>
          </cell>
          <cell r="W286">
            <v>630</v>
          </cell>
          <cell r="AA286">
            <v>415</v>
          </cell>
          <cell r="AE286">
            <v>14.7</v>
          </cell>
          <cell r="AF286">
            <v>1995</v>
          </cell>
          <cell r="AH286" t="str">
            <v>Dean Rayner</v>
          </cell>
          <cell r="AI286" t="str">
            <v>Aroona Alliance</v>
          </cell>
        </row>
        <row r="287">
          <cell r="E287" t="str">
            <v>W1001530</v>
          </cell>
          <cell r="F287" t="str">
            <v>Wanneroo WT Bore P97</v>
          </cell>
          <cell r="H287" t="str">
            <v>WC Tx</v>
          </cell>
          <cell r="K287" t="str">
            <v>DM46-42-6.1</v>
          </cell>
          <cell r="M287">
            <v>315</v>
          </cell>
          <cell r="N287">
            <v>22</v>
          </cell>
          <cell r="O287">
            <v>440</v>
          </cell>
          <cell r="S287" t="str">
            <v>XLPE/PVC</v>
          </cell>
          <cell r="T287" t="str">
            <v>6x1C 105mm2</v>
          </cell>
          <cell r="V287" t="str">
            <v>MCB</v>
          </cell>
          <cell r="W287">
            <v>630</v>
          </cell>
          <cell r="X287" t="str">
            <v>DM46-40-10</v>
          </cell>
          <cell r="AA287">
            <v>415</v>
          </cell>
          <cell r="AE287">
            <v>7.56</v>
          </cell>
          <cell r="AF287">
            <v>1996</v>
          </cell>
          <cell r="AH287" t="str">
            <v>Dean Rayner</v>
          </cell>
          <cell r="AI287" t="str">
            <v>Aroona Alliance</v>
          </cell>
        </row>
        <row r="288">
          <cell r="E288" t="str">
            <v>N3000190</v>
          </cell>
          <cell r="F288" t="str">
            <v>Kampong PS</v>
          </cell>
          <cell r="H288" t="str">
            <v>Christmas Island Supply Auth</v>
          </cell>
          <cell r="K288" t="str">
            <v>DM09-41-5</v>
          </cell>
          <cell r="S288" t="str">
            <v>Pyrolex</v>
          </cell>
          <cell r="T288" t="str">
            <v>3C 25mm2</v>
          </cell>
          <cell r="V288" t="str">
            <v>MCB</v>
          </cell>
          <cell r="W288">
            <v>125</v>
          </cell>
          <cell r="AF288">
            <v>1994</v>
          </cell>
          <cell r="AG288" t="str">
            <v>US</v>
          </cell>
          <cell r="AH288" t="str">
            <v>Steve Farquhar</v>
          </cell>
          <cell r="AI288" t="str">
            <v>WC</v>
          </cell>
          <cell r="AJ288" t="str">
            <v>Indian ocean territories, federal government owned</v>
          </cell>
        </row>
        <row r="289">
          <cell r="E289" t="str">
            <v>W0046321</v>
          </cell>
          <cell r="F289" t="str">
            <v>Quinninup WTP</v>
          </cell>
          <cell r="H289" t="str">
            <v>Supply Auth</v>
          </cell>
          <cell r="K289" t="str">
            <v>DH34-1-1</v>
          </cell>
          <cell r="S289" t="str">
            <v>PVC</v>
          </cell>
          <cell r="T289" t="str">
            <v>4C 35mm2</v>
          </cell>
          <cell r="U289">
            <v>32</v>
          </cell>
          <cell r="V289" t="str">
            <v>MCB</v>
          </cell>
          <cell r="W289">
            <v>125</v>
          </cell>
          <cell r="AA289">
            <v>415</v>
          </cell>
          <cell r="AB289">
            <v>500</v>
          </cell>
          <cell r="AC289">
            <v>16</v>
          </cell>
          <cell r="AF289">
            <v>1989</v>
          </cell>
          <cell r="AG289">
            <v>2</v>
          </cell>
          <cell r="AH289" t="str">
            <v>Ian Oswald</v>
          </cell>
          <cell r="AI289" t="str">
            <v>WC</v>
          </cell>
        </row>
        <row r="290">
          <cell r="E290" t="str">
            <v>S019-003-003</v>
          </cell>
          <cell r="F290" t="str">
            <v>Albany WWTP #2</v>
          </cell>
          <cell r="H290" t="str">
            <v>Supply Auth</v>
          </cell>
          <cell r="J290" t="str">
            <v>Treatment Plant SB</v>
          </cell>
          <cell r="K290" t="str">
            <v>DE67-41-6</v>
          </cell>
          <cell r="M290">
            <v>315</v>
          </cell>
          <cell r="N290">
            <v>22</v>
          </cell>
          <cell r="O290">
            <v>415</v>
          </cell>
          <cell r="R290">
            <v>8.4700000000000006</v>
          </cell>
          <cell r="S290" t="str">
            <v>XLPE/PVC</v>
          </cell>
          <cell r="T290" t="str">
            <v>3x1C 240mm2</v>
          </cell>
          <cell r="V290" t="str">
            <v>MCB</v>
          </cell>
          <cell r="W290">
            <v>504</v>
          </cell>
          <cell r="X290" t="str">
            <v>DE67-40-3</v>
          </cell>
          <cell r="AE290">
            <v>7.63</v>
          </cell>
          <cell r="AF290">
            <v>1994</v>
          </cell>
          <cell r="AH290" t="str">
            <v>Sam Cockburn</v>
          </cell>
          <cell r="AI290" t="str">
            <v>WC</v>
          </cell>
        </row>
        <row r="291">
          <cell r="E291" t="str">
            <v>S0022311</v>
          </cell>
          <cell r="F291" t="str">
            <v>Main Sewerage PS</v>
          </cell>
          <cell r="H291" t="str">
            <v>Supply Auth</v>
          </cell>
          <cell r="K291" t="str">
            <v>CW33-41-7</v>
          </cell>
          <cell r="M291">
            <v>315</v>
          </cell>
          <cell r="N291">
            <v>22</v>
          </cell>
          <cell r="O291">
            <v>440</v>
          </cell>
          <cell r="R291">
            <v>11.7</v>
          </cell>
          <cell r="S291" t="str">
            <v>XLPE/PVC</v>
          </cell>
          <cell r="T291" t="str">
            <v>3x1C 240mm2</v>
          </cell>
          <cell r="V291" t="str">
            <v>MCB</v>
          </cell>
          <cell r="W291">
            <v>630</v>
          </cell>
          <cell r="X291" t="str">
            <v>CW33-40-3</v>
          </cell>
          <cell r="AE291">
            <v>8.1199999999999992</v>
          </cell>
          <cell r="AF291">
            <v>1994</v>
          </cell>
          <cell r="AH291" t="str">
            <v>Sam Cockburn</v>
          </cell>
          <cell r="AI291" t="str">
            <v>WC</v>
          </cell>
        </row>
        <row r="292">
          <cell r="E292" t="str">
            <v>C0013576</v>
          </cell>
          <cell r="F292" t="str">
            <v>Northam Workshop</v>
          </cell>
          <cell r="H292" t="str">
            <v>Supply Auth</v>
          </cell>
          <cell r="K292" t="str">
            <v>CV73-42-2</v>
          </cell>
          <cell r="V292" t="str">
            <v>MCB</v>
          </cell>
          <cell r="W292">
            <v>800</v>
          </cell>
          <cell r="AF292">
            <v>2002</v>
          </cell>
          <cell r="AH292" t="str">
            <v>Rob Van-Tiel</v>
          </cell>
          <cell r="AI292" t="str">
            <v>WC</v>
          </cell>
        </row>
        <row r="293">
          <cell r="F293" t="str">
            <v>Eaton Water Supply</v>
          </cell>
          <cell r="K293" t="str">
            <v>CV53-42-1.1</v>
          </cell>
          <cell r="M293">
            <v>500</v>
          </cell>
          <cell r="N293">
            <v>22</v>
          </cell>
          <cell r="O293">
            <v>440</v>
          </cell>
          <cell r="P293">
            <v>4.7E-2</v>
          </cell>
          <cell r="R293">
            <v>12.9</v>
          </cell>
          <cell r="S293" t="str">
            <v>XLPE/PVC</v>
          </cell>
          <cell r="T293" t="str">
            <v>3x4C 150mm2</v>
          </cell>
          <cell r="V293" t="str">
            <v>MCB</v>
          </cell>
          <cell r="W293">
            <v>1000</v>
          </cell>
          <cell r="AE293">
            <v>12.6</v>
          </cell>
          <cell r="AF293">
            <v>1994</v>
          </cell>
          <cell r="AG293" t="str">
            <v>g</v>
          </cell>
          <cell r="AH293" t="str">
            <v>Ian Oswald</v>
          </cell>
          <cell r="AI293" t="str">
            <v>WC</v>
          </cell>
        </row>
        <row r="294">
          <cell r="E294" t="str">
            <v>S0044107</v>
          </cell>
          <cell r="F294" t="str">
            <v>Main Sewerage PS 'G'</v>
          </cell>
          <cell r="H294" t="str">
            <v>Kiosk Transformer</v>
          </cell>
          <cell r="J294" t="str">
            <v>Main MCC</v>
          </cell>
          <cell r="K294" t="str">
            <v>CR10-41-7</v>
          </cell>
          <cell r="L294" t="str">
            <v>ABB</v>
          </cell>
          <cell r="M294">
            <v>315</v>
          </cell>
          <cell r="N294">
            <v>22</v>
          </cell>
          <cell r="O294">
            <v>440</v>
          </cell>
          <cell r="P294">
            <v>3.9E-2</v>
          </cell>
          <cell r="R294">
            <v>8.25</v>
          </cell>
          <cell r="S294" t="str">
            <v>XLPE</v>
          </cell>
          <cell r="T294" t="str">
            <v>3C 240mm2</v>
          </cell>
          <cell r="U294">
            <v>20</v>
          </cell>
          <cell r="V294" t="str">
            <v>MCB</v>
          </cell>
          <cell r="W294">
            <v>400</v>
          </cell>
          <cell r="Y294" t="str">
            <v>WAWA</v>
          </cell>
          <cell r="Z294" t="str">
            <v>CWS</v>
          </cell>
          <cell r="AA294">
            <v>440</v>
          </cell>
          <cell r="AB294">
            <v>400</v>
          </cell>
          <cell r="AC294">
            <v>50</v>
          </cell>
          <cell r="AD294">
            <v>1</v>
          </cell>
          <cell r="AE294">
            <v>7.96</v>
          </cell>
          <cell r="AF294">
            <v>1994</v>
          </cell>
          <cell r="AH294" t="str">
            <v>Doug Clapp</v>
          </cell>
          <cell r="AI294" t="str">
            <v>WC</v>
          </cell>
          <cell r="AJ294" t="str">
            <v>PS scheduled for upgrade</v>
          </cell>
        </row>
        <row r="295">
          <cell r="E295" t="str">
            <v>D0036707</v>
          </cell>
          <cell r="F295" t="str">
            <v>Yangebup Lake Interim PS</v>
          </cell>
          <cell r="H295" t="str">
            <v>Supply Auth</v>
          </cell>
          <cell r="K295" t="str">
            <v>CQ20-41-4</v>
          </cell>
          <cell r="V295" t="str">
            <v>Fuse</v>
          </cell>
          <cell r="W295">
            <v>200</v>
          </cell>
          <cell r="AF295">
            <v>1993</v>
          </cell>
          <cell r="AH295" t="str">
            <v>Dave Sutton</v>
          </cell>
          <cell r="AI295" t="str">
            <v>WC</v>
          </cell>
        </row>
        <row r="296">
          <cell r="E296" t="str">
            <v>W8005137</v>
          </cell>
          <cell r="F296" t="str">
            <v>Ten Mile Brook Dam Water Treatment Facilities</v>
          </cell>
          <cell r="K296" t="str">
            <v>CO30-40-1</v>
          </cell>
          <cell r="M296">
            <v>500</v>
          </cell>
          <cell r="N296">
            <v>22</v>
          </cell>
          <cell r="O296">
            <v>433</v>
          </cell>
          <cell r="S296" t="str">
            <v>XLPE/PVC</v>
          </cell>
          <cell r="T296" t="str">
            <v>6x1C 240mm2</v>
          </cell>
          <cell r="V296" t="str">
            <v>MCB</v>
          </cell>
          <cell r="W296">
            <v>560</v>
          </cell>
          <cell r="X296" t="str">
            <v>CO30-40-4</v>
          </cell>
          <cell r="AA296">
            <v>415</v>
          </cell>
          <cell r="AB296">
            <v>800</v>
          </cell>
          <cell r="AC296">
            <v>20</v>
          </cell>
          <cell r="AD296">
            <v>1</v>
          </cell>
          <cell r="AE296">
            <v>14.8</v>
          </cell>
          <cell r="AF296">
            <v>2008</v>
          </cell>
          <cell r="AH296" t="str">
            <v>Ian Oswald</v>
          </cell>
          <cell r="AI296" t="str">
            <v>WC</v>
          </cell>
        </row>
        <row r="297">
          <cell r="E297" t="str">
            <v>S0030881</v>
          </cell>
          <cell r="F297" t="str">
            <v>Trafalgar Rd Main Sewerage PS</v>
          </cell>
          <cell r="H297" t="str">
            <v>Kiosk Transformer</v>
          </cell>
          <cell r="I297" t="str">
            <v>S0030903</v>
          </cell>
          <cell r="J297" t="str">
            <v>Station Switchboard (MCC)</v>
          </cell>
          <cell r="K297" t="str">
            <v>CO21-40-01</v>
          </cell>
          <cell r="M297">
            <v>500</v>
          </cell>
          <cell r="N297">
            <v>11</v>
          </cell>
          <cell r="O297">
            <v>440</v>
          </cell>
          <cell r="P297">
            <v>4.3999999999999997E-2</v>
          </cell>
          <cell r="R297">
            <v>14.65</v>
          </cell>
          <cell r="S297" t="str">
            <v>Pyrolex</v>
          </cell>
          <cell r="T297" t="str">
            <v>6x1C 240mm2</v>
          </cell>
          <cell r="V297" t="str">
            <v>MCB</v>
          </cell>
          <cell r="X297" t="str">
            <v>CO21-40-3</v>
          </cell>
          <cell r="AA297">
            <v>415</v>
          </cell>
          <cell r="AE297">
            <v>10.119999999999999</v>
          </cell>
          <cell r="AF297">
            <v>1993</v>
          </cell>
          <cell r="AG297" t="str">
            <v>3B</v>
          </cell>
          <cell r="AH297" t="str">
            <v>Dave Sutton</v>
          </cell>
          <cell r="AI297" t="str">
            <v>WC</v>
          </cell>
        </row>
        <row r="298">
          <cell r="E298" t="str">
            <v>W1001629</v>
          </cell>
          <cell r="F298" t="str">
            <v>Leederville Bore L5</v>
          </cell>
          <cell r="H298" t="str">
            <v>Padmount Tx</v>
          </cell>
          <cell r="K298" t="str">
            <v>CL37-42-6</v>
          </cell>
          <cell r="M298">
            <v>500</v>
          </cell>
          <cell r="N298">
            <v>11</v>
          </cell>
          <cell r="O298">
            <v>440</v>
          </cell>
          <cell r="P298">
            <v>4.1000000000000002E-2</v>
          </cell>
          <cell r="R298">
            <v>15</v>
          </cell>
          <cell r="S298" t="str">
            <v>XLPE</v>
          </cell>
          <cell r="T298" t="str">
            <v>6x1C 150mm2</v>
          </cell>
          <cell r="V298" t="str">
            <v>MCB</v>
          </cell>
          <cell r="W298">
            <v>500</v>
          </cell>
          <cell r="X298" t="str">
            <v>CL37-42-5</v>
          </cell>
          <cell r="AA298">
            <v>415</v>
          </cell>
          <cell r="AE298">
            <v>14.7</v>
          </cell>
          <cell r="AF298">
            <v>1992</v>
          </cell>
          <cell r="AH298" t="str">
            <v>Dean Rayner</v>
          </cell>
          <cell r="AI298" t="str">
            <v>Aroona Alliance</v>
          </cell>
        </row>
        <row r="299">
          <cell r="E299" t="str">
            <v>W0009452</v>
          </cell>
          <cell r="F299" t="str">
            <v>Clarkson Borefield WTP</v>
          </cell>
          <cell r="H299" t="str">
            <v>Supply Auth</v>
          </cell>
          <cell r="K299" t="str">
            <v>CI30-42-5</v>
          </cell>
          <cell r="M299">
            <v>500</v>
          </cell>
          <cell r="N299">
            <v>22</v>
          </cell>
          <cell r="O299">
            <v>440</v>
          </cell>
          <cell r="R299">
            <v>13.57</v>
          </cell>
          <cell r="S299" t="str">
            <v>XLPE/PVC</v>
          </cell>
          <cell r="T299" t="str">
            <v>2x1C 240mm2</v>
          </cell>
          <cell r="U299">
            <v>30</v>
          </cell>
          <cell r="V299" t="str">
            <v>MCB</v>
          </cell>
          <cell r="W299">
            <v>770</v>
          </cell>
          <cell r="X299" t="str">
            <v>CI30-40-5</v>
          </cell>
          <cell r="AA299">
            <v>440</v>
          </cell>
          <cell r="AE299">
            <v>13.03</v>
          </cell>
          <cell r="AF299">
            <v>1992</v>
          </cell>
          <cell r="AH299" t="str">
            <v>Dean Rayner</v>
          </cell>
          <cell r="AI299" t="str">
            <v>Aroona Alliance</v>
          </cell>
          <cell r="AJ299" t="str">
            <v>Located indoors. Good condition</v>
          </cell>
        </row>
        <row r="300">
          <cell r="E300" t="str">
            <v>D0036703</v>
          </cell>
          <cell r="F300" t="str">
            <v>Yangebup Lake PS</v>
          </cell>
          <cell r="H300" t="str">
            <v>Supply Auth</v>
          </cell>
          <cell r="I300" t="str">
            <v>D0036706</v>
          </cell>
          <cell r="K300" t="str">
            <v>CH84-40-1.1</v>
          </cell>
          <cell r="M300">
            <v>630</v>
          </cell>
          <cell r="N300">
            <v>22</v>
          </cell>
          <cell r="O300">
            <v>415</v>
          </cell>
          <cell r="R300">
            <v>14.6</v>
          </cell>
          <cell r="S300" t="str">
            <v>XLPE</v>
          </cell>
          <cell r="T300" t="str">
            <v>2x1C 300mm2</v>
          </cell>
          <cell r="V300" t="str">
            <v>MCB</v>
          </cell>
          <cell r="W300">
            <v>1000</v>
          </cell>
          <cell r="X300" t="str">
            <v>CH84-40-2</v>
          </cell>
          <cell r="AA300">
            <v>415</v>
          </cell>
          <cell r="AC300">
            <v>50</v>
          </cell>
          <cell r="AD300">
            <v>1</v>
          </cell>
          <cell r="AE300">
            <v>14.2</v>
          </cell>
          <cell r="AF300">
            <v>1999</v>
          </cell>
          <cell r="AH300" t="str">
            <v>Dave Sutton</v>
          </cell>
          <cell r="AI300" t="str">
            <v>WC</v>
          </cell>
        </row>
        <row r="301">
          <cell r="E301" t="str">
            <v>W0004790</v>
          </cell>
          <cell r="F301" t="str">
            <v>Jandakot GWTP</v>
          </cell>
          <cell r="G301" t="str">
            <v>E4</v>
          </cell>
          <cell r="H301" t="str">
            <v>E1</v>
          </cell>
          <cell r="I301" t="str">
            <v>W0005132</v>
          </cell>
          <cell r="J301" t="str">
            <v>Chemical Building - SB #4</v>
          </cell>
          <cell r="K301" t="str">
            <v>14772-42-30</v>
          </cell>
          <cell r="S301" t="str">
            <v>PVC</v>
          </cell>
          <cell r="T301" t="str">
            <v>4x1C 120mm2</v>
          </cell>
          <cell r="U301">
            <v>280</v>
          </cell>
          <cell r="V301" t="str">
            <v>Fuse</v>
          </cell>
          <cell r="W301">
            <v>215</v>
          </cell>
          <cell r="Y301" t="str">
            <v>Merlin Gerin Series II</v>
          </cell>
          <cell r="AA301">
            <v>415</v>
          </cell>
          <cell r="AB301">
            <v>250</v>
          </cell>
          <cell r="AC301">
            <v>8</v>
          </cell>
          <cell r="AD301">
            <v>1</v>
          </cell>
          <cell r="AG301" t="str">
            <v>3B</v>
          </cell>
          <cell r="AH301" t="str">
            <v>Chris Cooper</v>
          </cell>
          <cell r="AI301" t="str">
            <v>Aroona Alliance</v>
          </cell>
        </row>
        <row r="302">
          <cell r="E302" t="str">
            <v>W0004790</v>
          </cell>
          <cell r="F302" t="str">
            <v>Jandakot GWTP</v>
          </cell>
          <cell r="G302" t="str">
            <v>E9</v>
          </cell>
          <cell r="H302" t="str">
            <v>E1</v>
          </cell>
          <cell r="I302" t="str">
            <v>W0005131</v>
          </cell>
          <cell r="J302" t="str">
            <v>Essential Services DB</v>
          </cell>
          <cell r="K302" t="str">
            <v>14772-42-31</v>
          </cell>
          <cell r="M302">
            <v>1000</v>
          </cell>
          <cell r="N302">
            <v>22</v>
          </cell>
          <cell r="O302">
            <v>415</v>
          </cell>
          <cell r="S302" t="str">
            <v>PVC</v>
          </cell>
          <cell r="T302" t="str">
            <v>4x1C 120mm2</v>
          </cell>
          <cell r="U302">
            <v>280</v>
          </cell>
          <cell r="V302" t="str">
            <v>Fuse</v>
          </cell>
          <cell r="W302">
            <v>80</v>
          </cell>
          <cell r="Y302" t="str">
            <v>Merlin Gerin</v>
          </cell>
          <cell r="AA302">
            <v>415</v>
          </cell>
          <cell r="AB302">
            <v>100</v>
          </cell>
          <cell r="AC302">
            <v>8</v>
          </cell>
          <cell r="AD302">
            <v>1</v>
          </cell>
          <cell r="AG302" t="str">
            <v>3B</v>
          </cell>
          <cell r="AH302" t="str">
            <v>Chris Cooper</v>
          </cell>
          <cell r="AI302" t="str">
            <v>Aroona Alliance</v>
          </cell>
        </row>
        <row r="303">
          <cell r="E303" t="str">
            <v>W1001440</v>
          </cell>
          <cell r="F303" t="str">
            <v>Jandakot Bores 40 &amp; 45</v>
          </cell>
          <cell r="H303" t="str">
            <v>Supply Auth</v>
          </cell>
          <cell r="K303" t="str">
            <v>14772-40-365</v>
          </cell>
          <cell r="M303">
            <v>200</v>
          </cell>
          <cell r="N303">
            <v>22</v>
          </cell>
          <cell r="O303">
            <v>440</v>
          </cell>
          <cell r="S303" t="str">
            <v>XLPE/PVC</v>
          </cell>
          <cell r="T303" t="str">
            <v>1x4C 95mm2</v>
          </cell>
          <cell r="V303" t="str">
            <v>Fuse</v>
          </cell>
          <cell r="W303">
            <v>400</v>
          </cell>
          <cell r="AF303">
            <v>1974</v>
          </cell>
          <cell r="AG303">
            <v>1</v>
          </cell>
          <cell r="AH303" t="str">
            <v>Chris Cooper</v>
          </cell>
          <cell r="AI303" t="str">
            <v>Aroona Alliance</v>
          </cell>
        </row>
        <row r="304">
          <cell r="F304" t="str">
            <v>Jandakot Bores 100 &amp; 105</v>
          </cell>
          <cell r="H304" t="str">
            <v>Supply Auth</v>
          </cell>
          <cell r="K304" t="str">
            <v>14772-40-370</v>
          </cell>
          <cell r="M304">
            <v>200</v>
          </cell>
          <cell r="N304">
            <v>22</v>
          </cell>
          <cell r="O304">
            <v>440</v>
          </cell>
          <cell r="S304" t="str">
            <v>PVC</v>
          </cell>
          <cell r="T304" t="str">
            <v>3x1C 70mm2</v>
          </cell>
          <cell r="V304" t="str">
            <v>Fuse</v>
          </cell>
          <cell r="W304">
            <v>400</v>
          </cell>
          <cell r="AF304">
            <v>1978</v>
          </cell>
          <cell r="AG304">
            <v>1</v>
          </cell>
          <cell r="AH304" t="str">
            <v>Chris Cooper</v>
          </cell>
          <cell r="AI304" t="str">
            <v>Aroona Alliance</v>
          </cell>
          <cell r="AJ304" t="str">
            <v>Modifications since install, No ID, No Nameplate Data</v>
          </cell>
        </row>
        <row r="305">
          <cell r="E305" t="str">
            <v>W0035641</v>
          </cell>
          <cell r="F305" t="str">
            <v>Mirrabooka Reservoir &amp; Highland Pump Stn</v>
          </cell>
          <cell r="H305" t="str">
            <v>Padmount Tx</v>
          </cell>
          <cell r="K305" t="str">
            <v>14147-41-8</v>
          </cell>
          <cell r="M305">
            <v>500</v>
          </cell>
          <cell r="N305">
            <v>22</v>
          </cell>
          <cell r="O305">
            <v>415</v>
          </cell>
          <cell r="P305">
            <v>0.05</v>
          </cell>
          <cell r="R305">
            <v>13.68</v>
          </cell>
          <cell r="S305" t="str">
            <v>XLPE</v>
          </cell>
          <cell r="T305" t="str">
            <v>6x1C 300mm2</v>
          </cell>
          <cell r="V305" t="str">
            <v>MCB</v>
          </cell>
          <cell r="W305">
            <v>800</v>
          </cell>
          <cell r="AA305">
            <v>415</v>
          </cell>
          <cell r="AE305">
            <v>12.5</v>
          </cell>
          <cell r="AF305">
            <v>1994</v>
          </cell>
          <cell r="AH305" t="str">
            <v>Alan Wright</v>
          </cell>
          <cell r="AI305" t="str">
            <v>Aroona Alliance</v>
          </cell>
          <cell r="AJ305" t="str">
            <v>Programmed Alliance Asset</v>
          </cell>
        </row>
        <row r="306">
          <cell r="E306" t="str">
            <v>W1006589</v>
          </cell>
          <cell r="F306" t="str">
            <v>Mt Hawthorn Reservoir Site 1110</v>
          </cell>
          <cell r="J306" t="str">
            <v>New Pump Station</v>
          </cell>
          <cell r="K306" t="str">
            <v>12700-41-3</v>
          </cell>
          <cell r="M306">
            <v>315</v>
          </cell>
          <cell r="V306" t="str">
            <v>Fuse</v>
          </cell>
          <cell r="W306">
            <v>300</v>
          </cell>
          <cell r="AA306">
            <v>415</v>
          </cell>
          <cell r="AF306">
            <v>2001</v>
          </cell>
          <cell r="AG306">
            <v>1</v>
          </cell>
          <cell r="AH306" t="str">
            <v>Dave Sutton</v>
          </cell>
          <cell r="AI306" t="str">
            <v>WC</v>
          </cell>
          <cell r="AJ306" t="str">
            <v>This switchboard is the old walk right in type of the sixties totally illegal now high ka and open bus</v>
          </cell>
        </row>
        <row r="307">
          <cell r="E307" t="str">
            <v>S0033275</v>
          </cell>
          <cell r="F307" t="str">
            <v>Mayor Rd WWPS #2</v>
          </cell>
          <cell r="G307" t="str">
            <v>MSB1</v>
          </cell>
          <cell r="H307" t="str">
            <v>2x Aux Tx</v>
          </cell>
          <cell r="J307" t="str">
            <v>Main SB</v>
          </cell>
          <cell r="K307" t="str">
            <v>16923-40-6</v>
          </cell>
          <cell r="M307">
            <v>300</v>
          </cell>
          <cell r="N307">
            <v>22</v>
          </cell>
          <cell r="O307">
            <v>440</v>
          </cell>
          <cell r="T307" t="str">
            <v>300mm2</v>
          </cell>
          <cell r="V307" t="str">
            <v>Fuse</v>
          </cell>
          <cell r="W307">
            <v>400</v>
          </cell>
          <cell r="AF307">
            <v>1990</v>
          </cell>
          <cell r="AG307" t="str">
            <v>g</v>
          </cell>
          <cell r="AH307" t="str">
            <v>Dave Sutton</v>
          </cell>
          <cell r="AI307" t="str">
            <v>WC</v>
          </cell>
          <cell r="AJ307" t="str">
            <v xml:space="preserve">Pump station cleared, now has new LV meter board and is connected to WP 160kVA tx </v>
          </cell>
        </row>
        <row r="308">
          <cell r="E308" t="str">
            <v>S0028646</v>
          </cell>
          <cell r="F308" t="str">
            <v>St Ives Coop WWPS #15</v>
          </cell>
          <cell r="H308" t="str">
            <v>Supply Auth</v>
          </cell>
          <cell r="I308" t="str">
            <v>S0028652</v>
          </cell>
          <cell r="J308" t="str">
            <v>Siwtchboard #2</v>
          </cell>
          <cell r="K308" t="str">
            <v>16869-40-3</v>
          </cell>
          <cell r="AF308">
            <v>1979</v>
          </cell>
          <cell r="AG308">
            <v>1</v>
          </cell>
          <cell r="AH308" t="str">
            <v>Dave Sutton</v>
          </cell>
          <cell r="AI308" t="str">
            <v>WC</v>
          </cell>
        </row>
        <row r="309">
          <cell r="F309" t="str">
            <v>Sewerage PS</v>
          </cell>
          <cell r="H309" t="str">
            <v>Supply Auth</v>
          </cell>
          <cell r="J309" t="str">
            <v>Main Distribution SB</v>
          </cell>
          <cell r="K309" t="str">
            <v>16734-40-5</v>
          </cell>
          <cell r="M309">
            <v>300</v>
          </cell>
          <cell r="N309">
            <v>11</v>
          </cell>
          <cell r="O309">
            <v>440</v>
          </cell>
          <cell r="S309" t="str">
            <v>PVC</v>
          </cell>
          <cell r="T309" t="str">
            <v>6x1C 240mm2</v>
          </cell>
          <cell r="U309">
            <v>15</v>
          </cell>
          <cell r="V309" t="str">
            <v>MCB</v>
          </cell>
          <cell r="W309">
            <v>800</v>
          </cell>
          <cell r="AF309">
            <v>1980</v>
          </cell>
          <cell r="AG309" t="str">
            <v>US</v>
          </cell>
          <cell r="AH309" t="str">
            <v>Dave Sutton</v>
          </cell>
          <cell r="AI309" t="str">
            <v>WC</v>
          </cell>
          <cell r="AJ309" t="str">
            <v>Demolished</v>
          </cell>
        </row>
        <row r="310">
          <cell r="F310" t="str">
            <v>Sewerage PS</v>
          </cell>
          <cell r="H310" t="str">
            <v>Main Distribution SB</v>
          </cell>
          <cell r="J310" t="str">
            <v>Armagh St SB</v>
          </cell>
          <cell r="T310" t="str">
            <v>6x1C 185mm2</v>
          </cell>
          <cell r="V310" t="str">
            <v>Fuse</v>
          </cell>
          <cell r="AF310">
            <v>1979</v>
          </cell>
          <cell r="AG310" t="str">
            <v>US</v>
          </cell>
          <cell r="AH310" t="str">
            <v>Dave Sutton</v>
          </cell>
          <cell r="AI310" t="str">
            <v>WC</v>
          </cell>
          <cell r="AJ310" t="str">
            <v>Demolished</v>
          </cell>
        </row>
        <row r="311">
          <cell r="E311" t="str">
            <v>W0035037</v>
          </cell>
          <cell r="F311" t="str">
            <v>WPS Albany Hwy Mount Nasura</v>
          </cell>
          <cell r="I311" t="str">
            <v>W0035044</v>
          </cell>
          <cell r="K311" t="str">
            <v>16373-40-2</v>
          </cell>
          <cell r="M311">
            <v>300</v>
          </cell>
          <cell r="N311">
            <v>22</v>
          </cell>
          <cell r="O311">
            <v>440</v>
          </cell>
          <cell r="S311" t="str">
            <v>PVC</v>
          </cell>
          <cell r="T311" t="str">
            <v>95mm2</v>
          </cell>
          <cell r="V311" t="str">
            <v>Fuse</v>
          </cell>
          <cell r="W311">
            <v>315</v>
          </cell>
          <cell r="AF311">
            <v>1974</v>
          </cell>
          <cell r="AG311" t="str">
            <v>3A</v>
          </cell>
          <cell r="AH311" t="str">
            <v>Dave Sutton</v>
          </cell>
          <cell r="AI311" t="str">
            <v>WC</v>
          </cell>
          <cell r="AJ311" t="str">
            <v>Duplicate of switchboard 705. Site Name updated and 705 removed from list.</v>
          </cell>
        </row>
        <row r="312">
          <cell r="E312" t="str">
            <v>W0005161</v>
          </cell>
          <cell r="F312" t="str">
            <v>Mirrabooka WTP</v>
          </cell>
          <cell r="G312" t="str">
            <v>E30</v>
          </cell>
          <cell r="H312" t="str">
            <v>Transformer Compound x 2</v>
          </cell>
          <cell r="J312" t="str">
            <v>Main SB</v>
          </cell>
          <cell r="K312" t="str">
            <v>16097-43-72.1</v>
          </cell>
          <cell r="M312">
            <v>2000</v>
          </cell>
          <cell r="N312">
            <v>22</v>
          </cell>
          <cell r="O312">
            <v>440</v>
          </cell>
          <cell r="S312" t="str">
            <v>Power Plus Bus Array</v>
          </cell>
          <cell r="T312" t="str">
            <v>200mmx8mm Busway</v>
          </cell>
          <cell r="V312" t="str">
            <v>MCB</v>
          </cell>
          <cell r="W312">
            <v>2800</v>
          </cell>
          <cell r="AA312">
            <v>415</v>
          </cell>
          <cell r="AB312">
            <v>3000</v>
          </cell>
          <cell r="AC312">
            <v>50</v>
          </cell>
          <cell r="AD312">
            <v>1</v>
          </cell>
          <cell r="AF312">
            <v>2000</v>
          </cell>
          <cell r="AH312" t="str">
            <v>Dean Rayner</v>
          </cell>
          <cell r="AI312" t="str">
            <v>Aroona Alliance</v>
          </cell>
        </row>
        <row r="313">
          <cell r="E313" t="str">
            <v>S0003182</v>
          </cell>
          <cell r="F313" t="str">
            <v>Woodman Point PS - Point Peron Ocean Outlet</v>
          </cell>
          <cell r="G313" t="str">
            <v>SB2</v>
          </cell>
          <cell r="H313" t="str">
            <v>Tx</v>
          </cell>
          <cell r="J313" t="str">
            <v>Final Eff. Pump Station SB2</v>
          </cell>
          <cell r="K313" t="str">
            <v>17871-41-36.1</v>
          </cell>
          <cell r="S313" t="str">
            <v>PVC</v>
          </cell>
          <cell r="T313" t="str">
            <v>185mm2</v>
          </cell>
          <cell r="U313">
            <v>45</v>
          </cell>
          <cell r="V313" t="str">
            <v>MCB</v>
          </cell>
          <cell r="W313">
            <v>400</v>
          </cell>
          <cell r="AF313">
            <v>1989</v>
          </cell>
          <cell r="AG313">
            <v>2</v>
          </cell>
          <cell r="AH313" t="str">
            <v>Peter Harris</v>
          </cell>
          <cell r="AI313" t="str">
            <v>Aroona Alliance</v>
          </cell>
          <cell r="AJ313" t="str">
            <v>Tx Nameplate illegible due to weather damage/exposure</v>
          </cell>
        </row>
        <row r="314">
          <cell r="E314" t="str">
            <v>S0032687</v>
          </cell>
          <cell r="F314" t="str">
            <v>Swanbourne WWTP</v>
          </cell>
          <cell r="G314" t="str">
            <v>SB1</v>
          </cell>
          <cell r="J314" t="str">
            <v>Swanbourne Main</v>
          </cell>
          <cell r="K314" t="str">
            <v>17849-40-3</v>
          </cell>
          <cell r="M314">
            <v>300</v>
          </cell>
          <cell r="N314">
            <v>11</v>
          </cell>
          <cell r="O314">
            <v>440</v>
          </cell>
          <cell r="S314" t="str">
            <v>PVC</v>
          </cell>
          <cell r="T314" t="str">
            <v>500mm2</v>
          </cell>
          <cell r="V314" t="str">
            <v>MCB</v>
          </cell>
          <cell r="W314">
            <v>800</v>
          </cell>
          <cell r="AF314">
            <v>1994</v>
          </cell>
          <cell r="AH314" t="str">
            <v>Dave Sutton</v>
          </cell>
          <cell r="AI314" t="str">
            <v>WC</v>
          </cell>
        </row>
        <row r="315">
          <cell r="E315" t="str">
            <v>W0035448</v>
          </cell>
          <cell r="F315" t="str">
            <v>Scott St, Greenmount Reservoir WPS</v>
          </cell>
          <cell r="G315" t="str">
            <v>MDB1</v>
          </cell>
          <cell r="H315" t="str">
            <v>Transformer Compound</v>
          </cell>
          <cell r="I315" t="str">
            <v>W0035445</v>
          </cell>
          <cell r="J315" t="str">
            <v>Main SB</v>
          </cell>
          <cell r="K315" t="str">
            <v>17708-40-3</v>
          </cell>
          <cell r="M315">
            <v>1000</v>
          </cell>
          <cell r="N315">
            <v>22</v>
          </cell>
          <cell r="O315">
            <v>440</v>
          </cell>
          <cell r="S315" t="str">
            <v>XLPE</v>
          </cell>
          <cell r="T315" t="str">
            <v>6x1C 630mm2</v>
          </cell>
          <cell r="V315" t="str">
            <v>MCB</v>
          </cell>
          <cell r="W315">
            <v>1600</v>
          </cell>
          <cell r="AF315">
            <v>1992</v>
          </cell>
          <cell r="AG315" t="str">
            <v>3B</v>
          </cell>
          <cell r="AH315" t="str">
            <v>Dave Sutton</v>
          </cell>
          <cell r="AI315" t="str">
            <v>WC</v>
          </cell>
        </row>
        <row r="316">
          <cell r="E316" t="str">
            <v>W0034852</v>
          </cell>
          <cell r="F316" t="str">
            <v>Visser St Reservoir WPS</v>
          </cell>
          <cell r="H316" t="str">
            <v>Supply Auth</v>
          </cell>
          <cell r="I316" t="str">
            <v>W0034862</v>
          </cell>
          <cell r="J316" t="str">
            <v>Pump Station Main SB</v>
          </cell>
          <cell r="K316" t="str">
            <v>17544-40-2.1</v>
          </cell>
          <cell r="M316">
            <v>1000</v>
          </cell>
          <cell r="N316">
            <v>22</v>
          </cell>
          <cell r="O316">
            <v>415</v>
          </cell>
          <cell r="S316" t="str">
            <v>PVC</v>
          </cell>
          <cell r="T316" t="str">
            <v>6x1C 500mm2</v>
          </cell>
          <cell r="V316" t="str">
            <v>MCB</v>
          </cell>
          <cell r="W316">
            <v>2000</v>
          </cell>
          <cell r="AF316">
            <v>1985</v>
          </cell>
          <cell r="AG316">
            <v>1</v>
          </cell>
          <cell r="AH316" t="str">
            <v>Dave Sutton</v>
          </cell>
          <cell r="AI316" t="str">
            <v>WC</v>
          </cell>
          <cell r="AJ316" t="str">
            <v>Perth Region concerned about this one (29Nov2013)</v>
          </cell>
        </row>
        <row r="317">
          <cell r="E317" t="str">
            <v>S001-001-018</v>
          </cell>
          <cell r="F317" t="str">
            <v>Subiaco WWTP</v>
          </cell>
          <cell r="G317" t="str">
            <v>PDS4905</v>
          </cell>
          <cell r="H317" t="str">
            <v>Tx T4903 &amp; T4904</v>
          </cell>
          <cell r="I317" t="str">
            <v>S0002962</v>
          </cell>
          <cell r="J317" t="str">
            <v>Blower House PDS4905</v>
          </cell>
          <cell r="K317" t="str">
            <v>17375-44-03</v>
          </cell>
          <cell r="M317">
            <v>1000</v>
          </cell>
          <cell r="N317">
            <v>3.3</v>
          </cell>
          <cell r="O317">
            <v>440</v>
          </cell>
          <cell r="P317">
            <v>5.2999999999999999E-2</v>
          </cell>
          <cell r="S317" t="str">
            <v>PVC/PVC</v>
          </cell>
          <cell r="T317" t="str">
            <v>9x1C 400mm2</v>
          </cell>
          <cell r="U317">
            <v>50</v>
          </cell>
          <cell r="V317" t="str">
            <v>MCB</v>
          </cell>
          <cell r="W317">
            <v>1600</v>
          </cell>
          <cell r="AA317">
            <v>440</v>
          </cell>
          <cell r="AB317">
            <v>1600</v>
          </cell>
          <cell r="AF317">
            <v>1984</v>
          </cell>
          <cell r="AG317">
            <v>2</v>
          </cell>
          <cell r="AH317" t="str">
            <v>Alan Wright</v>
          </cell>
          <cell r="AI317" t="str">
            <v>Arroona Alliance</v>
          </cell>
        </row>
        <row r="318">
          <cell r="E318" t="str">
            <v>S001-001-018</v>
          </cell>
          <cell r="F318" t="str">
            <v>Subiaco WWTP</v>
          </cell>
          <cell r="G318" t="str">
            <v>PDS8903</v>
          </cell>
          <cell r="H318" t="str">
            <v>Tx T8901 &amp; T8902</v>
          </cell>
          <cell r="I318" t="str">
            <v>S0002963</v>
          </cell>
          <cell r="J318" t="str">
            <v>Sludge Handling Building PDS8903</v>
          </cell>
          <cell r="K318" t="str">
            <v>17375-48-1.1</v>
          </cell>
          <cell r="M318">
            <v>1000</v>
          </cell>
          <cell r="N318">
            <v>3.3</v>
          </cell>
          <cell r="O318">
            <v>440</v>
          </cell>
          <cell r="P318">
            <v>5.2999999999999999E-2</v>
          </cell>
          <cell r="S318" t="str">
            <v>PVC/PVC</v>
          </cell>
          <cell r="T318" t="str">
            <v>9x1C 400mm2</v>
          </cell>
          <cell r="U318">
            <v>15</v>
          </cell>
          <cell r="V318" t="str">
            <v>MCB</v>
          </cell>
          <cell r="W318">
            <v>1600</v>
          </cell>
          <cell r="AA318">
            <v>440</v>
          </cell>
          <cell r="AB318">
            <v>1600</v>
          </cell>
          <cell r="AF318">
            <v>1986</v>
          </cell>
          <cell r="AG318">
            <v>2</v>
          </cell>
          <cell r="AH318" t="str">
            <v>Alan Wright</v>
          </cell>
          <cell r="AI318" t="str">
            <v>Arroona Alliance</v>
          </cell>
          <cell r="AJ318" t="str">
            <v>old board</v>
          </cell>
        </row>
        <row r="319">
          <cell r="E319" t="str">
            <v>S001-001-018</v>
          </cell>
          <cell r="F319" t="str">
            <v>Subiaco WWTP</v>
          </cell>
          <cell r="G319" t="str">
            <v>MCC7001</v>
          </cell>
          <cell r="H319" t="str">
            <v>PDS4905</v>
          </cell>
          <cell r="I319" t="str">
            <v>S1003146</v>
          </cell>
          <cell r="J319" t="str">
            <v>Odour Scrubber Facility</v>
          </cell>
          <cell r="K319" t="str">
            <v>17375-49-1.1</v>
          </cell>
          <cell r="S319" t="str">
            <v>XLPE</v>
          </cell>
          <cell r="T319" t="str">
            <v>6x1C 300mm2</v>
          </cell>
          <cell r="U319">
            <v>100</v>
          </cell>
          <cell r="V319" t="str">
            <v>MCB</v>
          </cell>
          <cell r="W319">
            <v>504</v>
          </cell>
          <cell r="AA319">
            <v>415</v>
          </cell>
          <cell r="AB319">
            <v>800</v>
          </cell>
          <cell r="AC319">
            <v>25</v>
          </cell>
          <cell r="AF319">
            <v>2003</v>
          </cell>
          <cell r="AG319">
            <v>2</v>
          </cell>
          <cell r="AH319" t="str">
            <v>Alan Wright</v>
          </cell>
          <cell r="AI319" t="str">
            <v>Arroona Alliance</v>
          </cell>
        </row>
        <row r="320">
          <cell r="E320" t="str">
            <v>S001-001-018</v>
          </cell>
          <cell r="F320" t="str">
            <v>Subiaco WWTP</v>
          </cell>
          <cell r="G320" t="str">
            <v>MCC7002</v>
          </cell>
          <cell r="H320" t="str">
            <v>PDS4905</v>
          </cell>
          <cell r="I320" t="str">
            <v>S1003153</v>
          </cell>
          <cell r="J320" t="str">
            <v>Odour Scrubber Facility</v>
          </cell>
          <cell r="K320" t="str">
            <v>17375-49-4</v>
          </cell>
          <cell r="S320" t="str">
            <v>XLPE</v>
          </cell>
          <cell r="T320" t="str">
            <v>6x1C 300mm2</v>
          </cell>
          <cell r="U320">
            <v>100</v>
          </cell>
          <cell r="V320" t="str">
            <v>MCB</v>
          </cell>
          <cell r="W320">
            <v>504</v>
          </cell>
          <cell r="AA320">
            <v>415</v>
          </cell>
          <cell r="AB320">
            <v>800</v>
          </cell>
          <cell r="AC320">
            <v>25</v>
          </cell>
          <cell r="AF320">
            <v>2003</v>
          </cell>
          <cell r="AG320">
            <v>2</v>
          </cell>
          <cell r="AH320" t="str">
            <v>Alan Wright</v>
          </cell>
          <cell r="AI320" t="str">
            <v>Arroona Alliance</v>
          </cell>
        </row>
        <row r="321">
          <cell r="E321" t="str">
            <v>S001-001-018</v>
          </cell>
          <cell r="F321" t="str">
            <v>Subiaco WWTP</v>
          </cell>
          <cell r="G321" t="str">
            <v>MCC5902</v>
          </cell>
          <cell r="H321" t="str">
            <v>PDS4905</v>
          </cell>
          <cell r="I321" t="str">
            <v>S0002211</v>
          </cell>
          <cell r="J321" t="str">
            <v>R&amp;E Pump Station MCC5902</v>
          </cell>
          <cell r="K321" t="str">
            <v>17375-45-107</v>
          </cell>
          <cell r="S321" t="str">
            <v>PVC/PVC</v>
          </cell>
          <cell r="T321" t="str">
            <v>3x1C 240mm2</v>
          </cell>
          <cell r="U321">
            <v>70</v>
          </cell>
          <cell r="V321" t="str">
            <v>MCB</v>
          </cell>
          <cell r="W321">
            <v>500</v>
          </cell>
          <cell r="AA321">
            <v>440</v>
          </cell>
          <cell r="AF321">
            <v>1986</v>
          </cell>
          <cell r="AG321">
            <v>2</v>
          </cell>
          <cell r="AH321" t="str">
            <v>Alan Wright</v>
          </cell>
          <cell r="AI321" t="str">
            <v>Arroona Alliance</v>
          </cell>
          <cell r="AJ321" t="str">
            <v>Modifications since installed</v>
          </cell>
        </row>
        <row r="322">
          <cell r="E322" t="str">
            <v>S001-001-018</v>
          </cell>
          <cell r="F322" t="str">
            <v>Subiaco WWTP</v>
          </cell>
          <cell r="G322" t="str">
            <v>MCC5901</v>
          </cell>
          <cell r="H322" t="str">
            <v>PDS4905</v>
          </cell>
          <cell r="I322" t="str">
            <v>S0002210</v>
          </cell>
          <cell r="J322" t="str">
            <v>R&amp;E Pump Station MCC5901</v>
          </cell>
          <cell r="K322" t="str">
            <v>17375-45-101</v>
          </cell>
          <cell r="S322" t="str">
            <v>PVC/PVC</v>
          </cell>
          <cell r="T322" t="str">
            <v>3x1C 240mm2</v>
          </cell>
          <cell r="U322">
            <v>70</v>
          </cell>
          <cell r="V322" t="str">
            <v>MCB</v>
          </cell>
          <cell r="W322">
            <v>500</v>
          </cell>
          <cell r="AA322">
            <v>440</v>
          </cell>
          <cell r="AF322">
            <v>1986</v>
          </cell>
          <cell r="AG322">
            <v>2</v>
          </cell>
          <cell r="AH322" t="str">
            <v>Alan Wright</v>
          </cell>
          <cell r="AI322" t="str">
            <v>Arroona Alliance</v>
          </cell>
          <cell r="AJ322" t="str">
            <v>Modifications since installed</v>
          </cell>
        </row>
        <row r="323">
          <cell r="E323" t="str">
            <v>S001-001-018</v>
          </cell>
          <cell r="F323" t="str">
            <v>Subiaco WWTP</v>
          </cell>
          <cell r="G323" t="str">
            <v>MCC6101</v>
          </cell>
          <cell r="H323" t="str">
            <v>Tx T6101 &amp; T6102</v>
          </cell>
          <cell r="I323" t="str">
            <v>S1000208</v>
          </cell>
          <cell r="J323" t="str">
            <v>Final Effluent PS</v>
          </cell>
          <cell r="K323" t="str">
            <v>17375-45-300</v>
          </cell>
          <cell r="M323">
            <v>1250</v>
          </cell>
          <cell r="N323">
            <v>3.3</v>
          </cell>
          <cell r="O323">
            <v>430</v>
          </cell>
          <cell r="P323">
            <v>6.3E-2</v>
          </cell>
          <cell r="S323" t="str">
            <v>XLPE/PVC</v>
          </cell>
          <cell r="T323" t="str">
            <v>9x1C 300mm2</v>
          </cell>
          <cell r="U323">
            <v>15</v>
          </cell>
          <cell r="V323" t="str">
            <v>MCB</v>
          </cell>
          <cell r="W323">
            <v>2000</v>
          </cell>
          <cell r="Y323" t="str">
            <v>Price Trandos</v>
          </cell>
          <cell r="AA323">
            <v>415</v>
          </cell>
          <cell r="AB323">
            <v>2000</v>
          </cell>
          <cell r="AC323">
            <v>50</v>
          </cell>
          <cell r="AD323">
            <v>1</v>
          </cell>
          <cell r="AF323">
            <v>1998</v>
          </cell>
          <cell r="AG323">
            <v>2</v>
          </cell>
          <cell r="AH323" t="str">
            <v>Alan Wright</v>
          </cell>
          <cell r="AI323" t="str">
            <v>Arroona Alliance</v>
          </cell>
        </row>
        <row r="324">
          <cell r="E324" t="str">
            <v>S001-001-025</v>
          </cell>
          <cell r="F324" t="str">
            <v>Subiaco WWTP</v>
          </cell>
          <cell r="G324" t="str">
            <v>MCC9903</v>
          </cell>
          <cell r="H324" t="str">
            <v>Tx 9901</v>
          </cell>
          <cell r="I324" t="str">
            <v>S0002506</v>
          </cell>
          <cell r="J324" t="str">
            <v>Power Distribution SB</v>
          </cell>
          <cell r="K324" t="str">
            <v>17375-52-5</v>
          </cell>
          <cell r="M324">
            <v>1250</v>
          </cell>
          <cell r="N324">
            <v>3.3</v>
          </cell>
          <cell r="O324">
            <v>415</v>
          </cell>
          <cell r="U324">
            <v>15</v>
          </cell>
          <cell r="V324" t="str">
            <v>MCB</v>
          </cell>
          <cell r="W324">
            <v>2000</v>
          </cell>
          <cell r="Y324" t="str">
            <v>ABB</v>
          </cell>
          <cell r="AA324">
            <v>415</v>
          </cell>
          <cell r="AB324">
            <v>2000</v>
          </cell>
          <cell r="AC324">
            <v>50</v>
          </cell>
          <cell r="AD324">
            <v>1</v>
          </cell>
          <cell r="AF324">
            <v>1997</v>
          </cell>
          <cell r="AG324">
            <v>1</v>
          </cell>
          <cell r="AH324" t="str">
            <v>Alan Wright</v>
          </cell>
          <cell r="AI324" t="str">
            <v>Aroona Alliance</v>
          </cell>
          <cell r="AJ324" t="str">
            <v>ABB MSN SB. Has had problems in past with failuire of power supply fingers on rear of withdrawable drawer units</v>
          </cell>
        </row>
        <row r="325">
          <cell r="E325" t="str">
            <v>W0035298</v>
          </cell>
          <cell r="F325" t="str">
            <v>Soldiers Rd WPS</v>
          </cell>
          <cell r="G325" t="str">
            <v>MSB1</v>
          </cell>
          <cell r="H325" t="str">
            <v>Supply Auth</v>
          </cell>
          <cell r="I325" t="str">
            <v>W0035314</v>
          </cell>
          <cell r="J325" t="str">
            <v>Main SB</v>
          </cell>
          <cell r="K325" t="str">
            <v>17182-40-3</v>
          </cell>
          <cell r="M325">
            <v>300</v>
          </cell>
          <cell r="N325">
            <v>22</v>
          </cell>
          <cell r="O325">
            <v>440</v>
          </cell>
          <cell r="S325" t="str">
            <v>XLPE</v>
          </cell>
          <cell r="T325" t="str">
            <v>61C 240mm2</v>
          </cell>
          <cell r="V325" t="str">
            <v>Fuse</v>
          </cell>
          <cell r="W325">
            <v>600</v>
          </cell>
          <cell r="AF325">
            <v>1981</v>
          </cell>
          <cell r="AH325" t="str">
            <v>Dave Sutton</v>
          </cell>
          <cell r="AI325" t="str">
            <v>WC</v>
          </cell>
          <cell r="AJ325" t="str">
            <v>3/3/15 Main SB and starters to be replaced in 2015/16 CW22844</v>
          </cell>
        </row>
        <row r="326">
          <cell r="E326" t="str">
            <v>W0035704</v>
          </cell>
          <cell r="F326" t="str">
            <v>Wanneroo Reservoir WPS</v>
          </cell>
          <cell r="G326" t="str">
            <v>SB1</v>
          </cell>
          <cell r="H326" t="str">
            <v>Tx</v>
          </cell>
          <cell r="I326" t="str">
            <v>W0035709</v>
          </cell>
          <cell r="J326" t="str">
            <v>Main SB</v>
          </cell>
          <cell r="K326" t="str">
            <v>17137-40-3</v>
          </cell>
          <cell r="M326">
            <v>300</v>
          </cell>
          <cell r="N326">
            <v>22</v>
          </cell>
          <cell r="O326">
            <v>440</v>
          </cell>
          <cell r="S326" t="str">
            <v>PVC</v>
          </cell>
          <cell r="T326" t="str">
            <v>500mm2</v>
          </cell>
          <cell r="V326" t="str">
            <v>MCB</v>
          </cell>
          <cell r="W326">
            <v>800</v>
          </cell>
          <cell r="AF326">
            <v>1980</v>
          </cell>
          <cell r="AG326">
            <v>1</v>
          </cell>
          <cell r="AH326" t="str">
            <v>Dave Sutton</v>
          </cell>
          <cell r="AI326" t="str">
            <v>WC</v>
          </cell>
        </row>
        <row r="327">
          <cell r="E327" t="str">
            <v>S0034334</v>
          </cell>
          <cell r="F327" t="str">
            <v>McGuiness Dr #7 PS</v>
          </cell>
          <cell r="I327" t="str">
            <v>S0034340</v>
          </cell>
          <cell r="J327" t="str">
            <v>Supply Auth</v>
          </cell>
          <cell r="K327" t="str">
            <v>17007-24-11</v>
          </cell>
          <cell r="V327" t="str">
            <v>MCB</v>
          </cell>
          <cell r="AF327">
            <v>1980</v>
          </cell>
          <cell r="AG327">
            <v>2</v>
          </cell>
          <cell r="AH327" t="str">
            <v>Dave Sutton</v>
          </cell>
          <cell r="AI327" t="str">
            <v>WC</v>
          </cell>
        </row>
        <row r="328">
          <cell r="E328" t="str">
            <v>W0005854</v>
          </cell>
          <cell r="F328" t="str">
            <v>Wanneroo WTP</v>
          </cell>
          <cell r="G328" t="str">
            <v>E001</v>
          </cell>
          <cell r="H328" t="str">
            <v>Transformers (WC)</v>
          </cell>
          <cell r="J328" t="str">
            <v>Clearwater PS SB</v>
          </cell>
          <cell r="K328" t="str">
            <v>13376-42-1.1</v>
          </cell>
          <cell r="M328">
            <v>2000</v>
          </cell>
          <cell r="N328">
            <v>22</v>
          </cell>
          <cell r="O328">
            <v>440</v>
          </cell>
          <cell r="S328" t="str">
            <v>Cu Bars</v>
          </cell>
          <cell r="V328" t="str">
            <v>MCB</v>
          </cell>
          <cell r="W328">
            <v>2900</v>
          </cell>
          <cell r="X328" t="str">
            <v>13376-42-3.1</v>
          </cell>
          <cell r="AA328">
            <v>415</v>
          </cell>
          <cell r="AB328">
            <v>3200</v>
          </cell>
          <cell r="AC328">
            <v>53</v>
          </cell>
          <cell r="AD328">
            <v>1</v>
          </cell>
          <cell r="AE328">
            <v>32.270000000000003</v>
          </cell>
          <cell r="AF328">
            <v>1988</v>
          </cell>
          <cell r="AG328">
            <v>2</v>
          </cell>
          <cell r="AH328" t="str">
            <v>Dean Rayner</v>
          </cell>
          <cell r="AI328" t="str">
            <v>Arroona Alliance</v>
          </cell>
        </row>
        <row r="329">
          <cell r="E329" t="str">
            <v>W0005854</v>
          </cell>
          <cell r="F329" t="str">
            <v>Wanneroo WTP</v>
          </cell>
          <cell r="G329" t="str">
            <v>E002</v>
          </cell>
          <cell r="H329" t="str">
            <v>E001</v>
          </cell>
          <cell r="J329" t="str">
            <v>CWPS L &amp; P DB</v>
          </cell>
          <cell r="K329" t="str">
            <v>13376-50-23.1</v>
          </cell>
          <cell r="R329">
            <v>32.270000000000003</v>
          </cell>
          <cell r="S329" t="str">
            <v>PVC</v>
          </cell>
          <cell r="T329" t="str">
            <v>1x4C 10mm2</v>
          </cell>
          <cell r="V329" t="str">
            <v>Fuse</v>
          </cell>
          <cell r="W329">
            <v>160</v>
          </cell>
          <cell r="AA329">
            <v>415</v>
          </cell>
          <cell r="AB329">
            <v>40</v>
          </cell>
          <cell r="AC329">
            <v>17</v>
          </cell>
          <cell r="AD329">
            <v>1</v>
          </cell>
          <cell r="AF329">
            <v>2008</v>
          </cell>
          <cell r="AH329" t="str">
            <v>Dean Rayner</v>
          </cell>
          <cell r="AI329" t="str">
            <v>Arroona Alliance</v>
          </cell>
        </row>
        <row r="330">
          <cell r="E330" t="str">
            <v>W0005854</v>
          </cell>
          <cell r="F330" t="str">
            <v>Wanneroo WTP</v>
          </cell>
          <cell r="G330" t="str">
            <v>E013</v>
          </cell>
          <cell r="H330" t="str">
            <v>E001</v>
          </cell>
          <cell r="J330" t="str">
            <v>Clarifier Area SB</v>
          </cell>
          <cell r="K330" t="str">
            <v>13376-40-820.1</v>
          </cell>
          <cell r="R330">
            <v>32.270000000000003</v>
          </cell>
          <cell r="T330" t="str">
            <v>3x1C 185mm2</v>
          </cell>
          <cell r="V330" t="str">
            <v>MCB</v>
          </cell>
          <cell r="W330">
            <v>800</v>
          </cell>
          <cell r="AA330">
            <v>415</v>
          </cell>
          <cell r="AB330">
            <v>800</v>
          </cell>
          <cell r="AC330">
            <v>20</v>
          </cell>
          <cell r="AD330">
            <v>1</v>
          </cell>
          <cell r="AF330">
            <v>2007</v>
          </cell>
          <cell r="AH330" t="str">
            <v>Dean Rayner</v>
          </cell>
          <cell r="AI330" t="str">
            <v>Arroona Alliance</v>
          </cell>
        </row>
        <row r="331">
          <cell r="F331" t="str">
            <v>Yarragadee Artesian Bore W257</v>
          </cell>
          <cell r="H331" t="str">
            <v>Transformer Kiosk</v>
          </cell>
          <cell r="K331" t="str">
            <v>EZ65-43-3</v>
          </cell>
          <cell r="M331">
            <v>1120</v>
          </cell>
          <cell r="N331">
            <v>22</v>
          </cell>
          <cell r="O331">
            <v>460</v>
          </cell>
          <cell r="V331" t="str">
            <v>MCB</v>
          </cell>
          <cell r="W331">
            <v>1300</v>
          </cell>
          <cell r="AF331">
            <v>1999</v>
          </cell>
          <cell r="AH331" t="str">
            <v>Dean Rayner</v>
          </cell>
          <cell r="AI331" t="str">
            <v>Arroona Alliance</v>
          </cell>
        </row>
        <row r="332">
          <cell r="F332" t="str">
            <v>Yarragadee Artesian Bore W7</v>
          </cell>
          <cell r="H332" t="str">
            <v>Transformer Kiosk</v>
          </cell>
          <cell r="K332" t="str">
            <v>EZ65-41-3</v>
          </cell>
          <cell r="M332">
            <v>1120</v>
          </cell>
          <cell r="N332">
            <v>22</v>
          </cell>
          <cell r="O332">
            <v>460</v>
          </cell>
          <cell r="V332" t="str">
            <v>MCB</v>
          </cell>
          <cell r="W332">
            <v>1300</v>
          </cell>
          <cell r="AF332">
            <v>1999</v>
          </cell>
          <cell r="AH332" t="str">
            <v>Dean Rayner</v>
          </cell>
          <cell r="AI332" t="str">
            <v>Arroona Alliance</v>
          </cell>
        </row>
        <row r="333">
          <cell r="F333" t="str">
            <v>Yarragadee Artesian Bore W57</v>
          </cell>
          <cell r="H333" t="str">
            <v>Transformer Kiosk</v>
          </cell>
          <cell r="K333" t="str">
            <v>EZ65-42-3</v>
          </cell>
          <cell r="M333">
            <v>1120</v>
          </cell>
          <cell r="N333">
            <v>22</v>
          </cell>
          <cell r="O333">
            <v>460</v>
          </cell>
          <cell r="V333" t="str">
            <v>MCB</v>
          </cell>
          <cell r="W333">
            <v>1300</v>
          </cell>
          <cell r="AF333">
            <v>1999</v>
          </cell>
          <cell r="AH333" t="str">
            <v>Dean Rayner</v>
          </cell>
          <cell r="AI333" t="str">
            <v>Arroona Alliance</v>
          </cell>
        </row>
        <row r="334">
          <cell r="E334" t="str">
            <v>W0005854</v>
          </cell>
          <cell r="F334" t="str">
            <v>Wanneroo WTP</v>
          </cell>
          <cell r="G334" t="str">
            <v>E061</v>
          </cell>
          <cell r="H334" t="str">
            <v>MIEX Tx</v>
          </cell>
          <cell r="J334" t="str">
            <v>Blower Room SB</v>
          </cell>
          <cell r="K334" t="str">
            <v>13376-40-822.1</v>
          </cell>
          <cell r="M334">
            <v>315</v>
          </cell>
          <cell r="N334">
            <v>22</v>
          </cell>
          <cell r="O334">
            <v>440</v>
          </cell>
          <cell r="S334" t="str">
            <v>XLPE</v>
          </cell>
          <cell r="T334" t="str">
            <v>3x1C 240mm2</v>
          </cell>
          <cell r="V334" t="str">
            <v>MCB</v>
          </cell>
          <cell r="W334">
            <v>441</v>
          </cell>
          <cell r="AA334">
            <v>415</v>
          </cell>
          <cell r="AB334">
            <v>500</v>
          </cell>
          <cell r="AC334">
            <v>20</v>
          </cell>
          <cell r="AD334">
            <v>1</v>
          </cell>
          <cell r="AF334">
            <v>2007</v>
          </cell>
          <cell r="AH334" t="str">
            <v>Dean Rayner</v>
          </cell>
          <cell r="AI334" t="str">
            <v>Arroona Alliance</v>
          </cell>
        </row>
        <row r="335">
          <cell r="E335" t="str">
            <v>W0005854</v>
          </cell>
          <cell r="F335" t="str">
            <v>Wanneroo WTP</v>
          </cell>
          <cell r="G335" t="str">
            <v>E020</v>
          </cell>
          <cell r="H335" t="str">
            <v>E013</v>
          </cell>
          <cell r="J335" t="str">
            <v>Clarifier Emergency Supply DB</v>
          </cell>
          <cell r="K335" t="str">
            <v>13376-40-825</v>
          </cell>
          <cell r="S335" t="str">
            <v>XLPE/PVC</v>
          </cell>
          <cell r="T335" t="str">
            <v>4x1C 185mm2</v>
          </cell>
          <cell r="AA335">
            <v>415</v>
          </cell>
          <cell r="AB335">
            <v>500</v>
          </cell>
          <cell r="AC335">
            <v>20</v>
          </cell>
          <cell r="AD335">
            <v>1</v>
          </cell>
          <cell r="AF335">
            <v>2007</v>
          </cell>
          <cell r="AH335" t="str">
            <v>Dean Rayner</v>
          </cell>
          <cell r="AI335" t="str">
            <v>Arroona Alliance</v>
          </cell>
        </row>
        <row r="336">
          <cell r="E336" t="str">
            <v>W0005854</v>
          </cell>
          <cell r="F336" t="str">
            <v>Wanneroo WTP</v>
          </cell>
          <cell r="G336" t="str">
            <v>E021</v>
          </cell>
          <cell r="H336" t="str">
            <v>E013</v>
          </cell>
          <cell r="J336" t="str">
            <v>Clarifier Area L &amp; P DB</v>
          </cell>
          <cell r="K336" t="str">
            <v>13376-50-22</v>
          </cell>
          <cell r="V336" t="str">
            <v>FCL</v>
          </cell>
          <cell r="W336">
            <v>32</v>
          </cell>
          <cell r="AA336">
            <v>415</v>
          </cell>
          <cell r="AB336">
            <v>40</v>
          </cell>
          <cell r="AC336">
            <v>17</v>
          </cell>
          <cell r="AD336">
            <v>1</v>
          </cell>
          <cell r="AF336">
            <v>2008</v>
          </cell>
          <cell r="AH336" t="str">
            <v>Dean Rayner</v>
          </cell>
          <cell r="AI336" t="str">
            <v>Arroona Alliance</v>
          </cell>
        </row>
        <row r="337">
          <cell r="E337" t="str">
            <v>C001-011</v>
          </cell>
          <cell r="F337" t="str">
            <v>Shenton Park Depot M &amp; E Services</v>
          </cell>
          <cell r="J337" t="str">
            <v>Welding Shop Main SB</v>
          </cell>
          <cell r="K337" t="str">
            <v>12296-40-4</v>
          </cell>
          <cell r="V337" t="str">
            <v>Fuse</v>
          </cell>
          <cell r="W337">
            <v>450</v>
          </cell>
          <cell r="AF337">
            <v>1975</v>
          </cell>
          <cell r="AG337">
            <v>1</v>
          </cell>
          <cell r="AH337" t="str">
            <v>Peter Andruszkiw</v>
          </cell>
          <cell r="AI337" t="str">
            <v>WC</v>
          </cell>
        </row>
        <row r="338">
          <cell r="E338" t="str">
            <v>W0035176</v>
          </cell>
          <cell r="F338" t="str">
            <v>Lesmurdie WPS #1 &amp; #2</v>
          </cell>
          <cell r="H338" t="str">
            <v>Supply Auth</v>
          </cell>
          <cell r="K338" t="str">
            <v>12215-40-7</v>
          </cell>
          <cell r="M338">
            <v>300</v>
          </cell>
          <cell r="O338">
            <v>415</v>
          </cell>
          <cell r="S338" t="str">
            <v>PVC</v>
          </cell>
          <cell r="T338" t="str">
            <v>3x1C 185mm2</v>
          </cell>
          <cell r="V338" t="str">
            <v>Fuse</v>
          </cell>
          <cell r="W338">
            <v>315</v>
          </cell>
          <cell r="AA338">
            <v>415</v>
          </cell>
          <cell r="AF338">
            <v>1980</v>
          </cell>
          <cell r="AG338" t="str">
            <v>g</v>
          </cell>
          <cell r="AH338" t="str">
            <v>Dave Sutton</v>
          </cell>
          <cell r="AI338" t="str">
            <v>WC</v>
          </cell>
        </row>
        <row r="339">
          <cell r="E339" t="str">
            <v>S0034072</v>
          </cell>
          <cell r="F339" t="str">
            <v>Redcliffe PS #1</v>
          </cell>
          <cell r="H339" t="str">
            <v>Supply Auth</v>
          </cell>
          <cell r="K339" t="str">
            <v>11958-96-2</v>
          </cell>
          <cell r="M339">
            <v>500</v>
          </cell>
          <cell r="N339">
            <v>22</v>
          </cell>
          <cell r="O339">
            <v>433</v>
          </cell>
          <cell r="S339" t="str">
            <v>XLPE/PVC</v>
          </cell>
          <cell r="T339" t="str">
            <v>4x150mm2</v>
          </cell>
          <cell r="V339" t="str">
            <v>MCB</v>
          </cell>
          <cell r="W339">
            <v>280</v>
          </cell>
          <cell r="X339" t="str">
            <v>11958-96-3</v>
          </cell>
          <cell r="AA339">
            <v>415</v>
          </cell>
          <cell r="AB339">
            <v>300</v>
          </cell>
          <cell r="AC339">
            <v>10</v>
          </cell>
          <cell r="AD339">
            <v>1</v>
          </cell>
          <cell r="AE339">
            <v>11.5</v>
          </cell>
          <cell r="AF339">
            <v>2008</v>
          </cell>
          <cell r="AH339" t="str">
            <v>Dave Sutton</v>
          </cell>
          <cell r="AI339" t="str">
            <v>WC</v>
          </cell>
        </row>
        <row r="340">
          <cell r="E340" t="str">
            <v>S001-001-027</v>
          </cell>
          <cell r="F340" t="str">
            <v>Kwinana WWTP</v>
          </cell>
          <cell r="H340" t="str">
            <v>Transformer</v>
          </cell>
          <cell r="J340" t="str">
            <v>LT Cubicle</v>
          </cell>
          <cell r="K340" t="str">
            <v>11931-40-1.1</v>
          </cell>
          <cell r="M340">
            <v>500</v>
          </cell>
          <cell r="N340">
            <v>22</v>
          </cell>
          <cell r="O340">
            <v>440</v>
          </cell>
          <cell r="V340" t="str">
            <v>MCB</v>
          </cell>
          <cell r="W340">
            <v>400</v>
          </cell>
          <cell r="AF340">
            <v>1976</v>
          </cell>
          <cell r="AG340" t="str">
            <v>US</v>
          </cell>
          <cell r="AH340" t="str">
            <v>Chris Cooper</v>
          </cell>
          <cell r="AI340" t="str">
            <v>Arroona Alliance</v>
          </cell>
          <cell r="AJ340" t="str">
            <v>No access, Western Power</v>
          </cell>
        </row>
        <row r="341">
          <cell r="E341" t="str">
            <v>S001-001-027</v>
          </cell>
          <cell r="F341" t="str">
            <v>Kwinana WWTP</v>
          </cell>
          <cell r="H341" t="str">
            <v>LT Cubicle</v>
          </cell>
          <cell r="J341" t="str">
            <v>Activated Sludge Pumping Building</v>
          </cell>
          <cell r="V341" t="str">
            <v>Fuse</v>
          </cell>
          <cell r="W341">
            <v>300</v>
          </cell>
          <cell r="AA341">
            <v>440</v>
          </cell>
          <cell r="AB341">
            <v>225</v>
          </cell>
          <cell r="AF341">
            <v>1976</v>
          </cell>
          <cell r="AG341" t="str">
            <v>US</v>
          </cell>
          <cell r="AH341" t="str">
            <v>Chris Cooper</v>
          </cell>
          <cell r="AI341" t="str">
            <v>Arroona Alliance</v>
          </cell>
          <cell r="AJ341" t="str">
            <v>Decommissioned, to be demolished</v>
          </cell>
        </row>
        <row r="342">
          <cell r="E342" t="str">
            <v>S001-001-027</v>
          </cell>
          <cell r="F342" t="str">
            <v>Kwinana WWTP</v>
          </cell>
          <cell r="H342" t="str">
            <v>LT Cubicle</v>
          </cell>
          <cell r="J342" t="str">
            <v>Aerator Building</v>
          </cell>
          <cell r="K342" t="str">
            <v>11931-40-1.3</v>
          </cell>
          <cell r="R342">
            <v>40</v>
          </cell>
          <cell r="S342" t="str">
            <v>Al</v>
          </cell>
          <cell r="T342" t="str">
            <v>2x0.2"</v>
          </cell>
          <cell r="V342" t="str">
            <v>Fuse</v>
          </cell>
          <cell r="W342">
            <v>350</v>
          </cell>
          <cell r="AA342">
            <v>440</v>
          </cell>
          <cell r="AB342">
            <v>350</v>
          </cell>
          <cell r="AF342">
            <v>1976</v>
          </cell>
          <cell r="AG342" t="str">
            <v>US</v>
          </cell>
          <cell r="AH342" t="str">
            <v>Chris Cooper</v>
          </cell>
          <cell r="AI342" t="str">
            <v>Arroona Alliance</v>
          </cell>
          <cell r="AJ342" t="str">
            <v>Decommissioned, to be demolished</v>
          </cell>
        </row>
        <row r="343">
          <cell r="E343" t="str">
            <v>S001-001-027</v>
          </cell>
          <cell r="F343" t="str">
            <v>Kwinana WWTP</v>
          </cell>
          <cell r="H343" t="str">
            <v>LT Cubicle</v>
          </cell>
          <cell r="J343" t="str">
            <v>Digestor Building</v>
          </cell>
          <cell r="K343" t="str">
            <v>11931-40-1.3</v>
          </cell>
          <cell r="S343" t="str">
            <v>Al</v>
          </cell>
          <cell r="T343" t="str">
            <v>2x0.12"</v>
          </cell>
          <cell r="V343" t="str">
            <v>Fuse</v>
          </cell>
          <cell r="W343">
            <v>150</v>
          </cell>
          <cell r="AA343">
            <v>440</v>
          </cell>
          <cell r="AB343">
            <v>350</v>
          </cell>
          <cell r="AF343">
            <v>1976</v>
          </cell>
          <cell r="AG343" t="str">
            <v>US</v>
          </cell>
          <cell r="AH343" t="str">
            <v>Chris Cooper</v>
          </cell>
          <cell r="AI343" t="str">
            <v>Arroona Alliance</v>
          </cell>
          <cell r="AJ343" t="str">
            <v>Decommissioned, to be demolished</v>
          </cell>
        </row>
        <row r="344">
          <cell r="E344" t="str">
            <v>S001-001-027</v>
          </cell>
          <cell r="F344" t="str">
            <v>Kwinana WWTP</v>
          </cell>
          <cell r="H344" t="str">
            <v>Padmount Tx</v>
          </cell>
          <cell r="M344">
            <v>315</v>
          </cell>
          <cell r="N344">
            <v>22</v>
          </cell>
          <cell r="O344">
            <v>415</v>
          </cell>
          <cell r="S344" t="str">
            <v>PVC</v>
          </cell>
          <cell r="T344" t="str">
            <v>3x1C 240mm2</v>
          </cell>
          <cell r="V344" t="str">
            <v>MCB</v>
          </cell>
          <cell r="W344">
            <v>400</v>
          </cell>
          <cell r="AA344">
            <v>415</v>
          </cell>
          <cell r="AF344">
            <v>2005</v>
          </cell>
          <cell r="AH344" t="str">
            <v>Chris Cooper</v>
          </cell>
          <cell r="AI344" t="str">
            <v>Arroona Alliance</v>
          </cell>
        </row>
        <row r="345">
          <cell r="E345" t="str">
            <v>W0004313</v>
          </cell>
          <cell r="F345" t="str">
            <v>Gwelup GWTP (1109)</v>
          </cell>
          <cell r="G345" t="str">
            <v>E1</v>
          </cell>
          <cell r="H345" t="str">
            <v>Tx 1 &amp; Tx 2 (Tap 2)</v>
          </cell>
          <cell r="J345" t="str">
            <v>Main LV SB</v>
          </cell>
          <cell r="K345" t="str">
            <v>11779-43-1.1</v>
          </cell>
          <cell r="M345">
            <v>1000</v>
          </cell>
          <cell r="N345">
            <v>22</v>
          </cell>
          <cell r="O345">
            <v>440</v>
          </cell>
          <cell r="P345">
            <v>0.06</v>
          </cell>
          <cell r="R345">
            <v>20.8</v>
          </cell>
          <cell r="S345" t="str">
            <v>Pyrolex</v>
          </cell>
          <cell r="T345" t="str">
            <v>6x1C 630mm2</v>
          </cell>
          <cell r="V345" t="str">
            <v>MCB</v>
          </cell>
          <cell r="W345">
            <v>1600</v>
          </cell>
          <cell r="X345" t="str">
            <v>11779-43-2</v>
          </cell>
          <cell r="AA345">
            <v>415</v>
          </cell>
          <cell r="AB345">
            <v>1500</v>
          </cell>
          <cell r="AC345">
            <v>50</v>
          </cell>
          <cell r="AD345">
            <v>1</v>
          </cell>
          <cell r="AF345">
            <v>2003</v>
          </cell>
          <cell r="AH345" t="str">
            <v>Dean Rayner</v>
          </cell>
          <cell r="AI345" t="str">
            <v>Arroona Alliance</v>
          </cell>
        </row>
        <row r="346">
          <cell r="E346" t="str">
            <v>W0004313</v>
          </cell>
          <cell r="F346" t="str">
            <v>Gwelup GWTP (1109)</v>
          </cell>
          <cell r="G346" t="str">
            <v>E3</v>
          </cell>
          <cell r="H346" t="str">
            <v>E1</v>
          </cell>
          <cell r="J346" t="str">
            <v>Operations Building Main SB (Chemical House)</v>
          </cell>
          <cell r="K346" t="str">
            <v>11779-40-18</v>
          </cell>
          <cell r="R346">
            <v>20.8</v>
          </cell>
          <cell r="V346" t="str">
            <v>Fuse</v>
          </cell>
          <cell r="W346">
            <v>200</v>
          </cell>
          <cell r="AA346">
            <v>415</v>
          </cell>
          <cell r="AF346">
            <v>2014</v>
          </cell>
          <cell r="AH346" t="str">
            <v>Dean Rayner</v>
          </cell>
          <cell r="AI346" t="str">
            <v>Arroona Alliance</v>
          </cell>
          <cell r="AJ346" t="str">
            <v>New SB 2014</v>
          </cell>
        </row>
        <row r="347">
          <cell r="E347" t="str">
            <v>W0004313</v>
          </cell>
          <cell r="F347" t="str">
            <v>Gwelup GWTP (1109)</v>
          </cell>
          <cell r="H347" t="str">
            <v>Operations Building Main SB (Chemical House)</v>
          </cell>
          <cell r="I347" t="str">
            <v>W0004359</v>
          </cell>
          <cell r="J347" t="str">
            <v>Operations Building Control &amp; Chemical CB DB</v>
          </cell>
          <cell r="K347" t="str">
            <v>11779-40-148</v>
          </cell>
          <cell r="S347" t="str">
            <v>PVC/PVC</v>
          </cell>
          <cell r="T347" t="str">
            <v>4C+E 16mm2</v>
          </cell>
          <cell r="V347" t="str">
            <v>Fuse</v>
          </cell>
          <cell r="W347">
            <v>60</v>
          </cell>
          <cell r="AA347">
            <v>415</v>
          </cell>
          <cell r="AF347">
            <v>1989</v>
          </cell>
          <cell r="AG347" t="str">
            <v>3B</v>
          </cell>
          <cell r="AH347" t="str">
            <v>Dean Rayner</v>
          </cell>
          <cell r="AI347" t="str">
            <v>Arroona Alliance</v>
          </cell>
          <cell r="AJ347" t="str">
            <v>Modifications since install, circuits added &amp; removed</v>
          </cell>
        </row>
        <row r="348">
          <cell r="E348" t="str">
            <v>S0033448</v>
          </cell>
          <cell r="F348" t="str">
            <v>Thornlie PS #3</v>
          </cell>
          <cell r="H348" t="str">
            <v>Supply Auth</v>
          </cell>
          <cell r="I348" t="str">
            <v>S0033454</v>
          </cell>
          <cell r="K348" t="str">
            <v>10937-40-1</v>
          </cell>
          <cell r="M348">
            <v>315</v>
          </cell>
          <cell r="N348">
            <v>22</v>
          </cell>
          <cell r="O348">
            <v>415</v>
          </cell>
          <cell r="P348">
            <v>0.04</v>
          </cell>
          <cell r="R348">
            <v>10.6</v>
          </cell>
          <cell r="S348" t="str">
            <v>XLPE/PVC</v>
          </cell>
          <cell r="T348" t="str">
            <v>3x1C 150mm2</v>
          </cell>
          <cell r="V348" t="str">
            <v>MCB</v>
          </cell>
          <cell r="W348">
            <v>298</v>
          </cell>
          <cell r="AA348">
            <v>415</v>
          </cell>
          <cell r="AF348">
            <v>2007</v>
          </cell>
          <cell r="AH348" t="str">
            <v>Dave Sutton</v>
          </cell>
          <cell r="AI348" t="str">
            <v>WC</v>
          </cell>
        </row>
        <row r="349">
          <cell r="E349" t="str">
            <v>S2023282</v>
          </cell>
          <cell r="F349" t="str">
            <v>Horden St WWPS #1</v>
          </cell>
          <cell r="H349" t="str">
            <v>Armagh St Main DB</v>
          </cell>
          <cell r="K349" t="str">
            <v>10085-40-3</v>
          </cell>
          <cell r="V349" t="str">
            <v>MCB</v>
          </cell>
          <cell r="W349">
            <v>500</v>
          </cell>
          <cell r="AF349">
            <v>1986</v>
          </cell>
          <cell r="AG349" t="str">
            <v>g</v>
          </cell>
          <cell r="AH349" t="str">
            <v>Dave Sutton</v>
          </cell>
          <cell r="AI349" t="str">
            <v>WC</v>
          </cell>
          <cell r="AJ349" t="str">
            <v>Demolished</v>
          </cell>
        </row>
        <row r="350">
          <cell r="E350" t="str">
            <v xml:space="preserve">C001-011-003 SUBIACO WORKSHOP </v>
          </cell>
          <cell r="F350" t="str">
            <v>Shenton Park Depot Pump Test Facility</v>
          </cell>
          <cell r="H350" t="str">
            <v>Compound Tx</v>
          </cell>
          <cell r="J350" t="str">
            <v>Main SB</v>
          </cell>
          <cell r="K350" t="str">
            <v>09155-40-9.1</v>
          </cell>
          <cell r="M350">
            <v>500</v>
          </cell>
          <cell r="N350">
            <v>11</v>
          </cell>
          <cell r="O350">
            <v>440</v>
          </cell>
          <cell r="V350" t="str">
            <v>MCB</v>
          </cell>
          <cell r="W350">
            <v>720</v>
          </cell>
          <cell r="AG350">
            <v>1</v>
          </cell>
          <cell r="AH350" t="str">
            <v>Alan Wright</v>
          </cell>
          <cell r="AI350" t="str">
            <v>Aroona Alliance</v>
          </cell>
        </row>
        <row r="351">
          <cell r="E351" t="str">
            <v xml:space="preserve">C001-011-003 SUBIACO WORKSHOP </v>
          </cell>
          <cell r="F351" t="str">
            <v>Shenton Park Depot Pump Test Facility</v>
          </cell>
          <cell r="H351" t="str">
            <v>Main SB</v>
          </cell>
          <cell r="J351" t="str">
            <v>Pump Test Room MCC</v>
          </cell>
          <cell r="K351" t="str">
            <v>09155-40-9.1</v>
          </cell>
          <cell r="S351" t="str">
            <v>XLPE/PVC</v>
          </cell>
          <cell r="T351" t="str">
            <v>3x1C 150mm2</v>
          </cell>
          <cell r="V351" t="str">
            <v>Fuse</v>
          </cell>
          <cell r="W351">
            <v>355</v>
          </cell>
          <cell r="AA351">
            <v>415</v>
          </cell>
          <cell r="AF351">
            <v>1978</v>
          </cell>
          <cell r="AG351">
            <v>1</v>
          </cell>
          <cell r="AH351" t="str">
            <v>Alan Wright</v>
          </cell>
          <cell r="AI351" t="str">
            <v>Aroona Alliance</v>
          </cell>
        </row>
        <row r="352">
          <cell r="E352" t="str">
            <v>C001-011-003</v>
          </cell>
          <cell r="F352" t="str">
            <v>Shenton Park Depot Pump Test Facility</v>
          </cell>
          <cell r="H352" t="str">
            <v>Main SB</v>
          </cell>
          <cell r="J352" t="str">
            <v>Pump Test Facility L &amp; P SB</v>
          </cell>
          <cell r="K352" t="str">
            <v>15752-1-6</v>
          </cell>
          <cell r="V352" t="str">
            <v>Fuse</v>
          </cell>
          <cell r="W352">
            <v>250</v>
          </cell>
          <cell r="AB352">
            <v>300</v>
          </cell>
          <cell r="AG352" t="str">
            <v>3B</v>
          </cell>
          <cell r="AH352" t="str">
            <v>Alan Wright</v>
          </cell>
          <cell r="AI352" t="str">
            <v>Arroona Alliance</v>
          </cell>
        </row>
        <row r="353">
          <cell r="E353" t="str">
            <v>S0030079</v>
          </cell>
          <cell r="F353" t="str">
            <v>Guildford WWPS Main PS Bridge St</v>
          </cell>
          <cell r="H353" t="str">
            <v>Supply Auth</v>
          </cell>
          <cell r="I353" t="str">
            <v>S0030085</v>
          </cell>
          <cell r="J353" t="str">
            <v>Main SB</v>
          </cell>
          <cell r="K353" t="str">
            <v>08336-40-3</v>
          </cell>
          <cell r="M353">
            <v>300</v>
          </cell>
          <cell r="N353">
            <v>22</v>
          </cell>
          <cell r="O353">
            <v>440</v>
          </cell>
          <cell r="S353" t="str">
            <v>PVC</v>
          </cell>
          <cell r="T353" t="str">
            <v>3x1C 240mm2</v>
          </cell>
          <cell r="U353">
            <v>29.9</v>
          </cell>
          <cell r="V353" t="str">
            <v>MCB</v>
          </cell>
          <cell r="W353">
            <v>400</v>
          </cell>
          <cell r="Y353" t="str">
            <v>WACORP</v>
          </cell>
          <cell r="Z353" t="str">
            <v>WACORP</v>
          </cell>
          <cell r="AA353">
            <v>415</v>
          </cell>
          <cell r="AB353">
            <v>137</v>
          </cell>
          <cell r="AF353">
            <v>1980</v>
          </cell>
          <cell r="AG353" t="str">
            <v>3A</v>
          </cell>
          <cell r="AH353" t="str">
            <v>Dave Sutton</v>
          </cell>
          <cell r="AI353" t="str">
            <v>WC</v>
          </cell>
        </row>
        <row r="354">
          <cell r="E354" t="str">
            <v>W0026176</v>
          </cell>
          <cell r="F354" t="str">
            <v>Ashton Joint Venture Main Pump &amp; Intake Stations</v>
          </cell>
          <cell r="H354" t="str">
            <v>Generator SB</v>
          </cell>
          <cell r="J354" t="str">
            <v>Main PS MCC</v>
          </cell>
          <cell r="K354" t="str">
            <v>54874-630-702</v>
          </cell>
          <cell r="M354">
            <v>1000</v>
          </cell>
          <cell r="V354" t="str">
            <v>MCB</v>
          </cell>
          <cell r="W354">
            <v>1600</v>
          </cell>
          <cell r="AA354">
            <v>415</v>
          </cell>
          <cell r="AB354">
            <v>2000</v>
          </cell>
          <cell r="AC354">
            <v>31.5</v>
          </cell>
          <cell r="AD354">
            <v>1</v>
          </cell>
          <cell r="AF354">
            <v>1982</v>
          </cell>
          <cell r="AG354" t="str">
            <v>US</v>
          </cell>
          <cell r="AH354" t="str">
            <v>Steve Farquhar</v>
          </cell>
          <cell r="AI354" t="str">
            <v>WC</v>
          </cell>
          <cell r="AJ354" t="str">
            <v>Not WC owned</v>
          </cell>
        </row>
        <row r="355">
          <cell r="F355" t="str">
            <v>Cunderin A PS (old) - Site 202</v>
          </cell>
          <cell r="H355" t="str">
            <v>2x Transformers</v>
          </cell>
          <cell r="J355" t="str">
            <v>A Station MV SB</v>
          </cell>
          <cell r="K355" t="str">
            <v>51955-26-1</v>
          </cell>
          <cell r="M355">
            <v>2000</v>
          </cell>
          <cell r="N355">
            <v>22</v>
          </cell>
          <cell r="O355">
            <v>440</v>
          </cell>
          <cell r="S355" t="str">
            <v>XLPE</v>
          </cell>
          <cell r="V355" t="str">
            <v>MCB</v>
          </cell>
          <cell r="AF355">
            <v>1980</v>
          </cell>
          <cell r="AG355" t="str">
            <v>FUTURE</v>
          </cell>
          <cell r="AH355" t="str">
            <v>Rob Van-Tiel</v>
          </cell>
          <cell r="AI355" t="str">
            <v>WC</v>
          </cell>
          <cell r="AJ355" t="str">
            <v>Name this "old Cunderdin A WPS".  Still in operation during peak demand season due to pipeline condition issues.  New A station is separate and also has 1x main LV switchboard. To be decommissioned with CW01025</v>
          </cell>
        </row>
        <row r="356">
          <cell r="F356" t="str">
            <v>Cunderin B PS - Site 203</v>
          </cell>
          <cell r="H356" t="str">
            <v>Tx</v>
          </cell>
          <cell r="J356" t="str">
            <v>Unit 1 Cubicle</v>
          </cell>
          <cell r="K356" t="str">
            <v>46751-1-1</v>
          </cell>
          <cell r="M356">
            <v>1000</v>
          </cell>
          <cell r="N356">
            <v>22</v>
          </cell>
          <cell r="O356">
            <v>440</v>
          </cell>
          <cell r="S356" t="str">
            <v>XLPE</v>
          </cell>
          <cell r="V356" t="str">
            <v>MCB</v>
          </cell>
          <cell r="W356">
            <v>1600</v>
          </cell>
          <cell r="AF356">
            <v>1980</v>
          </cell>
          <cell r="AG356" t="str">
            <v>FUTURE</v>
          </cell>
          <cell r="AH356" t="str">
            <v>Rob Van-Tiel</v>
          </cell>
          <cell r="AI356" t="str">
            <v>WC</v>
          </cell>
          <cell r="AJ356" t="str">
            <v>Cunderdin PS to be upgraded CW01025</v>
          </cell>
        </row>
        <row r="357">
          <cell r="F357" t="str">
            <v>Cunderin B PS - Site 203</v>
          </cell>
          <cell r="H357" t="str">
            <v>Tx</v>
          </cell>
          <cell r="J357" t="str">
            <v>Unit 2 Cubicle</v>
          </cell>
          <cell r="K357" t="str">
            <v>46751-1-1</v>
          </cell>
          <cell r="M357">
            <v>1000</v>
          </cell>
          <cell r="N357">
            <v>22</v>
          </cell>
          <cell r="O357">
            <v>440</v>
          </cell>
          <cell r="S357" t="str">
            <v>XLPE</v>
          </cell>
          <cell r="V357" t="str">
            <v>MCB</v>
          </cell>
          <cell r="W357">
            <v>1600</v>
          </cell>
          <cell r="AF357">
            <v>1980</v>
          </cell>
          <cell r="AG357" t="str">
            <v>FUTURE</v>
          </cell>
          <cell r="AH357" t="str">
            <v>Rob Van-Tiel</v>
          </cell>
          <cell r="AI357" t="str">
            <v>WC</v>
          </cell>
          <cell r="AJ357" t="str">
            <v>Cunderdin PS to be upgraded CW01025</v>
          </cell>
        </row>
        <row r="358">
          <cell r="F358" t="str">
            <v>Cunderin B PS - Site 203</v>
          </cell>
          <cell r="H358" t="str">
            <v>Tx</v>
          </cell>
          <cell r="J358" t="str">
            <v>Unit 3 Cubicle</v>
          </cell>
          <cell r="K358" t="str">
            <v>46751-1-1</v>
          </cell>
          <cell r="M358">
            <v>1000</v>
          </cell>
          <cell r="N358">
            <v>22</v>
          </cell>
          <cell r="O358">
            <v>440</v>
          </cell>
          <cell r="S358" t="str">
            <v>XLPE</v>
          </cell>
          <cell r="V358" t="str">
            <v>MCB</v>
          </cell>
          <cell r="W358">
            <v>1600</v>
          </cell>
          <cell r="AF358">
            <v>1980</v>
          </cell>
          <cell r="AG358" t="str">
            <v>FUTURE</v>
          </cell>
          <cell r="AH358" t="str">
            <v>Rob Van-Tiel</v>
          </cell>
          <cell r="AI358" t="str">
            <v>WC</v>
          </cell>
          <cell r="AJ358" t="str">
            <v>Cunderdin PS to be upgraded CW01025</v>
          </cell>
        </row>
        <row r="359">
          <cell r="F359" t="str">
            <v>Quindalup Headworks - Transfer PS</v>
          </cell>
          <cell r="H359" t="str">
            <v>Supply Auth</v>
          </cell>
          <cell r="J359" t="str">
            <v>Main CB Cubicle</v>
          </cell>
          <cell r="K359" t="str">
            <v>51512-41-5.1</v>
          </cell>
          <cell r="M359">
            <v>200</v>
          </cell>
          <cell r="N359">
            <v>22</v>
          </cell>
          <cell r="O359">
            <v>440</v>
          </cell>
          <cell r="R359">
            <v>7.3</v>
          </cell>
          <cell r="S359" t="str">
            <v>XLPE</v>
          </cell>
          <cell r="T359" t="str">
            <v>3x1C 185mm2</v>
          </cell>
          <cell r="V359" t="str">
            <v>MCB</v>
          </cell>
          <cell r="W359">
            <v>400</v>
          </cell>
          <cell r="X359" t="str">
            <v>51512-41-11</v>
          </cell>
          <cell r="AE359">
            <v>7.2</v>
          </cell>
          <cell r="AF359">
            <v>1993</v>
          </cell>
          <cell r="AH359" t="str">
            <v>Ian Oswald</v>
          </cell>
          <cell r="AI359" t="str">
            <v>WC</v>
          </cell>
        </row>
        <row r="360">
          <cell r="E360" t="str">
            <v>W0019606</v>
          </cell>
          <cell r="F360" t="str">
            <v>Cadoux PS</v>
          </cell>
          <cell r="H360" t="str">
            <v>Supply Auth</v>
          </cell>
          <cell r="J360" t="str">
            <v>Incoming Panel</v>
          </cell>
          <cell r="K360" t="str">
            <v>48582-40-1.1</v>
          </cell>
          <cell r="M360">
            <v>200</v>
          </cell>
          <cell r="N360">
            <v>33</v>
          </cell>
          <cell r="O360">
            <v>415</v>
          </cell>
          <cell r="P360">
            <v>4.1000000000000002E-2</v>
          </cell>
          <cell r="R360">
            <v>8.9</v>
          </cell>
          <cell r="S360" t="str">
            <v>XLPE/PVC</v>
          </cell>
          <cell r="T360" t="str">
            <v>3x1C 185mm2</v>
          </cell>
          <cell r="V360" t="str">
            <v>MCB</v>
          </cell>
          <cell r="W360">
            <v>234</v>
          </cell>
          <cell r="X360" t="str">
            <v>48582-40-2</v>
          </cell>
          <cell r="AF360">
            <v>2004</v>
          </cell>
          <cell r="AH360" t="str">
            <v>Rob Van-Tiel</v>
          </cell>
          <cell r="AI360" t="str">
            <v>WC</v>
          </cell>
        </row>
        <row r="361">
          <cell r="E361" t="str">
            <v>S0025838</v>
          </cell>
          <cell r="F361" t="str">
            <v>South Hedland PS/Lot 2519 PS</v>
          </cell>
          <cell r="H361" t="str">
            <v>2x Incoming Tx</v>
          </cell>
          <cell r="J361" t="str">
            <v>Main SB</v>
          </cell>
          <cell r="K361" t="str">
            <v>48420-42-1.1</v>
          </cell>
          <cell r="M361">
            <v>500</v>
          </cell>
          <cell r="N361">
            <v>22</v>
          </cell>
          <cell r="O361">
            <v>440</v>
          </cell>
          <cell r="S361" t="str">
            <v>XLPE/PVC</v>
          </cell>
          <cell r="T361" t="str">
            <v>7x1C 240mm2</v>
          </cell>
          <cell r="V361" t="str">
            <v>MCB</v>
          </cell>
          <cell r="W361">
            <v>800</v>
          </cell>
          <cell r="X361" t="str">
            <v>48420-42-2</v>
          </cell>
          <cell r="AA361">
            <v>440</v>
          </cell>
          <cell r="AB361">
            <v>2000</v>
          </cell>
          <cell r="AC361">
            <v>35</v>
          </cell>
          <cell r="AE361">
            <v>20</v>
          </cell>
          <cell r="AF361">
            <v>2005</v>
          </cell>
          <cell r="AG361">
            <v>1</v>
          </cell>
          <cell r="AH361" t="str">
            <v>Steve Farquhar</v>
          </cell>
          <cell r="AI361" t="str">
            <v>WC</v>
          </cell>
          <cell r="AJ361" t="str">
            <v>New priority 1 board suggested by Steve Farquhar and priority added on 2/10/13</v>
          </cell>
        </row>
        <row r="362">
          <cell r="E362" t="str">
            <v>S0025838</v>
          </cell>
          <cell r="F362" t="str">
            <v>South Hedland PS</v>
          </cell>
          <cell r="H362" t="str">
            <v>South Hedland 2519 MSB</v>
          </cell>
          <cell r="J362" t="str">
            <v>Port Hedland MCC</v>
          </cell>
          <cell r="K362" t="str">
            <v>48420-42-1.1</v>
          </cell>
          <cell r="R362">
            <v>20</v>
          </cell>
          <cell r="S362" t="str">
            <v>XLPE/PVC</v>
          </cell>
          <cell r="T362" t="str">
            <v>2x3C+E+N 240mm2</v>
          </cell>
          <cell r="V362" t="str">
            <v>MCB</v>
          </cell>
          <cell r="W362">
            <v>800</v>
          </cell>
          <cell r="X362" t="str">
            <v>48420-42-2</v>
          </cell>
          <cell r="AE362">
            <v>20</v>
          </cell>
          <cell r="AF362">
            <v>2005</v>
          </cell>
          <cell r="AG362">
            <v>1</v>
          </cell>
          <cell r="AH362" t="str">
            <v>Steve Farquhar</v>
          </cell>
          <cell r="AI362" t="str">
            <v>WC</v>
          </cell>
        </row>
        <row r="363">
          <cell r="E363" t="str">
            <v>W0021313</v>
          </cell>
          <cell r="F363" t="str">
            <v>West Northam Regulating Valve Site 110</v>
          </cell>
          <cell r="H363" t="str">
            <v>Supply Auth</v>
          </cell>
          <cell r="J363" t="str">
            <v>Main SB</v>
          </cell>
          <cell r="K363" t="str">
            <v>48312-40-3</v>
          </cell>
          <cell r="M363">
            <v>200</v>
          </cell>
          <cell r="N363">
            <v>22</v>
          </cell>
          <cell r="O363">
            <v>415</v>
          </cell>
          <cell r="S363" t="str">
            <v>XLPE/PVC</v>
          </cell>
          <cell r="T363" t="str">
            <v>3x1C 120mm2</v>
          </cell>
          <cell r="V363" t="str">
            <v>MCB</v>
          </cell>
          <cell r="W363">
            <v>250</v>
          </cell>
          <cell r="X363" t="str">
            <v>48312-40-4</v>
          </cell>
          <cell r="AF363">
            <v>2007</v>
          </cell>
          <cell r="AH363" t="str">
            <v>Rob Van-Tiel</v>
          </cell>
          <cell r="AI363" t="str">
            <v>WC</v>
          </cell>
        </row>
        <row r="364">
          <cell r="E364" t="str">
            <v>W7001747</v>
          </cell>
          <cell r="F364" t="str">
            <v>Narrogin Bottle Creek PS</v>
          </cell>
          <cell r="G364" t="str">
            <v>E5</v>
          </cell>
          <cell r="H364" t="str">
            <v>Tx No2 (E3)</v>
          </cell>
          <cell r="J364" t="str">
            <v>415V Main Switchboard (E5)</v>
          </cell>
          <cell r="K364" t="str">
            <v>GL42-42-2.1</v>
          </cell>
          <cell r="M364">
            <v>800</v>
          </cell>
          <cell r="N364">
            <v>22</v>
          </cell>
          <cell r="O364">
            <v>433</v>
          </cell>
          <cell r="V364" t="str">
            <v>MCB</v>
          </cell>
          <cell r="AF364">
            <v>2005</v>
          </cell>
          <cell r="AH364" t="str">
            <v>Bruce Norton</v>
          </cell>
          <cell r="AI364" t="str">
            <v>WC</v>
          </cell>
        </row>
        <row r="365">
          <cell r="E365" t="str">
            <v>W0019656</v>
          </cell>
          <cell r="F365" t="str">
            <v>Minnivale PS</v>
          </cell>
          <cell r="H365" t="str">
            <v>Supply Auth</v>
          </cell>
          <cell r="J365" t="str">
            <v>Station SB (MCC)</v>
          </cell>
          <cell r="K365" t="str">
            <v>46761-40-1.1</v>
          </cell>
          <cell r="M365">
            <v>630</v>
          </cell>
          <cell r="N365">
            <v>22</v>
          </cell>
          <cell r="O365">
            <v>415</v>
          </cell>
          <cell r="R365">
            <v>10</v>
          </cell>
          <cell r="S365" t="str">
            <v>XLPE/PVC</v>
          </cell>
          <cell r="T365" t="str">
            <v>6x1C 240mm2</v>
          </cell>
          <cell r="V365" t="str">
            <v>MCB</v>
          </cell>
          <cell r="W365">
            <v>1000</v>
          </cell>
          <cell r="X365" t="str">
            <v>46761-40-3.1</v>
          </cell>
          <cell r="AE365">
            <v>9.9</v>
          </cell>
          <cell r="AF365">
            <v>1999</v>
          </cell>
          <cell r="AH365" t="str">
            <v>Rob Van-Tiel</v>
          </cell>
          <cell r="AI365" t="str">
            <v>WC</v>
          </cell>
        </row>
        <row r="366">
          <cell r="E366" t="str">
            <v>W0046056</v>
          </cell>
          <cell r="F366" t="str">
            <v>Thompson (Castlemaine) Scabby Gully PS</v>
          </cell>
          <cell r="H366" t="str">
            <v>Supply Auth</v>
          </cell>
          <cell r="K366" t="str">
            <v>46573-1-18</v>
          </cell>
          <cell r="T366" t="str">
            <v>1x3C 195mm2</v>
          </cell>
          <cell r="V366" t="str">
            <v>Fuse</v>
          </cell>
          <cell r="W366">
            <v>500</v>
          </cell>
          <cell r="AB366">
            <v>500</v>
          </cell>
          <cell r="AF366">
            <v>1970</v>
          </cell>
          <cell r="AG366">
            <v>1</v>
          </cell>
          <cell r="AH366" t="str">
            <v>Ian Oswald</v>
          </cell>
          <cell r="AI366" t="str">
            <v>WC</v>
          </cell>
        </row>
        <row r="367">
          <cell r="E367" t="str">
            <v>W0046056</v>
          </cell>
          <cell r="F367" t="str">
            <v>Scabby Gully PS</v>
          </cell>
          <cell r="G367" t="str">
            <v>Panel A</v>
          </cell>
          <cell r="H367" t="str">
            <v>Supply Auth</v>
          </cell>
          <cell r="J367" t="str">
            <v>Main Switch Panel</v>
          </cell>
          <cell r="K367" t="str">
            <v>46573-3-1</v>
          </cell>
          <cell r="S367" t="str">
            <v>PVC</v>
          </cell>
          <cell r="T367" t="str">
            <v>1x4C 150mm2</v>
          </cell>
          <cell r="V367" t="str">
            <v>MCB</v>
          </cell>
          <cell r="W367">
            <v>250</v>
          </cell>
          <cell r="AF367">
            <v>1977</v>
          </cell>
          <cell r="AG367" t="str">
            <v>g</v>
          </cell>
          <cell r="AH367" t="str">
            <v>Ian Oswald</v>
          </cell>
          <cell r="AI367" t="str">
            <v>WC</v>
          </cell>
        </row>
        <row r="368">
          <cell r="E368" t="str">
            <v>W0046052</v>
          </cell>
          <cell r="F368" t="str">
            <v>Phillips Creek Dam PS #1</v>
          </cell>
          <cell r="H368" t="str">
            <v>Supply Auth</v>
          </cell>
          <cell r="J368" t="str">
            <v>Main Incoming &amp; Starter Cubicle</v>
          </cell>
          <cell r="K368" t="str">
            <v>46573-44-5.1</v>
          </cell>
          <cell r="AF368">
            <v>2007</v>
          </cell>
          <cell r="AG368">
            <v>1</v>
          </cell>
          <cell r="AH368" t="str">
            <v>Ian Oswald</v>
          </cell>
          <cell r="AI368" t="str">
            <v>WC</v>
          </cell>
        </row>
        <row r="369">
          <cell r="E369" t="str">
            <v>W8002882</v>
          </cell>
          <cell r="F369" t="str">
            <v>Bobin St Headworks</v>
          </cell>
          <cell r="H369" t="str">
            <v>Supply Auth</v>
          </cell>
          <cell r="J369" t="str">
            <v>Main SB</v>
          </cell>
          <cell r="K369" t="str">
            <v>46563-1-1</v>
          </cell>
          <cell r="AA369">
            <v>440</v>
          </cell>
          <cell r="AF369">
            <v>1967</v>
          </cell>
          <cell r="AG369">
            <v>1</v>
          </cell>
          <cell r="AH369" t="str">
            <v>Ian Oswald</v>
          </cell>
          <cell r="AI369" t="str">
            <v>WC</v>
          </cell>
        </row>
        <row r="370">
          <cell r="E370" t="str">
            <v>W8002882</v>
          </cell>
          <cell r="F370" t="str">
            <v>Eaton PS</v>
          </cell>
          <cell r="H370" t="str">
            <v>Supply Auth</v>
          </cell>
          <cell r="J370" t="str">
            <v>Sub Main SB</v>
          </cell>
          <cell r="K370" t="str">
            <v>46563-2-4</v>
          </cell>
          <cell r="V370" t="str">
            <v>MCB</v>
          </cell>
          <cell r="W370">
            <v>400</v>
          </cell>
          <cell r="AF370">
            <v>1975</v>
          </cell>
          <cell r="AG370">
            <v>1</v>
          </cell>
          <cell r="AH370" t="str">
            <v>Ian Oswald</v>
          </cell>
          <cell r="AI370" t="str">
            <v>WC</v>
          </cell>
        </row>
        <row r="371">
          <cell r="E371" t="str">
            <v>W5018000</v>
          </cell>
          <cell r="F371" t="str">
            <v>Goomalling PS</v>
          </cell>
          <cell r="H371" t="str">
            <v>Supply Auth</v>
          </cell>
          <cell r="J371" t="str">
            <v>Incoming Panel</v>
          </cell>
          <cell r="K371" t="str">
            <v>45949-40-1</v>
          </cell>
          <cell r="M371">
            <v>200</v>
          </cell>
          <cell r="N371">
            <v>22</v>
          </cell>
          <cell r="O371">
            <v>415</v>
          </cell>
          <cell r="R371">
            <v>5.2</v>
          </cell>
          <cell r="S371" t="str">
            <v>XLPE/PVC</v>
          </cell>
          <cell r="T371" t="str">
            <v>3x3C 95mm2</v>
          </cell>
          <cell r="V371" t="str">
            <v>MCB</v>
          </cell>
          <cell r="W371">
            <v>247</v>
          </cell>
          <cell r="AF371">
            <v>2005</v>
          </cell>
          <cell r="AH371" t="str">
            <v>Rob Van-Tiel</v>
          </cell>
          <cell r="AI371" t="str">
            <v>WC</v>
          </cell>
        </row>
        <row r="372">
          <cell r="E372" t="str">
            <v>W1014414</v>
          </cell>
          <cell r="F372" t="str">
            <v>Lower Helena PS &amp; Suction Tank</v>
          </cell>
          <cell r="H372" t="str">
            <v>Aux Tx 1 &amp; 2</v>
          </cell>
          <cell r="I372" t="str">
            <v>W1023229</v>
          </cell>
          <cell r="J372" t="str">
            <v>Pump Station Main SB</v>
          </cell>
          <cell r="K372" t="str">
            <v>HZ20-40-1.1</v>
          </cell>
          <cell r="M372">
            <v>160</v>
          </cell>
          <cell r="N372">
            <v>22</v>
          </cell>
          <cell r="O372">
            <v>433</v>
          </cell>
          <cell r="P372">
            <v>0.04</v>
          </cell>
          <cell r="R372">
            <v>2.89</v>
          </cell>
          <cell r="S372" t="str">
            <v>PVC</v>
          </cell>
          <cell r="T372" t="str">
            <v>3x1C 120mm2</v>
          </cell>
          <cell r="V372" t="str">
            <v>MCB</v>
          </cell>
          <cell r="W372">
            <v>250</v>
          </cell>
          <cell r="X372" t="str">
            <v>HZ20-40-2.1</v>
          </cell>
          <cell r="AB372">
            <v>250</v>
          </cell>
          <cell r="AC372">
            <v>20</v>
          </cell>
          <cell r="AD372">
            <v>1</v>
          </cell>
          <cell r="AF372">
            <v>2012</v>
          </cell>
          <cell r="AG372" t="str">
            <v>3B</v>
          </cell>
          <cell r="AH372" t="str">
            <v>Craig Warner</v>
          </cell>
          <cell r="AI372" t="str">
            <v>Arroona Alliance</v>
          </cell>
        </row>
        <row r="373">
          <cell r="E373" t="str">
            <v>W8007235</v>
          </cell>
          <cell r="F373" t="str">
            <v>Harris Dam WTP</v>
          </cell>
          <cell r="H373" t="str">
            <v>Inlet Tx 1 &amp;  2</v>
          </cell>
          <cell r="J373" t="str">
            <v>Inlet PS SB</v>
          </cell>
          <cell r="K373" t="str">
            <v>HN40-40-4</v>
          </cell>
          <cell r="M373">
            <v>500</v>
          </cell>
          <cell r="N373">
            <v>22</v>
          </cell>
          <cell r="O373">
            <v>415</v>
          </cell>
          <cell r="P373">
            <v>4.7E-2</v>
          </cell>
          <cell r="S373" t="str">
            <v>XLPE/Nylon/PVC</v>
          </cell>
          <cell r="T373" t="str">
            <v>3x1C 630mm2</v>
          </cell>
          <cell r="V373" t="str">
            <v>MCB</v>
          </cell>
          <cell r="W373">
            <v>695</v>
          </cell>
          <cell r="X373" t="str">
            <v>HN40-40-3.4</v>
          </cell>
          <cell r="AE373">
            <v>12.6</v>
          </cell>
          <cell r="AF373">
            <v>2007</v>
          </cell>
          <cell r="AH373" t="str">
            <v>Ian Oswald</v>
          </cell>
          <cell r="AI373" t="str">
            <v>WC</v>
          </cell>
        </row>
        <row r="374">
          <cell r="E374" t="str">
            <v>W8007235</v>
          </cell>
          <cell r="F374" t="str">
            <v>Harris Dam WTP</v>
          </cell>
          <cell r="H374" t="str">
            <v>WTP Tx 1</v>
          </cell>
          <cell r="J374" t="str">
            <v>WTP SB 11</v>
          </cell>
          <cell r="K374" t="str">
            <v>HN40-40-5.1</v>
          </cell>
          <cell r="M374">
            <v>1600</v>
          </cell>
          <cell r="N374">
            <v>22</v>
          </cell>
          <cell r="O374">
            <v>415</v>
          </cell>
          <cell r="P374">
            <v>6.3E-2</v>
          </cell>
          <cell r="S374" t="str">
            <v>XLPE/Nylon/PVC</v>
          </cell>
          <cell r="T374" t="str">
            <v>12x1C 630mm2</v>
          </cell>
          <cell r="V374" t="str">
            <v>MCB</v>
          </cell>
          <cell r="W374">
            <v>2225</v>
          </cell>
          <cell r="X374" t="str">
            <v>HN40-40-3.3</v>
          </cell>
          <cell r="AA374">
            <v>415</v>
          </cell>
          <cell r="AB374">
            <v>2500</v>
          </cell>
          <cell r="AC374">
            <v>35</v>
          </cell>
          <cell r="AD374">
            <v>1</v>
          </cell>
          <cell r="AE374">
            <v>26.9</v>
          </cell>
          <cell r="AF374">
            <v>2007</v>
          </cell>
          <cell r="AH374" t="str">
            <v>Ian Oswald</v>
          </cell>
          <cell r="AI374" t="str">
            <v>WC</v>
          </cell>
        </row>
        <row r="375">
          <cell r="E375" t="str">
            <v>W8007235</v>
          </cell>
          <cell r="F375" t="str">
            <v>Harris Dam WTP</v>
          </cell>
          <cell r="H375" t="str">
            <v>WTP Tx 2</v>
          </cell>
          <cell r="J375" t="str">
            <v>WTP SB 12</v>
          </cell>
          <cell r="K375" t="str">
            <v>HN40-40-6.1</v>
          </cell>
          <cell r="M375">
            <v>1600</v>
          </cell>
          <cell r="N375">
            <v>22</v>
          </cell>
          <cell r="O375">
            <v>415</v>
          </cell>
          <cell r="P375">
            <v>6.3E-2</v>
          </cell>
          <cell r="S375" t="str">
            <v>XLPE/Nylon/PVC</v>
          </cell>
          <cell r="T375" t="str">
            <v>12x1C 630mm2</v>
          </cell>
          <cell r="V375" t="str">
            <v>MCB</v>
          </cell>
          <cell r="W375">
            <v>2225</v>
          </cell>
          <cell r="X375" t="str">
            <v>HN40-40-3.3</v>
          </cell>
          <cell r="AA375">
            <v>415</v>
          </cell>
          <cell r="AB375">
            <v>2500</v>
          </cell>
          <cell r="AC375">
            <v>35</v>
          </cell>
          <cell r="AD375">
            <v>1</v>
          </cell>
          <cell r="AE375">
            <v>26.9</v>
          </cell>
          <cell r="AF375">
            <v>2007</v>
          </cell>
          <cell r="AH375" t="str">
            <v>Ian Oswald</v>
          </cell>
          <cell r="AI375" t="str">
            <v>WC</v>
          </cell>
        </row>
        <row r="376">
          <cell r="E376" t="str">
            <v>W0035287</v>
          </cell>
          <cell r="F376" t="str">
            <v>Peet Rd High Level PS</v>
          </cell>
          <cell r="H376" t="str">
            <v>Transformer</v>
          </cell>
          <cell r="I376" t="str">
            <v>W0035292</v>
          </cell>
          <cell r="J376" t="str">
            <v>Main SB</v>
          </cell>
          <cell r="K376" t="str">
            <v>15800-40-3</v>
          </cell>
          <cell r="M376">
            <v>300</v>
          </cell>
          <cell r="N376">
            <v>22</v>
          </cell>
          <cell r="O376">
            <v>440</v>
          </cell>
          <cell r="S376" t="str">
            <v>PVC</v>
          </cell>
          <cell r="T376" t="str">
            <v>185mm2</v>
          </cell>
          <cell r="V376" t="str">
            <v>MCB</v>
          </cell>
          <cell r="W376">
            <v>400</v>
          </cell>
          <cell r="AF376">
            <v>1981</v>
          </cell>
          <cell r="AG376" t="str">
            <v>3A</v>
          </cell>
          <cell r="AH376" t="str">
            <v>Dave Sutton</v>
          </cell>
          <cell r="AI376" t="str">
            <v>WC</v>
          </cell>
        </row>
        <row r="377">
          <cell r="E377" t="str">
            <v>S1002449</v>
          </cell>
          <cell r="F377" t="str">
            <v>Point Peron WWTP Effluent PS</v>
          </cell>
          <cell r="G377" t="str">
            <v>E1</v>
          </cell>
          <cell r="H377" t="str">
            <v>Padmount Tx</v>
          </cell>
          <cell r="J377" t="str">
            <v>Main SB</v>
          </cell>
          <cell r="K377" t="str">
            <v>15726-41-4</v>
          </cell>
          <cell r="M377">
            <v>630</v>
          </cell>
          <cell r="N377">
            <v>22</v>
          </cell>
          <cell r="O377">
            <v>415</v>
          </cell>
          <cell r="R377">
            <v>20.3</v>
          </cell>
          <cell r="S377" t="str">
            <v>XLPE/PVC</v>
          </cell>
          <cell r="T377" t="str">
            <v>6x1C 185mm2</v>
          </cell>
          <cell r="U377">
            <v>78</v>
          </cell>
          <cell r="V377" t="str">
            <v>MCB</v>
          </cell>
          <cell r="W377">
            <v>589</v>
          </cell>
          <cell r="X377" t="str">
            <v>15726-40-136</v>
          </cell>
          <cell r="AA377">
            <v>415</v>
          </cell>
          <cell r="AB377">
            <v>600</v>
          </cell>
          <cell r="AC377">
            <v>8</v>
          </cell>
          <cell r="AD377">
            <v>1</v>
          </cell>
          <cell r="AE377">
            <v>16.100000000000001</v>
          </cell>
          <cell r="AF377">
            <v>2001</v>
          </cell>
          <cell r="AG377">
            <v>1</v>
          </cell>
          <cell r="AH377" t="str">
            <v>Chris Cooper</v>
          </cell>
          <cell r="AI377" t="str">
            <v>Aroona Alliance</v>
          </cell>
          <cell r="AJ377" t="str">
            <v>No access</v>
          </cell>
        </row>
        <row r="378">
          <cell r="F378" t="str">
            <v>Recharge &amp; Effluent Disposal</v>
          </cell>
          <cell r="G378" t="str">
            <v>MSB1</v>
          </cell>
          <cell r="J378" t="str">
            <v>Metering &amp; Dist. Board</v>
          </cell>
          <cell r="K378" t="str">
            <v>15712-40-6</v>
          </cell>
          <cell r="M378">
            <v>200</v>
          </cell>
          <cell r="N378">
            <v>22</v>
          </cell>
          <cell r="O378">
            <v>440</v>
          </cell>
          <cell r="S378" t="str">
            <v>PVC</v>
          </cell>
          <cell r="T378" t="str">
            <v>50mm2</v>
          </cell>
          <cell r="V378" t="str">
            <v>Fuse</v>
          </cell>
          <cell r="AF378">
            <v>1980</v>
          </cell>
          <cell r="AG378" t="str">
            <v>US</v>
          </cell>
          <cell r="AH378" t="str">
            <v>Dave Sutton</v>
          </cell>
          <cell r="AI378" t="str">
            <v>WC</v>
          </cell>
          <cell r="AJ378" t="str">
            <v>Decomissioned over 20 years ago</v>
          </cell>
        </row>
        <row r="379">
          <cell r="F379" t="str">
            <v>Point Peron WWTP</v>
          </cell>
          <cell r="G379" t="str">
            <v>SB1</v>
          </cell>
          <cell r="H379" t="str">
            <v>Pole Mounted Tx</v>
          </cell>
          <cell r="J379" t="str">
            <v>Plant Main SB</v>
          </cell>
          <cell r="K379" t="str">
            <v>15726-40-31</v>
          </cell>
          <cell r="M379">
            <v>200</v>
          </cell>
          <cell r="N379">
            <v>22</v>
          </cell>
          <cell r="O379">
            <v>440</v>
          </cell>
          <cell r="V379" t="str">
            <v>Fuse</v>
          </cell>
          <cell r="W379">
            <v>300</v>
          </cell>
          <cell r="AF379">
            <v>1984</v>
          </cell>
          <cell r="AG379" t="str">
            <v>g</v>
          </cell>
          <cell r="AH379" t="str">
            <v>Chris Cooper</v>
          </cell>
          <cell r="AI379" t="str">
            <v>Arroona Alliance</v>
          </cell>
          <cell r="AJ379" t="str">
            <v>Striked out as 'N/A'</v>
          </cell>
        </row>
        <row r="380">
          <cell r="E380" t="str">
            <v>S0028299</v>
          </cell>
          <cell r="F380" t="str">
            <v>Scarborough Low Level PS #3</v>
          </cell>
          <cell r="H380" t="str">
            <v>Supply Auth</v>
          </cell>
          <cell r="I380" t="str">
            <v>S0028305</v>
          </cell>
          <cell r="K380" t="str">
            <v>14966-40-2</v>
          </cell>
          <cell r="V380" t="str">
            <v>Fuse</v>
          </cell>
          <cell r="W380">
            <v>200</v>
          </cell>
          <cell r="AF380">
            <v>1978</v>
          </cell>
          <cell r="AG380">
            <v>1</v>
          </cell>
          <cell r="AH380" t="str">
            <v>Dave Sutton</v>
          </cell>
          <cell r="AI380" t="str">
            <v>WC</v>
          </cell>
        </row>
        <row r="381">
          <cell r="F381" t="str">
            <v xml:space="preserve">Jandakot Clearwater PS </v>
          </cell>
          <cell r="G381" t="str">
            <v>E1</v>
          </cell>
          <cell r="H381" t="str">
            <v>Padmount Tx</v>
          </cell>
          <cell r="J381" t="str">
            <v>Main SB</v>
          </cell>
          <cell r="K381" t="str">
            <v>14772-42-11</v>
          </cell>
          <cell r="M381">
            <v>1000</v>
          </cell>
          <cell r="N381">
            <v>22</v>
          </cell>
          <cell r="O381">
            <v>440</v>
          </cell>
          <cell r="P381">
            <v>6.5000000000000002E-2</v>
          </cell>
          <cell r="S381" t="str">
            <v>PVC</v>
          </cell>
          <cell r="T381" t="str">
            <v>6x1C 500mm2</v>
          </cell>
          <cell r="V381" t="str">
            <v>MCB</v>
          </cell>
          <cell r="W381">
            <v>1250</v>
          </cell>
          <cell r="Y381" t="str">
            <v>Siemens Sivacon</v>
          </cell>
          <cell r="AA381">
            <v>415</v>
          </cell>
          <cell r="AB381">
            <v>1600</v>
          </cell>
          <cell r="AC381">
            <v>26</v>
          </cell>
          <cell r="AD381">
            <v>1</v>
          </cell>
          <cell r="AF381">
            <v>1974</v>
          </cell>
          <cell r="AG381" t="str">
            <v>g</v>
          </cell>
          <cell r="AH381" t="str">
            <v>Chris Cooper</v>
          </cell>
          <cell r="AI381" t="str">
            <v>Arroona Alliance</v>
          </cell>
          <cell r="AJ381" t="str">
            <v>New Padmount Tx Western Power</v>
          </cell>
        </row>
        <row r="382">
          <cell r="E382" t="str">
            <v>W0004790</v>
          </cell>
          <cell r="F382" t="str">
            <v xml:space="preserve">Jandakot Clearwater PS </v>
          </cell>
          <cell r="G382" t="str">
            <v>E7</v>
          </cell>
          <cell r="H382" t="str">
            <v>E1</v>
          </cell>
          <cell r="I382" t="str">
            <v>W1025934</v>
          </cell>
          <cell r="J382" t="str">
            <v>Backwash Pumps SB</v>
          </cell>
          <cell r="K382" t="str">
            <v>14772-42-10</v>
          </cell>
          <cell r="M382">
            <v>1000</v>
          </cell>
          <cell r="N382">
            <v>22</v>
          </cell>
          <cell r="O382">
            <v>415</v>
          </cell>
          <cell r="S382" t="str">
            <v>PVC</v>
          </cell>
          <cell r="T382" t="str">
            <v>4x1C 50mm2</v>
          </cell>
          <cell r="U382">
            <v>12</v>
          </cell>
          <cell r="V382" t="str">
            <v>Fuse</v>
          </cell>
          <cell r="W382">
            <v>200</v>
          </cell>
          <cell r="AA382">
            <v>415</v>
          </cell>
          <cell r="AB382">
            <v>250</v>
          </cell>
          <cell r="AC382">
            <v>30</v>
          </cell>
          <cell r="AD382">
            <v>1</v>
          </cell>
          <cell r="AG382" t="str">
            <v>3B</v>
          </cell>
          <cell r="AH382" t="str">
            <v>Chris Cooper</v>
          </cell>
          <cell r="AI382" t="str">
            <v>Arroona Alliance</v>
          </cell>
        </row>
        <row r="383">
          <cell r="E383" t="str">
            <v>W0004790</v>
          </cell>
          <cell r="F383" t="str">
            <v xml:space="preserve">Jandakot Clearwater PS </v>
          </cell>
          <cell r="G383" t="str">
            <v>E5</v>
          </cell>
          <cell r="H383" t="str">
            <v>E1</v>
          </cell>
          <cell r="I383" t="str">
            <v>W1016289</v>
          </cell>
          <cell r="J383" t="str">
            <v>Operations Building SB</v>
          </cell>
          <cell r="K383" t="str">
            <v>14772-42-45</v>
          </cell>
          <cell r="M383">
            <v>1000</v>
          </cell>
          <cell r="N383">
            <v>22</v>
          </cell>
          <cell r="O383">
            <v>415</v>
          </cell>
          <cell r="S383" t="str">
            <v>PVC</v>
          </cell>
          <cell r="T383" t="str">
            <v>3C 120mm2</v>
          </cell>
          <cell r="U383">
            <v>320</v>
          </cell>
          <cell r="V383" t="str">
            <v>Fuse</v>
          </cell>
          <cell r="W383">
            <v>160</v>
          </cell>
          <cell r="AG383" t="str">
            <v>3B</v>
          </cell>
          <cell r="AH383" t="str">
            <v>Chris Cooper</v>
          </cell>
          <cell r="AI383" t="str">
            <v>Arroona Alliance</v>
          </cell>
          <cell r="AJ383" t="str">
            <v>No ID on board</v>
          </cell>
        </row>
        <row r="384">
          <cell r="E384" t="str">
            <v>W0004790</v>
          </cell>
          <cell r="F384" t="str">
            <v xml:space="preserve">Jandakot Clearwater PS </v>
          </cell>
          <cell r="G384" t="str">
            <v>E2</v>
          </cell>
          <cell r="H384" t="str">
            <v>E1</v>
          </cell>
          <cell r="I384" t="str">
            <v>W0005139</v>
          </cell>
          <cell r="J384" t="str">
            <v>Filters Building DB</v>
          </cell>
          <cell r="K384" t="str">
            <v>14772-42-20</v>
          </cell>
          <cell r="M384">
            <v>1600</v>
          </cell>
          <cell r="N384">
            <v>22</v>
          </cell>
          <cell r="O384">
            <v>433</v>
          </cell>
          <cell r="V384" t="str">
            <v>MCB</v>
          </cell>
          <cell r="W384">
            <v>160</v>
          </cell>
          <cell r="AA384">
            <v>415</v>
          </cell>
          <cell r="AG384" t="str">
            <v>3B</v>
          </cell>
          <cell r="AH384" t="str">
            <v>Chris Cooper</v>
          </cell>
          <cell r="AI384" t="str">
            <v>Arroona Alliance</v>
          </cell>
        </row>
        <row r="385">
          <cell r="E385" t="str">
            <v>W0004790</v>
          </cell>
          <cell r="F385" t="str">
            <v xml:space="preserve">Jandakot Clearwater PS </v>
          </cell>
          <cell r="G385" t="str">
            <v>E1.1</v>
          </cell>
          <cell r="H385" t="str">
            <v>E1</v>
          </cell>
          <cell r="I385" t="str">
            <v>W0005136</v>
          </cell>
          <cell r="J385" t="str">
            <v>Power Lighting &amp; Control DB</v>
          </cell>
          <cell r="K385" t="str">
            <v>14772-40-132</v>
          </cell>
          <cell r="M385">
            <v>1000</v>
          </cell>
          <cell r="N385">
            <v>22</v>
          </cell>
          <cell r="O385">
            <v>415</v>
          </cell>
          <cell r="S385" t="str">
            <v>PVC</v>
          </cell>
          <cell r="T385" t="str">
            <v>1x4C 50mm2</v>
          </cell>
          <cell r="U385">
            <v>10</v>
          </cell>
          <cell r="V385" t="str">
            <v>Fuse</v>
          </cell>
          <cell r="W385">
            <v>63</v>
          </cell>
          <cell r="AA385">
            <v>415</v>
          </cell>
          <cell r="AF385">
            <v>1979</v>
          </cell>
          <cell r="AG385" t="str">
            <v>g</v>
          </cell>
          <cell r="AH385" t="str">
            <v>Chris Cooper</v>
          </cell>
          <cell r="AI385" t="str">
            <v>Arroona Alliance</v>
          </cell>
          <cell r="AJ385" t="str">
            <v>DB No ID</v>
          </cell>
        </row>
        <row r="386">
          <cell r="E386" t="str">
            <v>S001-001-003</v>
          </cell>
          <cell r="F386" t="str">
            <v>Beenyup WWTP</v>
          </cell>
          <cell r="G386" t="str">
            <v>SB03101</v>
          </cell>
          <cell r="H386" t="str">
            <v>TF03201, Tr21&amp; TF03202</v>
          </cell>
          <cell r="I386" t="str">
            <v>S1023255</v>
          </cell>
          <cell r="J386" t="str">
            <v>Main SB # 2</v>
          </cell>
          <cell r="K386" t="str">
            <v>12410-41-41</v>
          </cell>
          <cell r="S386" t="str">
            <v>XLPE/PVC</v>
          </cell>
          <cell r="T386" t="str">
            <v>12x1C+E 630mm2</v>
          </cell>
          <cell r="V386" t="str">
            <v>MCB</v>
          </cell>
          <cell r="W386">
            <v>3200</v>
          </cell>
          <cell r="AA386">
            <v>415</v>
          </cell>
          <cell r="AB386">
            <v>3200</v>
          </cell>
          <cell r="AC386">
            <v>63</v>
          </cell>
          <cell r="AD386">
            <v>1</v>
          </cell>
          <cell r="AE386">
            <v>45</v>
          </cell>
          <cell r="AF386">
            <v>2003</v>
          </cell>
          <cell r="AG386">
            <v>1</v>
          </cell>
          <cell r="AH386" t="str">
            <v>Rhys Jones</v>
          </cell>
          <cell r="AI386" t="str">
            <v>Aroona Alliance</v>
          </cell>
        </row>
        <row r="387">
          <cell r="E387" t="str">
            <v>S001-001-003</v>
          </cell>
          <cell r="F387" t="str">
            <v>Beenyup WWTP</v>
          </cell>
          <cell r="G387" t="str">
            <v>DB03101</v>
          </cell>
          <cell r="H387" t="str">
            <v>SB03101</v>
          </cell>
          <cell r="I387" t="str">
            <v>S1023256</v>
          </cell>
          <cell r="J387" t="str">
            <v>Sludge Handling Plant Substation # 2 DB A</v>
          </cell>
          <cell r="R387">
            <v>45</v>
          </cell>
          <cell r="V387" t="str">
            <v>MCB</v>
          </cell>
          <cell r="W387">
            <v>100</v>
          </cell>
          <cell r="AF387">
            <v>2003</v>
          </cell>
          <cell r="AH387" t="str">
            <v>Rhys Jones</v>
          </cell>
          <cell r="AI387" t="str">
            <v>Arroona Alliance</v>
          </cell>
        </row>
        <row r="388">
          <cell r="E388" t="str">
            <v>S001-001-003</v>
          </cell>
          <cell r="F388" t="str">
            <v>Beenyup WWTP</v>
          </cell>
          <cell r="G388" t="str">
            <v>MC20101</v>
          </cell>
          <cell r="H388" t="str">
            <v>SB03101</v>
          </cell>
          <cell r="I388" t="str">
            <v>S0000161</v>
          </cell>
          <cell r="J388" t="str">
            <v>Pre-Treatment MCC A MC20101</v>
          </cell>
          <cell r="K388" t="str">
            <v>12410-42-32.1</v>
          </cell>
          <cell r="R388">
            <v>45</v>
          </cell>
          <cell r="V388" t="str">
            <v>MCB</v>
          </cell>
          <cell r="W388">
            <v>250</v>
          </cell>
          <cell r="AA388">
            <v>415</v>
          </cell>
          <cell r="AB388">
            <v>250</v>
          </cell>
          <cell r="AC388">
            <v>63</v>
          </cell>
          <cell r="AD388">
            <v>1</v>
          </cell>
          <cell r="AE388">
            <v>8.6999999999999993</v>
          </cell>
          <cell r="AF388">
            <v>2003</v>
          </cell>
          <cell r="AH388" t="str">
            <v>Rhys Jones</v>
          </cell>
          <cell r="AI388" t="str">
            <v>Arroona Alliance</v>
          </cell>
        </row>
        <row r="389">
          <cell r="E389" t="str">
            <v>S001-001-003</v>
          </cell>
          <cell r="F389" t="str">
            <v>Beenyup WWTP</v>
          </cell>
          <cell r="G389" t="str">
            <v>DB20102</v>
          </cell>
          <cell r="H389" t="str">
            <v>MC20101</v>
          </cell>
          <cell r="I389" t="str">
            <v>S1011997</v>
          </cell>
          <cell r="J389" t="str">
            <v>Pretreatment Power &amp; small power DB</v>
          </cell>
          <cell r="K389" t="str">
            <v>12410-42-35</v>
          </cell>
          <cell r="AF389">
            <v>2003</v>
          </cell>
          <cell r="AH389" t="str">
            <v>Rhys Jones</v>
          </cell>
          <cell r="AI389" t="str">
            <v>Arroona Alliance</v>
          </cell>
        </row>
        <row r="390">
          <cell r="E390" t="str">
            <v>S001-001-003</v>
          </cell>
          <cell r="F390" t="str">
            <v>Beenyup WWTP</v>
          </cell>
          <cell r="G390" t="str">
            <v>DB3</v>
          </cell>
          <cell r="H390" t="str">
            <v>MC20101</v>
          </cell>
          <cell r="I390" t="str">
            <v>S1023218</v>
          </cell>
          <cell r="J390" t="str">
            <v>DB # 3(Penstocks)</v>
          </cell>
          <cell r="K390" t="str">
            <v>12410-40-347</v>
          </cell>
          <cell r="V390" t="str">
            <v>MCB</v>
          </cell>
          <cell r="W390">
            <v>80</v>
          </cell>
          <cell r="AA390">
            <v>415</v>
          </cell>
          <cell r="AC390">
            <v>8</v>
          </cell>
          <cell r="AD390">
            <v>1</v>
          </cell>
          <cell r="AG390" t="str">
            <v>3B</v>
          </cell>
          <cell r="AH390" t="str">
            <v>Rhys Jones</v>
          </cell>
          <cell r="AI390" t="str">
            <v>Arroona Alliance</v>
          </cell>
        </row>
        <row r="391">
          <cell r="E391" t="str">
            <v>S001-001-003</v>
          </cell>
          <cell r="F391" t="str">
            <v>Beenyup WWTP</v>
          </cell>
          <cell r="G391" t="str">
            <v>DB20101</v>
          </cell>
          <cell r="H391" t="str">
            <v>MC20101</v>
          </cell>
          <cell r="I391" t="str">
            <v>S1011997</v>
          </cell>
          <cell r="J391" t="str">
            <v>Pretreatment Screenings Instrument DB</v>
          </cell>
          <cell r="K391" t="str">
            <v>12410-42-34</v>
          </cell>
          <cell r="AG391" t="str">
            <v>3B</v>
          </cell>
          <cell r="AH391" t="str">
            <v>Rhys Jones</v>
          </cell>
          <cell r="AI391" t="str">
            <v>Arroona Alliance</v>
          </cell>
        </row>
        <row r="392">
          <cell r="E392" t="str">
            <v>S001-001-003</v>
          </cell>
          <cell r="F392" t="str">
            <v>Beenyup WWTP</v>
          </cell>
          <cell r="G392" t="str">
            <v>DB20104</v>
          </cell>
          <cell r="H392" t="str">
            <v>MC20101</v>
          </cell>
          <cell r="I392" t="str">
            <v>S1008144</v>
          </cell>
          <cell r="J392" t="str">
            <v>Dirt Tanks 1-4 Penstocks DB</v>
          </cell>
          <cell r="K392" t="str">
            <v>12410-42-34.2</v>
          </cell>
          <cell r="S392" t="str">
            <v>PVC</v>
          </cell>
          <cell r="T392" t="str">
            <v>4C+E 16mm2</v>
          </cell>
          <cell r="U392">
            <v>60</v>
          </cell>
          <cell r="AF392">
            <v>2009</v>
          </cell>
          <cell r="AH392" t="str">
            <v>Rhys Jones</v>
          </cell>
          <cell r="AI392" t="str">
            <v>Arroona Alliance</v>
          </cell>
        </row>
        <row r="393">
          <cell r="E393" t="str">
            <v>S001-001-003</v>
          </cell>
          <cell r="F393" t="str">
            <v>Beenyup WWTP</v>
          </cell>
          <cell r="G393" t="str">
            <v>DB20105</v>
          </cell>
          <cell r="H393" t="str">
            <v>MC20101</v>
          </cell>
          <cell r="I393" t="str">
            <v>S1008145</v>
          </cell>
          <cell r="J393" t="str">
            <v>Dirt Tanks 5-8 Penstocks DB</v>
          </cell>
          <cell r="K393" t="str">
            <v>12410-42-34.3</v>
          </cell>
          <cell r="S393" t="str">
            <v>PVC</v>
          </cell>
          <cell r="T393" t="str">
            <v>4C+E 16mm3</v>
          </cell>
          <cell r="U393">
            <v>60</v>
          </cell>
          <cell r="AF393">
            <v>2009</v>
          </cell>
          <cell r="AH393" t="str">
            <v>Rhys Jones</v>
          </cell>
          <cell r="AI393" t="str">
            <v>Arroona Alliance</v>
          </cell>
        </row>
        <row r="394">
          <cell r="E394" t="str">
            <v>S001-001-003</v>
          </cell>
          <cell r="F394" t="str">
            <v>Beenyup WWTP</v>
          </cell>
          <cell r="G394" t="str">
            <v>LC20106</v>
          </cell>
          <cell r="H394" t="str">
            <v>MC20101</v>
          </cell>
          <cell r="I394" t="str">
            <v>S1008147</v>
          </cell>
          <cell r="J394" t="str">
            <v>Pretreatment Bins Girt Washer # 2 DB</v>
          </cell>
          <cell r="K394" t="str">
            <v>12410-42-34.4</v>
          </cell>
          <cell r="S394" t="str">
            <v>PVC</v>
          </cell>
          <cell r="T394" t="str">
            <v>4C+E 16mm2</v>
          </cell>
          <cell r="U394">
            <v>90</v>
          </cell>
          <cell r="AF394">
            <v>2009</v>
          </cell>
          <cell r="AH394" t="str">
            <v>Rhys Jones</v>
          </cell>
          <cell r="AI394" t="str">
            <v>Arroona Alliance</v>
          </cell>
        </row>
        <row r="395">
          <cell r="E395" t="str">
            <v>S001-001-003</v>
          </cell>
          <cell r="F395" t="str">
            <v>Beenyup WWTP</v>
          </cell>
          <cell r="G395" t="str">
            <v>MCC S1</v>
          </cell>
          <cell r="H395" t="str">
            <v>SB03101</v>
          </cell>
          <cell r="J395" t="str">
            <v>Sludge Digestion and Dewatering Equipment MCC S1</v>
          </cell>
          <cell r="K395" t="str">
            <v>12410-51-805</v>
          </cell>
          <cell r="R395">
            <v>45</v>
          </cell>
          <cell r="V395" t="str">
            <v>MCB</v>
          </cell>
          <cell r="W395">
            <v>400</v>
          </cell>
          <cell r="AE395">
            <v>22.7</v>
          </cell>
          <cell r="AF395">
            <v>2000</v>
          </cell>
          <cell r="AH395" t="str">
            <v>Rhys Jones</v>
          </cell>
          <cell r="AI395" t="str">
            <v>Arroona Alliance</v>
          </cell>
          <cell r="AJ395" t="str">
            <v>Board partly decommissioned, equipment missing, old baord</v>
          </cell>
        </row>
        <row r="396">
          <cell r="E396" t="str">
            <v>S001-001-003</v>
          </cell>
          <cell r="F396" t="str">
            <v>Beenyup WWTP</v>
          </cell>
          <cell r="H396" t="str">
            <v>MCC S1</v>
          </cell>
          <cell r="I396" t="str">
            <v>S0001066</v>
          </cell>
          <cell r="J396" t="str">
            <v>Sludge Light &amp; Power Ground Floor</v>
          </cell>
          <cell r="K396" t="str">
            <v>12410-51-510-1</v>
          </cell>
          <cell r="R396">
            <v>22.7</v>
          </cell>
          <cell r="AG396" t="str">
            <v>3B</v>
          </cell>
          <cell r="AH396" t="str">
            <v>Rhys Jones</v>
          </cell>
          <cell r="AI396" t="str">
            <v>Arroona Alliance</v>
          </cell>
        </row>
        <row r="397">
          <cell r="E397" t="str">
            <v>S001-001-003</v>
          </cell>
          <cell r="F397" t="str">
            <v>Beenyup WWTP</v>
          </cell>
          <cell r="H397" t="str">
            <v>MCC S1</v>
          </cell>
          <cell r="I397" t="str">
            <v>S0001067</v>
          </cell>
          <cell r="J397" t="str">
            <v>Sludge Light &amp; Power Upper Floor</v>
          </cell>
          <cell r="K397" t="str">
            <v>12410-51-510-1</v>
          </cell>
          <cell r="R397">
            <v>22.7</v>
          </cell>
          <cell r="AG397" t="str">
            <v>3B</v>
          </cell>
          <cell r="AH397" t="str">
            <v>Rhys Jones</v>
          </cell>
          <cell r="AI397" t="str">
            <v>Arroona Alliance</v>
          </cell>
        </row>
        <row r="398">
          <cell r="E398" t="str">
            <v>S001-001-003</v>
          </cell>
          <cell r="F398" t="str">
            <v>Beenyup WWTP</v>
          </cell>
          <cell r="G398" t="str">
            <v>MC90101</v>
          </cell>
          <cell r="H398" t="str">
            <v>SB03101</v>
          </cell>
          <cell r="I398" t="str">
            <v>S1023242</v>
          </cell>
          <cell r="J398" t="str">
            <v>Sludge Dewatering MCC A MC90101</v>
          </cell>
          <cell r="K398" t="str">
            <v>12410-51-3.1</v>
          </cell>
          <cell r="R398">
            <v>45</v>
          </cell>
          <cell r="S398" t="str">
            <v>XLPE/PVC</v>
          </cell>
          <cell r="T398" t="str">
            <v>6x1C 500mm2</v>
          </cell>
          <cell r="V398" t="str">
            <v>MCB</v>
          </cell>
          <cell r="W398">
            <v>630</v>
          </cell>
          <cell r="AA398">
            <v>415</v>
          </cell>
          <cell r="AB398">
            <v>3200</v>
          </cell>
          <cell r="AC398">
            <v>63</v>
          </cell>
          <cell r="AD398">
            <v>1</v>
          </cell>
          <cell r="AE398">
            <v>22</v>
          </cell>
          <cell r="AF398">
            <v>2003</v>
          </cell>
          <cell r="AG398">
            <v>2</v>
          </cell>
          <cell r="AH398" t="str">
            <v>Rhys Jones</v>
          </cell>
          <cell r="AI398" t="str">
            <v>Arroona Alliance</v>
          </cell>
        </row>
        <row r="399">
          <cell r="E399" t="str">
            <v>S001-001-003</v>
          </cell>
          <cell r="F399" t="str">
            <v>Beenyup WWTP</v>
          </cell>
          <cell r="G399" t="str">
            <v>LC92801</v>
          </cell>
          <cell r="H399" t="str">
            <v>MC90101</v>
          </cell>
          <cell r="J399" t="str">
            <v>Bulk Polymer Hopper Control Panel</v>
          </cell>
          <cell r="R399">
            <v>22</v>
          </cell>
          <cell r="V399" t="str">
            <v>MCB</v>
          </cell>
          <cell r="W399">
            <v>16</v>
          </cell>
          <cell r="AG399" t="str">
            <v>3B</v>
          </cell>
          <cell r="AH399" t="str">
            <v>Rhys Jones</v>
          </cell>
          <cell r="AI399" t="str">
            <v>Arroona Alliance</v>
          </cell>
        </row>
        <row r="400">
          <cell r="E400" t="str">
            <v>S001-001-003</v>
          </cell>
          <cell r="F400" t="str">
            <v>Beenyup WWTP</v>
          </cell>
          <cell r="G400" t="str">
            <v>DB90101</v>
          </cell>
          <cell r="H400" t="str">
            <v>MC90102</v>
          </cell>
          <cell r="I400" t="str">
            <v>S1023232</v>
          </cell>
          <cell r="J400" t="str">
            <v>Sludge Dewatering Instrument DB</v>
          </cell>
          <cell r="K400" t="str">
            <v>12410-51-7</v>
          </cell>
          <cell r="V400" t="str">
            <v>MCB</v>
          </cell>
          <cell r="W400">
            <v>80</v>
          </cell>
          <cell r="AG400" t="str">
            <v>3B</v>
          </cell>
          <cell r="AH400" t="str">
            <v>Rhys Jones</v>
          </cell>
          <cell r="AI400" t="str">
            <v>Arroona Alliance</v>
          </cell>
        </row>
        <row r="401">
          <cell r="E401" t="str">
            <v>S001-001-003</v>
          </cell>
          <cell r="F401" t="str">
            <v>Beenyup WWTP</v>
          </cell>
          <cell r="G401" t="str">
            <v>DB03102</v>
          </cell>
          <cell r="H401" t="str">
            <v>SB03101</v>
          </cell>
          <cell r="I401" t="str">
            <v>S1023257</v>
          </cell>
          <cell r="J401" t="str">
            <v>Plant Substation # 2 DB B</v>
          </cell>
          <cell r="R401">
            <v>45</v>
          </cell>
          <cell r="V401" t="str">
            <v>MCB</v>
          </cell>
          <cell r="W401">
            <v>100</v>
          </cell>
          <cell r="AF401">
            <v>2003</v>
          </cell>
          <cell r="AH401" t="str">
            <v>Rhys Jones</v>
          </cell>
          <cell r="AI401" t="str">
            <v>Arroona Alliance</v>
          </cell>
        </row>
        <row r="402">
          <cell r="E402" t="str">
            <v>S001-001-003</v>
          </cell>
          <cell r="F402" t="str">
            <v>Beenyup WWTP</v>
          </cell>
          <cell r="G402" t="str">
            <v>Grit MCC 5</v>
          </cell>
          <cell r="H402" t="str">
            <v>SB03101</v>
          </cell>
          <cell r="I402" t="str">
            <v>S0000035</v>
          </cell>
          <cell r="J402" t="str">
            <v>Pre-Treatment MCC B - MCC 5</v>
          </cell>
          <cell r="K402" t="str">
            <v>12410-42-33.3</v>
          </cell>
          <cell r="R402">
            <v>45</v>
          </cell>
          <cell r="V402" t="str">
            <v>MCB</v>
          </cell>
          <cell r="W402">
            <v>250</v>
          </cell>
          <cell r="AE402">
            <v>8.6</v>
          </cell>
          <cell r="AG402">
            <v>1</v>
          </cell>
          <cell r="AH402" t="str">
            <v>Rhys Jones</v>
          </cell>
          <cell r="AI402" t="str">
            <v>Aroona Alliance</v>
          </cell>
        </row>
        <row r="403">
          <cell r="E403" t="str">
            <v>S001-001-003</v>
          </cell>
          <cell r="F403" t="str">
            <v>Beenyup WWTP</v>
          </cell>
          <cell r="G403" t="str">
            <v>UP20101</v>
          </cell>
          <cell r="H403" t="str">
            <v>MCC 5</v>
          </cell>
          <cell r="I403" t="str">
            <v>S0000035</v>
          </cell>
          <cell r="J403" t="str">
            <v>Inlet Works UP20101 Bypass Supply</v>
          </cell>
          <cell r="K403" t="str">
            <v>12410-42-32.2</v>
          </cell>
          <cell r="V403" t="str">
            <v>Fuse</v>
          </cell>
          <cell r="W403">
            <v>25</v>
          </cell>
          <cell r="AG403" t="str">
            <v>3B</v>
          </cell>
          <cell r="AH403" t="str">
            <v>Rhys Jones</v>
          </cell>
          <cell r="AI403" t="str">
            <v>Arroona Alliance</v>
          </cell>
        </row>
        <row r="404">
          <cell r="E404" t="str">
            <v>S001-001-003</v>
          </cell>
          <cell r="F404" t="str">
            <v>Beenyup WWTP</v>
          </cell>
          <cell r="G404" t="str">
            <v>LC21102</v>
          </cell>
          <cell r="H404" t="str">
            <v>MCC 5</v>
          </cell>
          <cell r="I404" t="str">
            <v>S0000035</v>
          </cell>
          <cell r="J404" t="str">
            <v>Lime Dosing Plant</v>
          </cell>
          <cell r="V404" t="str">
            <v>Fuse</v>
          </cell>
          <cell r="W404">
            <v>40</v>
          </cell>
          <cell r="AG404" t="str">
            <v>g</v>
          </cell>
          <cell r="AH404" t="str">
            <v>Rhys Jones</v>
          </cell>
          <cell r="AI404" t="str">
            <v>Arroona Alliance</v>
          </cell>
          <cell r="AJ404" t="str">
            <v>Does not exist</v>
          </cell>
        </row>
        <row r="405">
          <cell r="E405" t="str">
            <v>S001-001-003</v>
          </cell>
          <cell r="F405" t="str">
            <v>Beenyup WWTP</v>
          </cell>
          <cell r="G405" t="str">
            <v>MCC S2</v>
          </cell>
          <cell r="H405" t="str">
            <v>SB03101</v>
          </cell>
          <cell r="J405" t="str">
            <v>Sludge Digestion and Dewatering Equipment MCC S2</v>
          </cell>
          <cell r="K405" t="str">
            <v>12410-51-806</v>
          </cell>
          <cell r="R405">
            <v>45</v>
          </cell>
          <cell r="AE405">
            <v>22.7</v>
          </cell>
          <cell r="AF405">
            <v>1989</v>
          </cell>
          <cell r="AG405" t="str">
            <v>g</v>
          </cell>
          <cell r="AH405" t="str">
            <v>Rhys Jones</v>
          </cell>
          <cell r="AI405" t="str">
            <v>Arroona Alliance</v>
          </cell>
          <cell r="AJ405" t="str">
            <v>Board partly decommissioned, equipment missing, old baord</v>
          </cell>
        </row>
        <row r="406">
          <cell r="E406" t="str">
            <v>S001-001-003</v>
          </cell>
          <cell r="F406" t="str">
            <v>Beenyup WWTP</v>
          </cell>
          <cell r="H406" t="str">
            <v>MCC S2</v>
          </cell>
          <cell r="J406" t="str">
            <v>Heater Control Cubicle 3</v>
          </cell>
          <cell r="V406" t="str">
            <v>Fuse</v>
          </cell>
          <cell r="W406">
            <v>20</v>
          </cell>
          <cell r="AG406" t="str">
            <v>g</v>
          </cell>
          <cell r="AH406" t="str">
            <v>Rhys Jones</v>
          </cell>
          <cell r="AI406" t="str">
            <v>Arroona Alliance</v>
          </cell>
          <cell r="AJ406" t="str">
            <v>Old cabinets and equipment, no longer exists</v>
          </cell>
        </row>
        <row r="407">
          <cell r="E407" t="str">
            <v>S001-001-003</v>
          </cell>
          <cell r="F407" t="str">
            <v>Beenyup WWTP</v>
          </cell>
          <cell r="G407" t="str">
            <v>MC90102</v>
          </cell>
          <cell r="H407" t="str">
            <v>SB03101</v>
          </cell>
          <cell r="I407" t="str">
            <v>S1023243</v>
          </cell>
          <cell r="J407" t="str">
            <v>Sludge Dewatering MCC B MC90102</v>
          </cell>
          <cell r="K407" t="str">
            <v>12410-51-4.1</v>
          </cell>
          <cell r="R407">
            <v>45</v>
          </cell>
          <cell r="V407" t="str">
            <v>MCB</v>
          </cell>
          <cell r="W407">
            <v>630</v>
          </cell>
          <cell r="AA407">
            <v>415</v>
          </cell>
          <cell r="AB407">
            <v>3200</v>
          </cell>
          <cell r="AC407">
            <v>63</v>
          </cell>
          <cell r="AD407">
            <v>1</v>
          </cell>
          <cell r="AE407">
            <v>22</v>
          </cell>
          <cell r="AG407">
            <v>2</v>
          </cell>
          <cell r="AH407" t="str">
            <v>Rhys Jones</v>
          </cell>
          <cell r="AI407" t="str">
            <v>Arroona Alliance</v>
          </cell>
        </row>
        <row r="408">
          <cell r="E408" t="str">
            <v>S001-001-003</v>
          </cell>
          <cell r="F408" t="str">
            <v>Beenyup WWTP</v>
          </cell>
          <cell r="G408" t="str">
            <v>CC70102</v>
          </cell>
          <cell r="H408" t="str">
            <v>MC90102</v>
          </cell>
          <cell r="J408" t="str">
            <v>Ultrasonic Disintegreator Panel</v>
          </cell>
          <cell r="R408">
            <v>22</v>
          </cell>
          <cell r="V408" t="str">
            <v>MCB</v>
          </cell>
          <cell r="W408">
            <v>250</v>
          </cell>
          <cell r="AG408" t="str">
            <v>US</v>
          </cell>
          <cell r="AH408" t="str">
            <v>Rhys Jones</v>
          </cell>
          <cell r="AI408" t="str">
            <v>Arroona Alliance</v>
          </cell>
          <cell r="AJ408" t="str">
            <v>Board turned off</v>
          </cell>
        </row>
        <row r="409">
          <cell r="E409" t="str">
            <v>S001-001-003</v>
          </cell>
          <cell r="F409" t="str">
            <v>Beenyup WWTP</v>
          </cell>
          <cell r="G409" t="str">
            <v>DB90102</v>
          </cell>
          <cell r="H409" t="str">
            <v>MC90102</v>
          </cell>
          <cell r="I409" t="str">
            <v>S1023233</v>
          </cell>
          <cell r="J409" t="str">
            <v>Sludge Light  and Small power DB</v>
          </cell>
          <cell r="K409" t="str">
            <v>12410-51-8</v>
          </cell>
          <cell r="R409">
            <v>22</v>
          </cell>
          <cell r="V409" t="str">
            <v>MCB</v>
          </cell>
          <cell r="W409">
            <v>100</v>
          </cell>
          <cell r="AF409">
            <v>2004</v>
          </cell>
          <cell r="AH409" t="str">
            <v>Rhys Jones</v>
          </cell>
          <cell r="AI409" t="str">
            <v>Arroona Alliance</v>
          </cell>
        </row>
        <row r="410">
          <cell r="E410" t="str">
            <v>S001-001-003</v>
          </cell>
          <cell r="F410" t="str">
            <v>Beenyup WWTP</v>
          </cell>
          <cell r="G410" t="str">
            <v>DB90103</v>
          </cell>
          <cell r="H410" t="str">
            <v>MC90102</v>
          </cell>
          <cell r="I410" t="str">
            <v>S1023234</v>
          </cell>
          <cell r="J410" t="str">
            <v>Sludge Dewatering Valve Actuator DB</v>
          </cell>
          <cell r="K410" t="str">
            <v>12410-51-8</v>
          </cell>
          <cell r="R410">
            <v>22</v>
          </cell>
          <cell r="V410" t="str">
            <v>MCB</v>
          </cell>
          <cell r="W410">
            <v>100</v>
          </cell>
          <cell r="AF410">
            <v>2004</v>
          </cell>
          <cell r="AH410" t="str">
            <v>Rhys Jones</v>
          </cell>
          <cell r="AI410" t="str">
            <v>Arroona Alliance</v>
          </cell>
        </row>
        <row r="411">
          <cell r="E411" t="str">
            <v>S001-001-003</v>
          </cell>
          <cell r="F411" t="str">
            <v>Beenyup WWTP</v>
          </cell>
          <cell r="G411" t="str">
            <v>MC43101</v>
          </cell>
          <cell r="H411" t="str">
            <v>SB03101</v>
          </cell>
          <cell r="I411" t="str">
            <v>S1003762</v>
          </cell>
          <cell r="J411" t="str">
            <v>Secondary Odour Control MCC</v>
          </cell>
          <cell r="K411" t="str">
            <v>12410-49-1.1</v>
          </cell>
          <cell r="R411">
            <v>45</v>
          </cell>
          <cell r="V411" t="str">
            <v>MCB</v>
          </cell>
          <cell r="W411">
            <v>1000</v>
          </cell>
          <cell r="AA411">
            <v>415</v>
          </cell>
          <cell r="AB411">
            <v>1200</v>
          </cell>
          <cell r="AC411">
            <v>63</v>
          </cell>
          <cell r="AD411">
            <v>1</v>
          </cell>
          <cell r="AE411">
            <v>25.4</v>
          </cell>
          <cell r="AF411">
            <v>2004</v>
          </cell>
          <cell r="AG411">
            <v>2</v>
          </cell>
          <cell r="AH411" t="str">
            <v>Rhys Jones</v>
          </cell>
          <cell r="AI411" t="str">
            <v>Arroona Alliance</v>
          </cell>
        </row>
        <row r="412">
          <cell r="E412" t="str">
            <v>S001-001-003</v>
          </cell>
          <cell r="F412" t="str">
            <v>Beenyup WWTP</v>
          </cell>
          <cell r="G412" t="str">
            <v>DB43102</v>
          </cell>
          <cell r="H412" t="str">
            <v>MC43101</v>
          </cell>
          <cell r="I412" t="str">
            <v>S1023264</v>
          </cell>
          <cell r="J412" t="str">
            <v>Secondary Odour Light  and Small power DB</v>
          </cell>
          <cell r="K412" t="str">
            <v>12410-49-3</v>
          </cell>
          <cell r="R412">
            <v>25.4</v>
          </cell>
          <cell r="V412" t="str">
            <v>MCB</v>
          </cell>
          <cell r="W412">
            <v>100</v>
          </cell>
          <cell r="AA412">
            <v>415</v>
          </cell>
          <cell r="AF412">
            <v>2003</v>
          </cell>
          <cell r="AH412" t="str">
            <v>Rhys Jones</v>
          </cell>
          <cell r="AI412" t="str">
            <v>Arroona Alliance</v>
          </cell>
        </row>
        <row r="413">
          <cell r="E413" t="str">
            <v>S001-001-003</v>
          </cell>
          <cell r="F413" t="str">
            <v>Beenyup WWTP</v>
          </cell>
          <cell r="G413" t="str">
            <v>DB43101</v>
          </cell>
          <cell r="H413" t="str">
            <v>MC43101 &amp; UP43101</v>
          </cell>
          <cell r="I413" t="str">
            <v>S1023265</v>
          </cell>
          <cell r="J413" t="str">
            <v>Secondary Odour Instrument DB</v>
          </cell>
          <cell r="K413" t="str">
            <v>12410-49-3</v>
          </cell>
          <cell r="R413">
            <v>25.4</v>
          </cell>
          <cell r="V413" t="str">
            <v>MCB</v>
          </cell>
          <cell r="W413">
            <v>80</v>
          </cell>
          <cell r="AA413">
            <v>415</v>
          </cell>
          <cell r="AB413">
            <v>63</v>
          </cell>
          <cell r="AF413">
            <v>2003</v>
          </cell>
          <cell r="AH413" t="str">
            <v>Rhys Jones</v>
          </cell>
          <cell r="AI413" t="str">
            <v>Arroona Alliance</v>
          </cell>
        </row>
        <row r="414">
          <cell r="E414" t="str">
            <v>S001-001-003</v>
          </cell>
          <cell r="F414" t="str">
            <v>Beenyup WWTP</v>
          </cell>
          <cell r="G414" t="str">
            <v>MSB1</v>
          </cell>
          <cell r="H414" t="str">
            <v>Tr1 &amp; Tr2</v>
          </cell>
          <cell r="I414" t="str">
            <v>S0001147</v>
          </cell>
          <cell r="J414" t="str">
            <v>415 Main SB #1</v>
          </cell>
          <cell r="K414" t="str">
            <v>12410-40-200.1</v>
          </cell>
          <cell r="T414" t="str">
            <v>630mm2</v>
          </cell>
          <cell r="V414" t="str">
            <v>MCB</v>
          </cell>
          <cell r="W414">
            <v>3150</v>
          </cell>
          <cell r="AB414">
            <v>2600</v>
          </cell>
          <cell r="AE414">
            <v>40</v>
          </cell>
          <cell r="AF414">
            <v>1985</v>
          </cell>
          <cell r="AG414">
            <v>1</v>
          </cell>
          <cell r="AH414" t="str">
            <v>Rhys Jones</v>
          </cell>
          <cell r="AI414" t="str">
            <v>Aroona Alliance</v>
          </cell>
          <cell r="AJ414" t="str">
            <v>Old board</v>
          </cell>
        </row>
        <row r="415">
          <cell r="E415" t="str">
            <v>S001-001-003</v>
          </cell>
          <cell r="F415" t="str">
            <v>Beenyup WWTP</v>
          </cell>
          <cell r="G415" t="str">
            <v>MCC 2</v>
          </cell>
          <cell r="H415" t="str">
            <v>MSB1</v>
          </cell>
          <cell r="I415" t="str">
            <v>S1023263</v>
          </cell>
          <cell r="J415" t="str">
            <v>Chlorination SB MCC 2</v>
          </cell>
          <cell r="K415" t="str">
            <v>12410-58-02</v>
          </cell>
          <cell r="R415">
            <v>40</v>
          </cell>
          <cell r="V415" t="str">
            <v>Fuse</v>
          </cell>
          <cell r="W415">
            <v>100</v>
          </cell>
          <cell r="AG415">
            <v>2</v>
          </cell>
          <cell r="AH415" t="str">
            <v>Rhys Jones</v>
          </cell>
          <cell r="AI415" t="str">
            <v>Arroona Alliance</v>
          </cell>
          <cell r="AJ415" t="str">
            <v>Board partly decommissioned, equipment missing, old baord</v>
          </cell>
        </row>
        <row r="416">
          <cell r="E416" t="str">
            <v>S001-001-003</v>
          </cell>
          <cell r="F416" t="str">
            <v>Beenyup WWTP</v>
          </cell>
          <cell r="H416" t="str">
            <v>MSB1</v>
          </cell>
          <cell r="I416" t="str">
            <v>S1005191</v>
          </cell>
          <cell r="J416" t="str">
            <v>Amenities and Workshop Building SB # 16</v>
          </cell>
          <cell r="K416" t="str">
            <v>12410-40-200-1</v>
          </cell>
          <cell r="R416">
            <v>40</v>
          </cell>
          <cell r="V416" t="str">
            <v>Fuse</v>
          </cell>
          <cell r="W416">
            <v>200</v>
          </cell>
          <cell r="AG416">
            <v>2</v>
          </cell>
          <cell r="AH416" t="str">
            <v>Rhys Jones</v>
          </cell>
          <cell r="AI416" t="str">
            <v>Arroona Alliance</v>
          </cell>
          <cell r="AJ416" t="str">
            <v>Old board</v>
          </cell>
        </row>
        <row r="417">
          <cell r="E417" t="str">
            <v>S001-001-003</v>
          </cell>
          <cell r="F417" t="str">
            <v>Beenyup WWTP</v>
          </cell>
          <cell r="G417" t="str">
            <v>MCC 6</v>
          </cell>
          <cell r="H417" t="str">
            <v>MSB1</v>
          </cell>
          <cell r="I417" t="str">
            <v>S0001193</v>
          </cell>
          <cell r="J417" t="str">
            <v>Booster Pump station MCC 6</v>
          </cell>
          <cell r="K417" t="str">
            <v>12410-40-204</v>
          </cell>
          <cell r="R417">
            <v>40</v>
          </cell>
          <cell r="V417" t="str">
            <v>Fuse</v>
          </cell>
          <cell r="W417">
            <v>100</v>
          </cell>
          <cell r="AG417">
            <v>2</v>
          </cell>
          <cell r="AH417" t="str">
            <v>Rhys Jones</v>
          </cell>
          <cell r="AI417" t="str">
            <v>Arroona Alliance</v>
          </cell>
          <cell r="AJ417" t="str">
            <v>Rusted board, old board</v>
          </cell>
        </row>
        <row r="418">
          <cell r="E418" t="str">
            <v>S001-001-003</v>
          </cell>
          <cell r="F418" t="str">
            <v>Beenyup WWTP</v>
          </cell>
          <cell r="G418" t="str">
            <v>MCC 17A</v>
          </cell>
          <cell r="H418" t="str">
            <v>MSB1</v>
          </cell>
          <cell r="I418" t="str">
            <v>S0001086</v>
          </cell>
          <cell r="J418" t="str">
            <v>Solids Treatment SB MCC 17A</v>
          </cell>
          <cell r="K418" t="str">
            <v>12410-40-215</v>
          </cell>
          <cell r="R418">
            <v>40</v>
          </cell>
          <cell r="V418" t="str">
            <v>Fuse</v>
          </cell>
          <cell r="W418">
            <v>150</v>
          </cell>
          <cell r="AG418">
            <v>2</v>
          </cell>
          <cell r="AH418" t="str">
            <v>Rhys Jones</v>
          </cell>
          <cell r="AI418" t="str">
            <v>Arroona Alliance</v>
          </cell>
          <cell r="AJ418" t="str">
            <v>Old board. Parts decommissioned, parts missing. Made up of 3 boards.</v>
          </cell>
        </row>
        <row r="419">
          <cell r="E419" t="str">
            <v>S001-001-003</v>
          </cell>
          <cell r="F419" t="str">
            <v>Beenyup WWTP</v>
          </cell>
          <cell r="H419" t="str">
            <v>MSB1</v>
          </cell>
          <cell r="I419" t="str">
            <v>S0001086</v>
          </cell>
          <cell r="J419" t="str">
            <v>Fuse Distribution Panel (MSB1)</v>
          </cell>
          <cell r="K419" t="str">
            <v>12410-40-312</v>
          </cell>
          <cell r="R419">
            <v>40</v>
          </cell>
          <cell r="V419" t="str">
            <v>Fuse</v>
          </cell>
          <cell r="W419">
            <v>400</v>
          </cell>
          <cell r="AG419" t="str">
            <v>g</v>
          </cell>
          <cell r="AH419" t="str">
            <v>Rhys Jones</v>
          </cell>
          <cell r="AI419" t="str">
            <v>Arroona Alliance</v>
          </cell>
        </row>
        <row r="420">
          <cell r="E420" t="str">
            <v>S001-001-003</v>
          </cell>
          <cell r="F420" t="str">
            <v>Beenyup WWTP</v>
          </cell>
          <cell r="G420" t="str">
            <v>MCC 15</v>
          </cell>
          <cell r="H420" t="str">
            <v>MSB1</v>
          </cell>
          <cell r="I420" t="str">
            <v>S0001138</v>
          </cell>
          <cell r="J420" t="str">
            <v>Administration and Control Building MCC 15</v>
          </cell>
          <cell r="K420" t="str">
            <v>12410-40-210</v>
          </cell>
          <cell r="R420">
            <v>40</v>
          </cell>
          <cell r="V420" t="str">
            <v>Fuse</v>
          </cell>
          <cell r="W420">
            <v>315</v>
          </cell>
          <cell r="AG420">
            <v>2</v>
          </cell>
          <cell r="AH420" t="str">
            <v>Rhys Jones</v>
          </cell>
          <cell r="AI420" t="str">
            <v>Arroona Alliance</v>
          </cell>
          <cell r="AJ420" t="str">
            <v>Old board</v>
          </cell>
        </row>
        <row r="421">
          <cell r="E421" t="str">
            <v>S001-001-003</v>
          </cell>
          <cell r="F421" t="str">
            <v>Beenyup WWTP</v>
          </cell>
          <cell r="G421" t="str">
            <v>MCC 19</v>
          </cell>
          <cell r="H421" t="str">
            <v>MSB1</v>
          </cell>
          <cell r="I421" t="str">
            <v>S1023252</v>
          </cell>
          <cell r="J421" t="str">
            <v>Aeration Tanks MCC B MCC 19</v>
          </cell>
          <cell r="K421" t="str">
            <v>12410-48-41</v>
          </cell>
          <cell r="R421">
            <v>40</v>
          </cell>
          <cell r="V421" t="str">
            <v>Fuse</v>
          </cell>
          <cell r="W421">
            <v>400</v>
          </cell>
          <cell r="AA421">
            <v>440</v>
          </cell>
          <cell r="AC421">
            <v>50</v>
          </cell>
          <cell r="AD421">
            <v>1</v>
          </cell>
          <cell r="AG421">
            <v>2</v>
          </cell>
          <cell r="AH421" t="str">
            <v>Rhys Jones</v>
          </cell>
          <cell r="AI421" t="str">
            <v>Arroona Alliance</v>
          </cell>
        </row>
        <row r="422">
          <cell r="E422" t="str">
            <v>S001-001-003</v>
          </cell>
          <cell r="F422" t="str">
            <v>Beenyup WWTP</v>
          </cell>
          <cell r="G422" t="str">
            <v>DB4904</v>
          </cell>
          <cell r="H422" t="str">
            <v>MCC 9</v>
          </cell>
          <cell r="I422" t="str">
            <v>S0000361</v>
          </cell>
          <cell r="J422" t="str">
            <v>DBP 4904 SMALL POWER DB BLOWER HOUSE</v>
          </cell>
          <cell r="K422" t="str">
            <v>12410-40-734</v>
          </cell>
          <cell r="V422" t="str">
            <v>Fuse</v>
          </cell>
          <cell r="W422">
            <v>125</v>
          </cell>
          <cell r="AF422">
            <v>1998</v>
          </cell>
          <cell r="AG422" t="str">
            <v>3B</v>
          </cell>
          <cell r="AH422" t="str">
            <v>Rhys Jones</v>
          </cell>
          <cell r="AI422" t="str">
            <v>Arroona Alliance</v>
          </cell>
        </row>
        <row r="423">
          <cell r="E423" t="str">
            <v>S001-001-003</v>
          </cell>
          <cell r="F423" t="str">
            <v>Beenyup WWTP</v>
          </cell>
          <cell r="G423" t="str">
            <v>MCC 11</v>
          </cell>
          <cell r="H423" t="str">
            <v>MSB1</v>
          </cell>
          <cell r="I423" t="str">
            <v>S0000288</v>
          </cell>
          <cell r="J423" t="str">
            <v>Activated Sludge Pump Station #1 MCC 11</v>
          </cell>
          <cell r="K423" t="str">
            <v>12410-40-214</v>
          </cell>
          <cell r="R423">
            <v>40</v>
          </cell>
          <cell r="V423" t="str">
            <v>Fuse</v>
          </cell>
          <cell r="W423">
            <v>315</v>
          </cell>
          <cell r="AF423">
            <v>1999</v>
          </cell>
          <cell r="AG423">
            <v>1</v>
          </cell>
          <cell r="AH423" t="str">
            <v>Rhys Jones</v>
          </cell>
          <cell r="AI423" t="str">
            <v>Aroona Alliance</v>
          </cell>
          <cell r="AJ423" t="str">
            <v>Old board</v>
          </cell>
        </row>
        <row r="424">
          <cell r="E424" t="str">
            <v>S001-001-003</v>
          </cell>
          <cell r="F424" t="str">
            <v>Beenyup WWTP</v>
          </cell>
          <cell r="G424" t="str">
            <v>MCC 12</v>
          </cell>
          <cell r="H424" t="str">
            <v>MSB1</v>
          </cell>
          <cell r="I424" t="str">
            <v>S0000289</v>
          </cell>
          <cell r="J424" t="str">
            <v>Activated Sludge Pump Station #2 MCC 12</v>
          </cell>
          <cell r="K424" t="str">
            <v>12410-40-213</v>
          </cell>
          <cell r="R424">
            <v>40</v>
          </cell>
          <cell r="V424" t="str">
            <v>Fuse</v>
          </cell>
          <cell r="W424">
            <v>630</v>
          </cell>
          <cell r="AG424">
            <v>1</v>
          </cell>
          <cell r="AH424" t="str">
            <v>Rhys Jones</v>
          </cell>
          <cell r="AI424" t="str">
            <v>Aroona Alliance</v>
          </cell>
          <cell r="AJ424" t="str">
            <v>Old board</v>
          </cell>
        </row>
        <row r="425">
          <cell r="E425" t="str">
            <v>S001-001-003</v>
          </cell>
          <cell r="F425" t="str">
            <v>Beenyup WWTP</v>
          </cell>
          <cell r="G425" t="str">
            <v>MC40101</v>
          </cell>
          <cell r="H425" t="str">
            <v>MSB1</v>
          </cell>
          <cell r="I425" t="str">
            <v>S1023223</v>
          </cell>
          <cell r="J425" t="str">
            <v>Aeration Tanks MCC A MC40101</v>
          </cell>
          <cell r="K425" t="str">
            <v>12410-48-1.2</v>
          </cell>
          <cell r="R425">
            <v>40</v>
          </cell>
          <cell r="V425" t="str">
            <v>Fuse</v>
          </cell>
          <cell r="W425">
            <v>400</v>
          </cell>
          <cell r="AA425">
            <v>415</v>
          </cell>
          <cell r="AB425">
            <v>600</v>
          </cell>
          <cell r="AC425">
            <v>63</v>
          </cell>
          <cell r="AD425">
            <v>1</v>
          </cell>
          <cell r="AF425">
            <v>2003</v>
          </cell>
          <cell r="AG425">
            <v>2</v>
          </cell>
          <cell r="AH425" t="str">
            <v>Rhys Jones</v>
          </cell>
          <cell r="AI425" t="str">
            <v>Arroona Alliance</v>
          </cell>
        </row>
        <row r="426">
          <cell r="E426" t="str">
            <v>S001-001-003</v>
          </cell>
          <cell r="F426" t="str">
            <v>Beenyup WWTP</v>
          </cell>
          <cell r="G426" t="str">
            <v>DB50102</v>
          </cell>
          <cell r="H426" t="str">
            <v>MC40101</v>
          </cell>
          <cell r="I426" t="str">
            <v>S1012001</v>
          </cell>
          <cell r="J426" t="str">
            <v>Secondary Treatment Light &amp; Power DB</v>
          </cell>
          <cell r="K426" t="str">
            <v>12410-48-3</v>
          </cell>
          <cell r="V426" t="str">
            <v>MCB</v>
          </cell>
          <cell r="W426">
            <v>160</v>
          </cell>
          <cell r="AA426">
            <v>415</v>
          </cell>
          <cell r="AB426">
            <v>160</v>
          </cell>
          <cell r="AF426">
            <v>2003</v>
          </cell>
          <cell r="AH426" t="str">
            <v>Rhys Jones</v>
          </cell>
          <cell r="AI426" t="str">
            <v>Arroona Alliance</v>
          </cell>
        </row>
        <row r="427">
          <cell r="E427" t="str">
            <v>S001-001-003</v>
          </cell>
          <cell r="F427" t="str">
            <v>Beenyup WWTP</v>
          </cell>
          <cell r="G427" t="str">
            <v>DB50104</v>
          </cell>
          <cell r="H427" t="str">
            <v>MC40101</v>
          </cell>
          <cell r="I427" t="str">
            <v>S1006608</v>
          </cell>
          <cell r="J427" t="str">
            <v>Secondary Treatment Valve Actuator DB # 2</v>
          </cell>
          <cell r="K427" t="str">
            <v>12410-48-3</v>
          </cell>
          <cell r="V427" t="str">
            <v>MCB</v>
          </cell>
          <cell r="W427">
            <v>160</v>
          </cell>
          <cell r="AA427">
            <v>415</v>
          </cell>
          <cell r="AB427">
            <v>160</v>
          </cell>
          <cell r="AF427">
            <v>2003</v>
          </cell>
          <cell r="AH427" t="str">
            <v>Rhys Jones</v>
          </cell>
          <cell r="AI427" t="str">
            <v>Arroona Alliance</v>
          </cell>
        </row>
        <row r="428">
          <cell r="E428" t="str">
            <v>S001-001-003</v>
          </cell>
          <cell r="F428" t="str">
            <v>Beenyup WWTP</v>
          </cell>
          <cell r="G428" t="str">
            <v>MCC 21</v>
          </cell>
          <cell r="H428" t="str">
            <v>MSB1</v>
          </cell>
          <cell r="I428" t="str">
            <v>S1023250</v>
          </cell>
          <cell r="J428" t="str">
            <v>Stage 1 Odour Control SB MCC 21</v>
          </cell>
          <cell r="K428" t="str">
            <v>12410-43-100</v>
          </cell>
          <cell r="R428">
            <v>40</v>
          </cell>
          <cell r="V428" t="str">
            <v>MCB</v>
          </cell>
          <cell r="W428">
            <v>250</v>
          </cell>
          <cell r="AA428">
            <v>415</v>
          </cell>
          <cell r="AB428">
            <v>650</v>
          </cell>
          <cell r="AC428">
            <v>50</v>
          </cell>
          <cell r="AD428">
            <v>1</v>
          </cell>
          <cell r="AF428">
            <v>2004</v>
          </cell>
          <cell r="AH428" t="str">
            <v>Rhys Jones</v>
          </cell>
          <cell r="AI428" t="str">
            <v>Arroona Alliance</v>
          </cell>
          <cell r="AJ428" t="str">
            <v>R.Jones "all isolators are off, except main isolator and what seems to be a supply to the plc "</v>
          </cell>
        </row>
        <row r="429">
          <cell r="E429" t="str">
            <v>S001-001-003</v>
          </cell>
          <cell r="F429" t="str">
            <v>Beenyup WWTP</v>
          </cell>
          <cell r="G429" t="str">
            <v>MCC 9A</v>
          </cell>
          <cell r="H429" t="str">
            <v>MSB1</v>
          </cell>
          <cell r="I429" t="str">
            <v>S0000378</v>
          </cell>
          <cell r="J429" t="str">
            <v>Blower House MCC 9A</v>
          </cell>
          <cell r="K429" t="str">
            <v>12410-40-733</v>
          </cell>
          <cell r="R429">
            <v>40</v>
          </cell>
          <cell r="V429" t="str">
            <v>Fuse</v>
          </cell>
          <cell r="W429">
            <v>1200</v>
          </cell>
          <cell r="AG429">
            <v>1</v>
          </cell>
          <cell r="AH429" t="str">
            <v>Rhys Jones</v>
          </cell>
          <cell r="AI429" t="str">
            <v>Aroona Alliance</v>
          </cell>
          <cell r="AJ429" t="str">
            <v>Old board</v>
          </cell>
        </row>
        <row r="430">
          <cell r="E430" t="str">
            <v>S001-001-003</v>
          </cell>
          <cell r="F430" t="str">
            <v>Beenyup WWTP</v>
          </cell>
          <cell r="G430" t="str">
            <v>MCC 7</v>
          </cell>
          <cell r="H430" t="str">
            <v>MSB1</v>
          </cell>
          <cell r="I430" t="str">
            <v>S0000269</v>
          </cell>
          <cell r="J430" t="str">
            <v>Primary Treatment Tanks 1 - 8 MCC 7</v>
          </cell>
          <cell r="K430" t="str">
            <v>12410-44-1.1</v>
          </cell>
          <cell r="R430">
            <v>40</v>
          </cell>
          <cell r="V430" t="str">
            <v>MCB</v>
          </cell>
          <cell r="W430">
            <v>200</v>
          </cell>
          <cell r="AA430">
            <v>415</v>
          </cell>
          <cell r="AB430">
            <v>220</v>
          </cell>
          <cell r="AC430">
            <v>50</v>
          </cell>
          <cell r="AD430">
            <v>1</v>
          </cell>
          <cell r="AF430">
            <v>1998</v>
          </cell>
          <cell r="AG430">
            <v>2</v>
          </cell>
          <cell r="AH430" t="str">
            <v>Rhys Jones</v>
          </cell>
          <cell r="AI430" t="str">
            <v>Arroona Alliance</v>
          </cell>
        </row>
        <row r="431">
          <cell r="E431" t="str">
            <v>S001-001-003</v>
          </cell>
          <cell r="F431" t="str">
            <v>Beenyup WWTP</v>
          </cell>
          <cell r="G431" t="str">
            <v>MCC 8</v>
          </cell>
          <cell r="H431" t="str">
            <v>MSB1</v>
          </cell>
          <cell r="I431" t="str">
            <v>S0000270</v>
          </cell>
          <cell r="J431" t="str">
            <v>Primary Treatment Tanks 9 - 12  MCC 8</v>
          </cell>
          <cell r="K431" t="str">
            <v>12410-44-71.1</v>
          </cell>
          <cell r="R431">
            <v>40</v>
          </cell>
          <cell r="V431" t="str">
            <v>MCB</v>
          </cell>
          <cell r="W431">
            <v>200</v>
          </cell>
          <cell r="AA431">
            <v>415</v>
          </cell>
          <cell r="AB431">
            <v>200</v>
          </cell>
          <cell r="AF431">
            <v>1998</v>
          </cell>
          <cell r="AG431">
            <v>2</v>
          </cell>
          <cell r="AH431" t="str">
            <v>Rhys Jones</v>
          </cell>
          <cell r="AI431" t="str">
            <v>Arroona Alliance</v>
          </cell>
        </row>
        <row r="432">
          <cell r="E432" t="str">
            <v>W0010102</v>
          </cell>
          <cell r="F432" t="str">
            <v>Yanchep Bores 3 &amp; 4</v>
          </cell>
          <cell r="H432" t="str">
            <v>Supply Auth</v>
          </cell>
          <cell r="J432" t="str">
            <v>Yanchep Bores 3 &amp; 4</v>
          </cell>
          <cell r="K432" t="str">
            <v>AQ59-42-3</v>
          </cell>
          <cell r="S432" t="str">
            <v>Underground from dome</v>
          </cell>
          <cell r="T432" t="str">
            <v>50mm2</v>
          </cell>
          <cell r="U432">
            <v>13</v>
          </cell>
          <cell r="V432" t="str">
            <v>MCB</v>
          </cell>
          <cell r="W432">
            <v>80</v>
          </cell>
          <cell r="AA432">
            <v>415</v>
          </cell>
          <cell r="AG432" t="str">
            <v>3B</v>
          </cell>
          <cell r="AH432" t="str">
            <v>Dean Rayner</v>
          </cell>
          <cell r="AI432" t="str">
            <v>Arroona Alliance</v>
          </cell>
          <cell r="AJ432" t="str">
            <v>Modifications since install, known defects. These 2 bores on the same board are only water supply for Yanchep area. Numerous modifications since installed, telemetry upgrades and complete rewire of starters</v>
          </cell>
        </row>
        <row r="433">
          <cell r="E433" t="str">
            <v>S001-001-024</v>
          </cell>
          <cell r="F433" t="str">
            <v>Yanchep WWTP</v>
          </cell>
          <cell r="H433" t="str">
            <v>Supply Auth</v>
          </cell>
          <cell r="J433" t="str">
            <v>Main SB</v>
          </cell>
          <cell r="K433" t="str">
            <v>FP80-43-1.1</v>
          </cell>
          <cell r="M433">
            <v>200</v>
          </cell>
          <cell r="N433">
            <v>22</v>
          </cell>
          <cell r="O433">
            <v>415</v>
          </cell>
          <cell r="S433" t="str">
            <v>PVC/PVC</v>
          </cell>
          <cell r="T433" t="str">
            <v>3x 120mm2</v>
          </cell>
          <cell r="U433">
            <v>32</v>
          </cell>
          <cell r="V433" t="str">
            <v>MCB</v>
          </cell>
          <cell r="W433">
            <v>800</v>
          </cell>
          <cell r="AA433">
            <v>415</v>
          </cell>
          <cell r="AB433">
            <v>800</v>
          </cell>
          <cell r="AC433">
            <v>14</v>
          </cell>
          <cell r="AD433">
            <v>1</v>
          </cell>
          <cell r="AF433">
            <v>2000</v>
          </cell>
          <cell r="AH433" t="str">
            <v>Rhys Jones</v>
          </cell>
          <cell r="AI433" t="str">
            <v>Arroona Alliance</v>
          </cell>
          <cell r="AJ433" t="str">
            <v>Modifications since install, Also refer Drawing # FP80-40-1. Site water booster pump added, shower emergency unit added, ultrasonics added, SB in good condition</v>
          </cell>
        </row>
        <row r="434">
          <cell r="E434" t="str">
            <v>S001-001-021</v>
          </cell>
          <cell r="F434" t="str">
            <v>Two Rocks WWTP</v>
          </cell>
          <cell r="H434" t="str">
            <v>Supply Auth</v>
          </cell>
          <cell r="J434" t="str">
            <v>Main SB</v>
          </cell>
          <cell r="K434" t="str">
            <v>12259-40-2</v>
          </cell>
          <cell r="O434">
            <v>415</v>
          </cell>
          <cell r="S434" t="str">
            <v>PVC/PVC</v>
          </cell>
          <cell r="T434" t="str">
            <v>16mm2</v>
          </cell>
          <cell r="U434">
            <v>135</v>
          </cell>
          <cell r="V434" t="str">
            <v>Fuse</v>
          </cell>
          <cell r="W434">
            <v>200</v>
          </cell>
          <cell r="AA434">
            <v>415</v>
          </cell>
          <cell r="AF434">
            <v>1970</v>
          </cell>
          <cell r="AG434">
            <v>1</v>
          </cell>
          <cell r="AH434" t="str">
            <v>Rhys Jones</v>
          </cell>
          <cell r="AI434" t="str">
            <v>Aroona Alliance</v>
          </cell>
          <cell r="AJ434" t="str">
            <v>Modifications since install. Manufactured by Ri-Co PTY LTD, Serial #364, EAT # 189. Numerous modifications over the years, no chlorine pumps anymore, effluent pump controls changed to flip balls. Reasonable condition. PA Box Zelemeite Panel 63A Fuses 200A Main Switch. Conduit runout needs attention</v>
          </cell>
        </row>
        <row r="435">
          <cell r="E435" t="str">
            <v>S001-001-024</v>
          </cell>
          <cell r="F435" t="str">
            <v>Yanchep WWTP</v>
          </cell>
          <cell r="H435" t="str">
            <v>Main SB</v>
          </cell>
          <cell r="J435" t="str">
            <v>Effluent Pumps SB</v>
          </cell>
          <cell r="K435" t="str">
            <v>FP80-43-1.2</v>
          </cell>
          <cell r="T435" t="str">
            <v>4C+E 25mm2</v>
          </cell>
          <cell r="U435">
            <v>24</v>
          </cell>
          <cell r="V435" t="str">
            <v>MCB</v>
          </cell>
          <cell r="W435">
            <v>100</v>
          </cell>
          <cell r="AA435">
            <v>415</v>
          </cell>
          <cell r="AF435">
            <v>1970</v>
          </cell>
          <cell r="AG435">
            <v>1</v>
          </cell>
          <cell r="AH435" t="str">
            <v>Rhys Jones</v>
          </cell>
          <cell r="AI435" t="str">
            <v>Aroona Alliance</v>
          </cell>
          <cell r="AJ435" t="str">
            <v>Modifications since install. Drawing # BT08-41-03. Board is made of Zelamite, constructed in the 70s. Now only feeds effluent pumps &amp; building lighting. Condition reasonable, but hazardous to work on</v>
          </cell>
        </row>
        <row r="436">
          <cell r="E436" t="str">
            <v>S001-001-021</v>
          </cell>
          <cell r="F436" t="str">
            <v xml:space="preserve">Two Rocks WWTP </v>
          </cell>
          <cell r="H436" t="str">
            <v>Main SB</v>
          </cell>
          <cell r="J436" t="str">
            <v>Blower SB</v>
          </cell>
          <cell r="K436" t="str">
            <v>12259-40-5</v>
          </cell>
          <cell r="S436" t="str">
            <v>PVC Singles</v>
          </cell>
          <cell r="T436" t="str">
            <v>10mm2 equivalent</v>
          </cell>
          <cell r="U436">
            <v>8</v>
          </cell>
          <cell r="V436" t="str">
            <v>Fuse</v>
          </cell>
          <cell r="W436">
            <v>60</v>
          </cell>
          <cell r="AA436">
            <v>415</v>
          </cell>
          <cell r="AF436">
            <v>1970</v>
          </cell>
          <cell r="AG436">
            <v>1</v>
          </cell>
          <cell r="AH436" t="str">
            <v>Rhys Jones</v>
          </cell>
          <cell r="AI436" t="str">
            <v>Aroona Alliance</v>
          </cell>
          <cell r="AJ436" t="str">
            <v>Modifications since install. Zelemite panel half of SB. SB in reasonable condition</v>
          </cell>
        </row>
        <row r="437">
          <cell r="E437" t="str">
            <v>W8000982</v>
          </cell>
          <cell r="F437" t="str">
            <v>Dalyellup WTP</v>
          </cell>
          <cell r="H437" t="str">
            <v>Supply Auth</v>
          </cell>
          <cell r="J437" t="str">
            <v>Main Incommer Distribution</v>
          </cell>
          <cell r="AF437" t="str">
            <v>est 2009</v>
          </cell>
          <cell r="AH437" t="str">
            <v>Ian Oswald</v>
          </cell>
          <cell r="AI437" t="str">
            <v>WC</v>
          </cell>
        </row>
        <row r="438">
          <cell r="E438" t="str">
            <v>S8000642</v>
          </cell>
          <cell r="F438" t="str">
            <v>Dunsborough WWTP #2</v>
          </cell>
          <cell r="H438" t="str">
            <v>Supply Auth</v>
          </cell>
          <cell r="J438" t="str">
            <v>Main SB</v>
          </cell>
          <cell r="M438">
            <v>315</v>
          </cell>
          <cell r="AG438">
            <v>2</v>
          </cell>
          <cell r="AH438" t="str">
            <v>Ian Oswald</v>
          </cell>
          <cell r="AI438" t="str">
            <v>WC</v>
          </cell>
        </row>
        <row r="439">
          <cell r="E439" t="str">
            <v>S096-001-003</v>
          </cell>
          <cell r="F439" t="str">
            <v>Caddadup WWTP</v>
          </cell>
          <cell r="AF439">
            <v>2008</v>
          </cell>
          <cell r="AH439" t="str">
            <v>Chris Cooper</v>
          </cell>
          <cell r="AI439" t="str">
            <v>Aroona Alliance</v>
          </cell>
        </row>
        <row r="440">
          <cell r="F440" t="str">
            <v>Eaton WTP</v>
          </cell>
          <cell r="H440" t="str">
            <v>Supply Auth</v>
          </cell>
          <cell r="J440" t="str">
            <v>Main SB</v>
          </cell>
          <cell r="M440">
            <v>630</v>
          </cell>
          <cell r="AG440" t="str">
            <v>g</v>
          </cell>
          <cell r="AH440" t="str">
            <v>Ian Oswald</v>
          </cell>
          <cell r="AI440" t="str">
            <v>WC</v>
          </cell>
        </row>
        <row r="441">
          <cell r="F441" t="str">
            <v>Australind WTP</v>
          </cell>
          <cell r="H441" t="str">
            <v>Kiosk Transformer</v>
          </cell>
          <cell r="J441" t="str">
            <v>Main SB</v>
          </cell>
          <cell r="M441">
            <v>500</v>
          </cell>
          <cell r="AG441" t="str">
            <v>g</v>
          </cell>
          <cell r="AH441" t="str">
            <v>Ian Oswald</v>
          </cell>
          <cell r="AI441" t="str">
            <v>WC</v>
          </cell>
        </row>
        <row r="442">
          <cell r="E442" t="str">
            <v>W0046235</v>
          </cell>
          <cell r="F442" t="str">
            <v>Pemberton WTP</v>
          </cell>
          <cell r="H442" t="str">
            <v>Supply Auth</v>
          </cell>
          <cell r="J442" t="str">
            <v>Kiosk Enclosure Main SB</v>
          </cell>
          <cell r="M442">
            <v>500</v>
          </cell>
          <cell r="AG442">
            <v>2</v>
          </cell>
          <cell r="AH442" t="str">
            <v>Ian Oswald</v>
          </cell>
          <cell r="AI442" t="str">
            <v>WC</v>
          </cell>
        </row>
        <row r="443">
          <cell r="E443" t="str">
            <v>W0046348</v>
          </cell>
          <cell r="F443" t="str">
            <v>Walpole WTP</v>
          </cell>
          <cell r="G443" t="str">
            <v>MSB</v>
          </cell>
          <cell r="H443" t="str">
            <v>Supply Auth</v>
          </cell>
          <cell r="K443" t="str">
            <v>JE04-40-01</v>
          </cell>
          <cell r="M443">
            <v>315</v>
          </cell>
          <cell r="N443">
            <v>22</v>
          </cell>
          <cell r="O443">
            <v>433</v>
          </cell>
          <cell r="P443">
            <v>3.8199999999999998E-2</v>
          </cell>
          <cell r="S443" t="str">
            <v>XLPE/PVC</v>
          </cell>
          <cell r="T443" t="str">
            <v>8 x 1C 95mm2</v>
          </cell>
          <cell r="V443" t="str">
            <v>SPD</v>
          </cell>
          <cell r="W443">
            <v>630</v>
          </cell>
          <cell r="AA443">
            <v>415</v>
          </cell>
          <cell r="AB443">
            <v>800</v>
          </cell>
          <cell r="AC443">
            <v>20</v>
          </cell>
          <cell r="AD443">
            <v>1</v>
          </cell>
          <cell r="AF443" t="str">
            <v>2008 est</v>
          </cell>
          <cell r="AH443" t="str">
            <v>Bruce Norton</v>
          </cell>
          <cell r="AI443" t="str">
            <v>WC</v>
          </cell>
        </row>
        <row r="444">
          <cell r="E444" t="str">
            <v>W0046381</v>
          </cell>
          <cell r="F444" t="str">
            <v>Bingham River TPS</v>
          </cell>
          <cell r="H444" t="str">
            <v>Supply Auth 2x 750Kva</v>
          </cell>
          <cell r="J444" t="str">
            <v>Main SB</v>
          </cell>
          <cell r="M444">
            <v>750</v>
          </cell>
          <cell r="N444">
            <v>22</v>
          </cell>
          <cell r="O444">
            <v>440</v>
          </cell>
          <cell r="P444">
            <v>4.9000000000000002E-2</v>
          </cell>
          <cell r="S444" t="str">
            <v>XLPE/PVC</v>
          </cell>
          <cell r="T444" t="str">
            <v>5x1C 240mm2</v>
          </cell>
          <cell r="U444">
            <v>5</v>
          </cell>
          <cell r="V444" t="str">
            <v>MCB</v>
          </cell>
          <cell r="W444">
            <v>3150</v>
          </cell>
          <cell r="Y444" t="str">
            <v>PWD?</v>
          </cell>
          <cell r="Z444" t="str">
            <v>PWD?</v>
          </cell>
          <cell r="AA444">
            <v>440</v>
          </cell>
          <cell r="AB444">
            <v>3000</v>
          </cell>
          <cell r="AF444">
            <v>1972</v>
          </cell>
          <cell r="AG444">
            <v>1</v>
          </cell>
          <cell r="AH444" t="str">
            <v>Ian Oswald</v>
          </cell>
          <cell r="AI444" t="str">
            <v>WC</v>
          </cell>
          <cell r="AJ444" t="str">
            <v>Old Switchboard, Supply busbars changed to Cables, Motor Starter cubicled under modification</v>
          </cell>
        </row>
        <row r="445">
          <cell r="E445" t="str">
            <v>W8007235</v>
          </cell>
          <cell r="F445" t="str">
            <v>Harris Dam WTP</v>
          </cell>
          <cell r="H445" t="str">
            <v>Kiosk Transformer</v>
          </cell>
          <cell r="J445" t="str">
            <v>Incoming and Building Services</v>
          </cell>
          <cell r="M445">
            <v>315</v>
          </cell>
          <cell r="N445">
            <v>6.6</v>
          </cell>
          <cell r="O445">
            <v>440</v>
          </cell>
          <cell r="P445">
            <v>0.05</v>
          </cell>
          <cell r="S445" t="str">
            <v>XLPE/PVC</v>
          </cell>
          <cell r="T445" t="str">
            <v>3x1C+N 95mm2</v>
          </cell>
          <cell r="U445">
            <v>10</v>
          </cell>
          <cell r="V445" t="str">
            <v>MCB</v>
          </cell>
          <cell r="W445">
            <v>225</v>
          </cell>
          <cell r="AC445">
            <v>10</v>
          </cell>
          <cell r="AF445">
            <v>1990</v>
          </cell>
          <cell r="AG445">
            <v>2</v>
          </cell>
          <cell r="AH445" t="str">
            <v>Ian Oswald</v>
          </cell>
          <cell r="AI445" t="str">
            <v>WC</v>
          </cell>
        </row>
        <row r="446">
          <cell r="F446" t="str">
            <v>Mt Kenneth / Bold Pk Water PSN</v>
          </cell>
          <cell r="H446" t="str">
            <v>Supply Auth</v>
          </cell>
          <cell r="V446" t="str">
            <v>ACB</v>
          </cell>
          <cell r="AF446">
            <v>2012</v>
          </cell>
          <cell r="AH446" t="str">
            <v>Dave Sutton</v>
          </cell>
          <cell r="AI446" t="str">
            <v>WC</v>
          </cell>
          <cell r="AJ446" t="str">
            <v>Switchboard replaced 2012</v>
          </cell>
        </row>
        <row r="447">
          <cell r="E447" t="str">
            <v>W0034761</v>
          </cell>
          <cell r="F447" t="str">
            <v>Jeanes Rd High Level</v>
          </cell>
          <cell r="H447" t="str">
            <v>Supply Auth</v>
          </cell>
          <cell r="I447" t="str">
            <v>W0034768</v>
          </cell>
          <cell r="K447" t="str">
            <v>12723-40-1</v>
          </cell>
          <cell r="M447">
            <v>315</v>
          </cell>
          <cell r="V447" t="str">
            <v>ACB</v>
          </cell>
          <cell r="AF447">
            <v>1968</v>
          </cell>
          <cell r="AG447">
            <v>1</v>
          </cell>
          <cell r="AH447" t="str">
            <v>Dave Sutton</v>
          </cell>
          <cell r="AI447" t="str">
            <v>WC</v>
          </cell>
          <cell r="AJ447" t="str">
            <v>This board is now illegal (walk in) bare bus</v>
          </cell>
        </row>
        <row r="448">
          <cell r="E448" t="str">
            <v>S0028430</v>
          </cell>
          <cell r="F448" t="str">
            <v>Greenpark Rd</v>
          </cell>
          <cell r="H448" t="str">
            <v>Supply Auth</v>
          </cell>
          <cell r="I448" t="str">
            <v>S0028436</v>
          </cell>
          <cell r="K448" t="str">
            <v>16797-40-</v>
          </cell>
          <cell r="M448">
            <v>315</v>
          </cell>
          <cell r="V448" t="str">
            <v>SFU</v>
          </cell>
          <cell r="AG448">
            <v>1</v>
          </cell>
          <cell r="AH448" t="str">
            <v>Dave Sutton</v>
          </cell>
          <cell r="AI448" t="str">
            <v>WC</v>
          </cell>
          <cell r="AJ448" t="str">
            <v xml:space="preserve">This board has only an SFU up front fed by a dist tranny </v>
          </cell>
        </row>
        <row r="449">
          <cell r="E449" t="str">
            <v>S0028341</v>
          </cell>
          <cell r="F449" t="str">
            <v>Dog Swamp Low Level</v>
          </cell>
          <cell r="H449" t="str">
            <v>Supply Auth</v>
          </cell>
          <cell r="I449" t="str">
            <v>S0028347</v>
          </cell>
          <cell r="K449" t="str">
            <v>12844-40-</v>
          </cell>
          <cell r="M449">
            <v>315</v>
          </cell>
          <cell r="V449" t="str">
            <v>SFU</v>
          </cell>
          <cell r="AF449">
            <v>2000</v>
          </cell>
          <cell r="AG449">
            <v>1</v>
          </cell>
          <cell r="AH449" t="str">
            <v>Dave Sutton</v>
          </cell>
          <cell r="AI449" t="str">
            <v>WC</v>
          </cell>
          <cell r="AJ449" t="str">
            <v>This board has only SFU up front and feeds large drainage station (55kW)</v>
          </cell>
        </row>
        <row r="450">
          <cell r="E450" t="str">
            <v>S0028234</v>
          </cell>
          <cell r="F450" t="str">
            <v>Angove Low Level</v>
          </cell>
          <cell r="H450" t="str">
            <v>Supply Auth</v>
          </cell>
          <cell r="I450" t="str">
            <v>S0028240</v>
          </cell>
          <cell r="K450" t="str">
            <v>13207-40-</v>
          </cell>
          <cell r="M450">
            <v>315</v>
          </cell>
          <cell r="AF450">
            <v>1974</v>
          </cell>
          <cell r="AG450">
            <v>1</v>
          </cell>
          <cell r="AH450" t="str">
            <v>Dave Sutton</v>
          </cell>
          <cell r="AI450" t="str">
            <v>WC</v>
          </cell>
          <cell r="AJ450" t="str">
            <v>The SPD is porcelain fuses standard main s/w unknown ka distribution tx</v>
          </cell>
        </row>
        <row r="451">
          <cell r="E451" t="str">
            <v>S0028629</v>
          </cell>
          <cell r="F451" t="str">
            <v>Sheldrake Low Level</v>
          </cell>
          <cell r="H451" t="str">
            <v>Supply Auth</v>
          </cell>
          <cell r="I451" t="str">
            <v>S0028635</v>
          </cell>
          <cell r="K451" t="str">
            <v>12676-40-1</v>
          </cell>
          <cell r="V451" t="str">
            <v>SFU</v>
          </cell>
          <cell r="AF451">
            <v>1975</v>
          </cell>
          <cell r="AG451">
            <v>1</v>
          </cell>
          <cell r="AH451" t="str">
            <v>Dave Sutton</v>
          </cell>
          <cell r="AI451" t="str">
            <v>WC</v>
          </cell>
          <cell r="AJ451" t="str">
            <v xml:space="preserve">Walk in board unknown ka rating &amp; no tx info
(29Nov2013) Paul Jacobs advised captial project in place to replace the M&amp;E but status unknown </v>
          </cell>
        </row>
        <row r="452">
          <cell r="E452" t="str">
            <v>W0039043</v>
          </cell>
          <cell r="F452" t="str">
            <v>Brickhouse PS</v>
          </cell>
          <cell r="H452" t="str">
            <v>Supply Auth</v>
          </cell>
          <cell r="J452" t="str">
            <v>Main SB</v>
          </cell>
          <cell r="K452" t="str">
            <v>49779--</v>
          </cell>
          <cell r="M452">
            <v>500</v>
          </cell>
          <cell r="T452" t="str">
            <v>6x1C 37/.083</v>
          </cell>
          <cell r="AF452">
            <v>1978</v>
          </cell>
          <cell r="AG452">
            <v>1</v>
          </cell>
          <cell r="AH452" t="str">
            <v>Russell Blyth</v>
          </cell>
          <cell r="AI452" t="str">
            <v>WC</v>
          </cell>
          <cell r="AJ452" t="str">
            <v>Unsure about transformer sizing</v>
          </cell>
        </row>
        <row r="453">
          <cell r="E453" t="str">
            <v>S0037788</v>
          </cell>
          <cell r="F453" t="str">
            <v>Durlacher St SPS</v>
          </cell>
          <cell r="H453" t="str">
            <v>Supply Auth</v>
          </cell>
          <cell r="I453" t="str">
            <v>S4003793</v>
          </cell>
          <cell r="J453" t="str">
            <v>Main SB</v>
          </cell>
          <cell r="K453" t="str">
            <v>56297-41-5</v>
          </cell>
          <cell r="T453" t="str">
            <v>3x1C 120mm2</v>
          </cell>
          <cell r="V453" t="str">
            <v>SPD</v>
          </cell>
          <cell r="W453">
            <v>250</v>
          </cell>
          <cell r="X453" t="str">
            <v>56297-41-5</v>
          </cell>
          <cell r="AA453">
            <v>415</v>
          </cell>
          <cell r="AF453">
            <v>2005</v>
          </cell>
          <cell r="AG453" t="str">
            <v>3B</v>
          </cell>
          <cell r="AH453" t="str">
            <v>Russell Blyth</v>
          </cell>
          <cell r="AI453" t="str">
            <v>WC</v>
          </cell>
          <cell r="AJ453" t="str">
            <v>Unsure about transformer sizing</v>
          </cell>
        </row>
        <row r="454">
          <cell r="F454" t="str">
            <v>Walkaway PS (New PS due 2011)</v>
          </cell>
          <cell r="H454" t="str">
            <v>Supply Auth</v>
          </cell>
          <cell r="J454" t="str">
            <v>Main SB</v>
          </cell>
          <cell r="K454" t="str">
            <v>49539--</v>
          </cell>
          <cell r="M454">
            <v>1000</v>
          </cell>
          <cell r="AF454">
            <v>1977</v>
          </cell>
          <cell r="AG454" t="str">
            <v>g</v>
          </cell>
          <cell r="AH454" t="str">
            <v>Russell Blyth</v>
          </cell>
          <cell r="AI454" t="str">
            <v>WC</v>
          </cell>
          <cell r="AJ454" t="str">
            <v>Decommissioned 2013</v>
          </cell>
        </row>
        <row r="455">
          <cell r="E455" t="str">
            <v>W0035815</v>
          </cell>
          <cell r="F455" t="str">
            <v>WPS GEORGE ST BYFORD</v>
          </cell>
          <cell r="H455" t="str">
            <v>SEC Supply</v>
          </cell>
          <cell r="I455" t="str">
            <v>W0035822</v>
          </cell>
          <cell r="J455" t="str">
            <v>Main Switchboard SB1</v>
          </cell>
          <cell r="K455" t="str">
            <v>18850-40-2</v>
          </cell>
          <cell r="M455">
            <v>100</v>
          </cell>
          <cell r="N455">
            <v>22</v>
          </cell>
          <cell r="O455">
            <v>440</v>
          </cell>
          <cell r="V455" t="str">
            <v>Fuse</v>
          </cell>
          <cell r="W455">
            <v>160</v>
          </cell>
          <cell r="AF455">
            <v>1975</v>
          </cell>
          <cell r="AH455" t="str">
            <v>Dave Sutton</v>
          </cell>
          <cell r="AI455" t="str">
            <v>WC</v>
          </cell>
        </row>
        <row r="456">
          <cell r="E456" t="str">
            <v>S4004828</v>
          </cell>
          <cell r="F456" t="str">
            <v>No4 SPS</v>
          </cell>
          <cell r="H456" t="str">
            <v>Supply Auth Kiosk</v>
          </cell>
          <cell r="I456" t="str">
            <v>S4004891</v>
          </cell>
          <cell r="J456" t="str">
            <v>Main SB</v>
          </cell>
          <cell r="K456" t="str">
            <v xml:space="preserve">BI07- - </v>
          </cell>
          <cell r="AF456">
            <v>2013</v>
          </cell>
          <cell r="AG456" t="str">
            <v>FUTURE</v>
          </cell>
          <cell r="AH456" t="str">
            <v>Russell Blyth</v>
          </cell>
          <cell r="AI456" t="str">
            <v>WC</v>
          </cell>
          <cell r="AJ456" t="str">
            <v>New SwBd installed 2013</v>
          </cell>
        </row>
        <row r="457">
          <cell r="F457" t="str">
            <v>Exmouth VSPS</v>
          </cell>
          <cell r="H457" t="str">
            <v>Supply Auth Kiosk</v>
          </cell>
          <cell r="J457" t="str">
            <v>Main SB</v>
          </cell>
          <cell r="K457" t="str">
            <v>FY45--</v>
          </cell>
          <cell r="M457">
            <v>160</v>
          </cell>
          <cell r="O457">
            <v>415</v>
          </cell>
          <cell r="AF457">
            <v>2005</v>
          </cell>
          <cell r="AH457" t="str">
            <v>Russell Blyth</v>
          </cell>
          <cell r="AI457" t="str">
            <v>WC</v>
          </cell>
          <cell r="AJ457" t="str">
            <v>Unsure about transformer sizing</v>
          </cell>
        </row>
        <row r="458">
          <cell r="E458" t="str">
            <v>S400838</v>
          </cell>
          <cell r="F458" t="str">
            <v>Augustus VSPS</v>
          </cell>
          <cell r="H458" t="str">
            <v>Supply Auth</v>
          </cell>
          <cell r="I458" t="str">
            <v>SZ004573</v>
          </cell>
          <cell r="J458" t="str">
            <v>Main SB</v>
          </cell>
          <cell r="K458" t="str">
            <v>FS54-42-4</v>
          </cell>
          <cell r="V458" t="str">
            <v>MCB</v>
          </cell>
          <cell r="W458">
            <v>400</v>
          </cell>
          <cell r="X458" t="str">
            <v>FS54-42-4</v>
          </cell>
          <cell r="AA458">
            <v>415</v>
          </cell>
          <cell r="AF458">
            <v>2001</v>
          </cell>
          <cell r="AG458" t="str">
            <v>3B</v>
          </cell>
          <cell r="AH458" t="str">
            <v>Russell Blyth</v>
          </cell>
          <cell r="AI458" t="str">
            <v>WC</v>
          </cell>
          <cell r="AJ458" t="str">
            <v>Unsure about transformer sizing</v>
          </cell>
        </row>
        <row r="459">
          <cell r="E459" t="str">
            <v>W0039780</v>
          </cell>
          <cell r="F459" t="str">
            <v>Tarcoola PS</v>
          </cell>
          <cell r="H459" t="str">
            <v>Supply Auth Pole</v>
          </cell>
          <cell r="I459" t="str">
            <v>WZ007603</v>
          </cell>
          <cell r="J459" t="str">
            <v>Main SB</v>
          </cell>
          <cell r="K459" t="str">
            <v>53531-4-1</v>
          </cell>
          <cell r="M459">
            <v>200</v>
          </cell>
          <cell r="V459" t="str">
            <v>Fuse</v>
          </cell>
          <cell r="W459">
            <v>200</v>
          </cell>
          <cell r="AA459">
            <v>440</v>
          </cell>
          <cell r="AF459">
            <v>1982</v>
          </cell>
          <cell r="AG459" t="str">
            <v>3B</v>
          </cell>
          <cell r="AH459" t="str">
            <v>Russell Blyth</v>
          </cell>
          <cell r="AI459" t="str">
            <v>WC</v>
          </cell>
          <cell r="AJ459" t="str">
            <v>Unsure about transformer sizing</v>
          </cell>
        </row>
        <row r="460">
          <cell r="E460" t="str">
            <v>W0039786</v>
          </cell>
          <cell r="F460" t="str">
            <v>Waggrakine PS</v>
          </cell>
          <cell r="H460" t="str">
            <v>Supply Auth Pole</v>
          </cell>
          <cell r="I460" t="str">
            <v>WZ007604</v>
          </cell>
          <cell r="J460" t="str">
            <v>Main SB</v>
          </cell>
          <cell r="K460" t="str">
            <v>51566-3-1</v>
          </cell>
          <cell r="M460">
            <v>200</v>
          </cell>
          <cell r="O460">
            <v>440</v>
          </cell>
          <cell r="V460" t="str">
            <v>MCB</v>
          </cell>
          <cell r="W460">
            <v>250</v>
          </cell>
          <cell r="AA460">
            <v>440</v>
          </cell>
          <cell r="AF460">
            <v>1979</v>
          </cell>
          <cell r="AG460" t="str">
            <v>3B</v>
          </cell>
          <cell r="AH460" t="str">
            <v>Russell Blyth</v>
          </cell>
          <cell r="AI460" t="str">
            <v>WC</v>
          </cell>
          <cell r="AJ460" t="str">
            <v>Unsure about transformer sizing</v>
          </cell>
        </row>
        <row r="461">
          <cell r="E461" t="str">
            <v>S001-001-003</v>
          </cell>
          <cell r="F461" t="str">
            <v>Reclaimed Effluent PS</v>
          </cell>
          <cell r="I461" t="str">
            <v>S0001188</v>
          </cell>
          <cell r="J461" t="str">
            <v>MCC18</v>
          </cell>
          <cell r="K461" t="str">
            <v>12410-40-208</v>
          </cell>
          <cell r="W461">
            <v>630</v>
          </cell>
          <cell r="AF461">
            <v>2003</v>
          </cell>
          <cell r="AG461">
            <v>1</v>
          </cell>
          <cell r="AH461" t="str">
            <v>Rhys Jones</v>
          </cell>
          <cell r="AI461" t="str">
            <v>Aroona Alliance</v>
          </cell>
          <cell r="AJ461" t="str">
            <v>New priority 1 board suggested by Jon Offszanka (29/5/13)</v>
          </cell>
        </row>
        <row r="462">
          <cell r="E462" t="str">
            <v>S001-001-003</v>
          </cell>
          <cell r="F462" t="str">
            <v>Activated Sludge PS No. 3</v>
          </cell>
          <cell r="I462" t="str">
            <v>S0000866</v>
          </cell>
          <cell r="J462" t="str">
            <v>MCC13</v>
          </cell>
          <cell r="K462" t="str">
            <v>12410-46-14.1</v>
          </cell>
          <cell r="W462">
            <v>630</v>
          </cell>
          <cell r="AF462">
            <v>1994</v>
          </cell>
          <cell r="AG462">
            <v>2</v>
          </cell>
          <cell r="AH462" t="str">
            <v>Rhys Jones</v>
          </cell>
          <cell r="AI462" t="str">
            <v>Arroona Alliance</v>
          </cell>
          <cell r="AJ462" t="str">
            <v>New priority 1 board suggested by Jon Offszanka (29/5/13)</v>
          </cell>
        </row>
        <row r="463">
          <cell r="F463" t="str">
            <v>Exmouth Vacuum SPS</v>
          </cell>
          <cell r="H463" t="str">
            <v>Supply Auth Kiosk</v>
          </cell>
          <cell r="J463" t="str">
            <v>NO 1 LOT 1457 MURAT RD</v>
          </cell>
          <cell r="K463" t="str">
            <v>FY45-41-5.1</v>
          </cell>
          <cell r="M463">
            <v>200</v>
          </cell>
          <cell r="O463">
            <v>415</v>
          </cell>
          <cell r="AG463" t="str">
            <v>g</v>
          </cell>
          <cell r="AH463" t="str">
            <v>Russell Blyth</v>
          </cell>
          <cell r="AI463" t="str">
            <v>WC</v>
          </cell>
          <cell r="AJ463" t="str">
            <v>Suggested by Russell Blyth on 2/10/13 but would require addition trip therefore not added to priority 1.</v>
          </cell>
        </row>
        <row r="464">
          <cell r="F464" t="str">
            <v>Port Hedland Lot #954 PS</v>
          </cell>
          <cell r="H464" t="str">
            <v>Suppl Auth (Horizon Power) Kiosk/Tx</v>
          </cell>
          <cell r="J464" t="str">
            <v>Main SB</v>
          </cell>
          <cell r="K464" t="str">
            <v>BP88-40-2</v>
          </cell>
          <cell r="M464">
            <v>1000</v>
          </cell>
          <cell r="N464">
            <v>22</v>
          </cell>
          <cell r="O464">
            <v>440</v>
          </cell>
          <cell r="AG464" t="str">
            <v>g</v>
          </cell>
          <cell r="AH464" t="str">
            <v>Steve Farquhar</v>
          </cell>
          <cell r="AI464" t="str">
            <v>WC</v>
          </cell>
          <cell r="AJ464" t="str">
            <v>New priority 1 board suggested by Steve Farquhar and added on 2/10/13</v>
          </cell>
        </row>
        <row r="465">
          <cell r="F465" t="str">
            <v>South Hedland Lot #2519 PS</v>
          </cell>
          <cell r="H465" t="str">
            <v>Suppl Auth (Horizon Power) 2 x Tx</v>
          </cell>
          <cell r="J465" t="str">
            <v>Main SB</v>
          </cell>
          <cell r="K465" t="str">
            <v>GQ93-40-1/ 48420-42-1</v>
          </cell>
          <cell r="M465">
            <v>500</v>
          </cell>
          <cell r="N465">
            <v>22</v>
          </cell>
          <cell r="O465">
            <v>440</v>
          </cell>
          <cell r="AG465" t="str">
            <v>g</v>
          </cell>
          <cell r="AH465" t="str">
            <v>Steve Farquhar</v>
          </cell>
          <cell r="AI465" t="str">
            <v>WC</v>
          </cell>
          <cell r="AJ465" t="str">
            <v>New priority 1 board suggested by Steve Farquhar and added on 2/10/13</v>
          </cell>
        </row>
        <row r="466">
          <cell r="F466" t="str">
            <v>Anaconda Drive SPS</v>
          </cell>
          <cell r="H466" t="str">
            <v>Supply Auth</v>
          </cell>
          <cell r="J466" t="str">
            <v>Main SB</v>
          </cell>
          <cell r="K466" t="str">
            <v>AO15-40-1.1</v>
          </cell>
          <cell r="O466">
            <v>22</v>
          </cell>
          <cell r="AG466" t="str">
            <v>g</v>
          </cell>
          <cell r="AH466" t="str">
            <v>Dave Sutton</v>
          </cell>
          <cell r="AI466" t="str">
            <v>WC</v>
          </cell>
          <cell r="AJ466" t="str">
            <v>HV swbd  added 3.10.2013</v>
          </cell>
        </row>
        <row r="467">
          <cell r="F467" t="str">
            <v>Anaconda Drive SPS</v>
          </cell>
          <cell r="H467" t="str">
            <v>Supply Auth</v>
          </cell>
          <cell r="J467" t="str">
            <v>Connection Cubicles</v>
          </cell>
          <cell r="K467" t="str">
            <v>AO15-40-1.1/1.2</v>
          </cell>
          <cell r="M467">
            <v>630</v>
          </cell>
          <cell r="N467">
            <v>22</v>
          </cell>
          <cell r="O467">
            <v>6600</v>
          </cell>
          <cell r="AG467" t="str">
            <v>g</v>
          </cell>
          <cell r="AH467" t="str">
            <v>Dave Sutton</v>
          </cell>
          <cell r="AI467" t="str">
            <v>WC</v>
          </cell>
          <cell r="AJ467" t="str">
            <v>HV swbd  added 3.10.2013</v>
          </cell>
        </row>
        <row r="468">
          <cell r="E468" t="str">
            <v>W0042217</v>
          </cell>
          <cell r="F468" t="str">
            <v>Kolburn PS</v>
          </cell>
          <cell r="H468" t="str">
            <v>Supply Auth Pole</v>
          </cell>
          <cell r="I468" t="str">
            <v>WZ017893</v>
          </cell>
          <cell r="J468" t="str">
            <v>Main SB</v>
          </cell>
          <cell r="K468" t="str">
            <v>46576-9-1</v>
          </cell>
          <cell r="S468" t="str">
            <v>3x1c xlpe</v>
          </cell>
          <cell r="T468" t="str">
            <v>120mm2</v>
          </cell>
          <cell r="U468" t="str">
            <v>25m approx</v>
          </cell>
          <cell r="V468" t="str">
            <v>MCB</v>
          </cell>
          <cell r="W468">
            <v>630</v>
          </cell>
          <cell r="AF468">
            <v>1976</v>
          </cell>
          <cell r="AG468" t="str">
            <v>3B</v>
          </cell>
          <cell r="AH468" t="str">
            <v>Russell Blyth</v>
          </cell>
          <cell r="AI468" t="str">
            <v>WC</v>
          </cell>
          <cell r="AJ468" t="str">
            <v>75kW pump and Chlorine pump removed</v>
          </cell>
        </row>
        <row r="469">
          <cell r="E469" t="str">
            <v>S0034277</v>
          </cell>
          <cell r="F469" t="str">
            <v>Canning Vale PS No1/Coulson Way WWPS</v>
          </cell>
          <cell r="H469" t="str">
            <v>Supply Auth</v>
          </cell>
          <cell r="I469" t="str">
            <v>S0034283</v>
          </cell>
          <cell r="J469" t="str">
            <v>Main SB</v>
          </cell>
          <cell r="K469" t="str">
            <v>15417-40-1/7</v>
          </cell>
          <cell r="M469">
            <v>300</v>
          </cell>
          <cell r="T469" t="str">
            <v>3x1C+N 95mm2</v>
          </cell>
          <cell r="AF469">
            <v>1977</v>
          </cell>
          <cell r="AG469">
            <v>1</v>
          </cell>
          <cell r="AH469" t="str">
            <v>Dave Sutton</v>
          </cell>
          <cell r="AI469" t="str">
            <v>WC</v>
          </cell>
          <cell r="AJ469" t="str">
            <v>New priority 1 board suggested by Dave Sutton on 15/10/13.</v>
          </cell>
        </row>
        <row r="470">
          <cell r="F470" t="str">
            <v>Creswell Rd Main PS</v>
          </cell>
          <cell r="H470" t="str">
            <v>Supply Auth</v>
          </cell>
          <cell r="J470" t="str">
            <v>Old Main SB</v>
          </cell>
          <cell r="K470" t="str">
            <v>DW58-42-1</v>
          </cell>
          <cell r="M470">
            <v>630</v>
          </cell>
          <cell r="N470">
            <v>11</v>
          </cell>
          <cell r="O470">
            <v>440</v>
          </cell>
          <cell r="R470">
            <v>19.5</v>
          </cell>
          <cell r="S470" t="str">
            <v>XLPE/PVC</v>
          </cell>
          <cell r="T470" t="str">
            <v>6x1C 240mm2</v>
          </cell>
          <cell r="V470" t="str">
            <v>MCB</v>
          </cell>
          <cell r="W470">
            <v>720</v>
          </cell>
          <cell r="X470" t="str">
            <v>DW58-40-03</v>
          </cell>
          <cell r="AA470">
            <v>415</v>
          </cell>
          <cell r="AB470">
            <v>1000</v>
          </cell>
          <cell r="AC470">
            <v>50</v>
          </cell>
          <cell r="AD470">
            <v>1</v>
          </cell>
          <cell r="AE470">
            <v>34</v>
          </cell>
          <cell r="AF470">
            <v>1997</v>
          </cell>
          <cell r="AG470">
            <v>1</v>
          </cell>
          <cell r="AH470" t="str">
            <v>Dave Sutton</v>
          </cell>
          <cell r="AI470" t="str">
            <v>WC</v>
          </cell>
          <cell r="AJ470" t="str">
            <v>Jan 2014: SLD &amp; protection coordination dwgs are not valid</v>
          </cell>
        </row>
        <row r="471">
          <cell r="F471" t="str">
            <v>Creswell Rd Main PS</v>
          </cell>
          <cell r="H471" t="str">
            <v>Supply Auth</v>
          </cell>
          <cell r="J471" t="str">
            <v>WWPS MCC SB</v>
          </cell>
          <cell r="K471" t="str">
            <v>DW58-42-1</v>
          </cell>
          <cell r="M471">
            <v>630</v>
          </cell>
          <cell r="N471">
            <v>11</v>
          </cell>
          <cell r="O471">
            <v>440</v>
          </cell>
          <cell r="R471">
            <v>19.5</v>
          </cell>
          <cell r="S471" t="str">
            <v>XLPE/PVC</v>
          </cell>
          <cell r="T471" t="str">
            <v>6x1C 240mm2</v>
          </cell>
          <cell r="V471" t="str">
            <v>MCB</v>
          </cell>
          <cell r="W471">
            <v>720</v>
          </cell>
          <cell r="X471" t="str">
            <v>DW58-40-03</v>
          </cell>
          <cell r="AA471">
            <v>415</v>
          </cell>
          <cell r="AB471">
            <v>1000</v>
          </cell>
          <cell r="AC471">
            <v>50</v>
          </cell>
          <cell r="AD471">
            <v>1</v>
          </cell>
          <cell r="AE471">
            <v>30</v>
          </cell>
          <cell r="AF471">
            <v>1997</v>
          </cell>
          <cell r="AG471">
            <v>1</v>
          </cell>
          <cell r="AH471" t="str">
            <v>Dave Sutton</v>
          </cell>
          <cell r="AI471" t="str">
            <v>WC</v>
          </cell>
          <cell r="AJ471" t="str">
            <v>Jan 2014: SLD &amp; protection coordination dwgs are not valid</v>
          </cell>
        </row>
        <row r="472">
          <cell r="E472" t="str">
            <v>W0039613</v>
          </cell>
          <cell r="F472" t="str">
            <v>Walkaway PS &amp; DN800 Main Duplication</v>
          </cell>
          <cell r="H472" t="str">
            <v>Transformer Room</v>
          </cell>
          <cell r="J472" t="str">
            <v>6.6kV MCC No.1 Main C/B</v>
          </cell>
          <cell r="K472" t="str">
            <v>JE62-40-1-2</v>
          </cell>
          <cell r="M472">
            <v>1500</v>
          </cell>
          <cell r="N472">
            <v>33</v>
          </cell>
          <cell r="O472">
            <v>6600</v>
          </cell>
          <cell r="AF472">
            <v>2011</v>
          </cell>
          <cell r="AG472" t="str">
            <v>g</v>
          </cell>
          <cell r="AH472" t="str">
            <v>Russell Blyth</v>
          </cell>
          <cell r="AI472" t="str">
            <v>WC</v>
          </cell>
          <cell r="AJ472" t="str">
            <v>Name plate JE62-47-1-5</v>
          </cell>
        </row>
        <row r="473">
          <cell r="E473" t="str">
            <v>W0039613</v>
          </cell>
          <cell r="F473" t="str">
            <v>Walkaway PS &amp; DN800 Main Duplication</v>
          </cell>
          <cell r="H473" t="str">
            <v>Transformer Room</v>
          </cell>
          <cell r="J473" t="str">
            <v>6.6kV MCC No.2 Main C/B</v>
          </cell>
          <cell r="K473" t="str">
            <v>JE62-40-1-3</v>
          </cell>
          <cell r="M473">
            <v>1500</v>
          </cell>
          <cell r="N473">
            <v>33</v>
          </cell>
          <cell r="O473">
            <v>6600</v>
          </cell>
          <cell r="AF473">
            <v>2011</v>
          </cell>
          <cell r="AG473" t="str">
            <v>g</v>
          </cell>
          <cell r="AH473" t="str">
            <v>Russell Blyth</v>
          </cell>
          <cell r="AI473" t="str">
            <v>WC</v>
          </cell>
          <cell r="AJ473" t="str">
            <v>Name plate JE62-47-1-5</v>
          </cell>
        </row>
        <row r="474">
          <cell r="E474" t="str">
            <v>S0033360</v>
          </cell>
          <cell r="F474" t="str">
            <v>Anaconda Drive SPS</v>
          </cell>
          <cell r="H474" t="str">
            <v>WCAux Tx</v>
          </cell>
          <cell r="I474" t="str">
            <v>S0033372</v>
          </cell>
          <cell r="J474" t="str">
            <v>Mains Changeover Switch</v>
          </cell>
          <cell r="K474" t="str">
            <v>AO15-40-1.1</v>
          </cell>
          <cell r="M474">
            <v>25</v>
          </cell>
          <cell r="N474">
            <v>22</v>
          </cell>
          <cell r="O474">
            <v>415</v>
          </cell>
          <cell r="V474" t="str">
            <v>Fuse</v>
          </cell>
          <cell r="W474">
            <v>63</v>
          </cell>
          <cell r="AG474" t="str">
            <v>3B</v>
          </cell>
          <cell r="AH474" t="str">
            <v>Dave Sutton</v>
          </cell>
          <cell r="AI474" t="str">
            <v>WC</v>
          </cell>
          <cell r="AJ474" t="str">
            <v>Small 25kVA LV swbd  added 3.10.2013</v>
          </cell>
        </row>
        <row r="475">
          <cell r="E475" t="str">
            <v>W0023148</v>
          </cell>
          <cell r="F475" t="str">
            <v>Two People Bay WPS</v>
          </cell>
          <cell r="H475" t="str">
            <v>Supply Auth</v>
          </cell>
          <cell r="K475" t="str">
            <v>51060-001-001</v>
          </cell>
          <cell r="O475">
            <v>440</v>
          </cell>
          <cell r="W475">
            <v>500</v>
          </cell>
          <cell r="AG475">
            <v>2</v>
          </cell>
          <cell r="AH475" t="str">
            <v>Bruce Norton</v>
          </cell>
          <cell r="AI475" t="str">
            <v>WC</v>
          </cell>
        </row>
        <row r="476">
          <cell r="E476" t="str">
            <v>W0023763</v>
          </cell>
          <cell r="F476" t="str">
            <v>Two People Bay WTP</v>
          </cell>
          <cell r="H476" t="str">
            <v>Supply Auth</v>
          </cell>
          <cell r="K476" t="str">
            <v>51135-001-001</v>
          </cell>
          <cell r="O476">
            <v>440</v>
          </cell>
          <cell r="W476">
            <v>100</v>
          </cell>
          <cell r="AG476">
            <v>2</v>
          </cell>
          <cell r="AH476" t="str">
            <v>Bruce Norton</v>
          </cell>
          <cell r="AI476" t="str">
            <v>WC</v>
          </cell>
        </row>
        <row r="477">
          <cell r="E477" t="str">
            <v>W049-003-004-026</v>
          </cell>
          <cell r="F477" t="str">
            <v>Williams WPS</v>
          </cell>
          <cell r="H477" t="str">
            <v>Supply Auth</v>
          </cell>
          <cell r="K477" t="str">
            <v>47184-001-002</v>
          </cell>
          <cell r="O477">
            <v>440</v>
          </cell>
          <cell r="W477">
            <v>3000</v>
          </cell>
          <cell r="AG477">
            <v>2</v>
          </cell>
          <cell r="AH477" t="str">
            <v>Bruce Norton</v>
          </cell>
          <cell r="AI477" t="str">
            <v>WC</v>
          </cell>
        </row>
        <row r="478">
          <cell r="E478" t="str">
            <v>W0022947</v>
          </cell>
          <cell r="F478" t="str">
            <v>Woodanilling WPS</v>
          </cell>
          <cell r="H478" t="str">
            <v>Supply Auth</v>
          </cell>
          <cell r="K478" t="str">
            <v>DO26-41-006</v>
          </cell>
          <cell r="O478">
            <v>440</v>
          </cell>
          <cell r="W478">
            <v>400</v>
          </cell>
          <cell r="AG478">
            <v>2</v>
          </cell>
          <cell r="AH478" t="str">
            <v>Bruce Norton</v>
          </cell>
          <cell r="AI478" t="str">
            <v>WC</v>
          </cell>
        </row>
        <row r="479">
          <cell r="E479" t="str">
            <v>W1001383</v>
          </cell>
          <cell r="F479" t="str">
            <v>Mirrabooka Bore 2A</v>
          </cell>
          <cell r="H479" t="str">
            <v>Main SB</v>
          </cell>
          <cell r="J479" t="str">
            <v>Koondoola No2 Artesian Bore MMC</v>
          </cell>
          <cell r="K479" t="str">
            <v>14890-40-1</v>
          </cell>
          <cell r="O479">
            <v>415</v>
          </cell>
          <cell r="S479" t="str">
            <v>Unknown</v>
          </cell>
          <cell r="T479" t="str">
            <v>Unknown</v>
          </cell>
          <cell r="U479" t="str">
            <v>4m</v>
          </cell>
          <cell r="V479" t="str">
            <v>CB</v>
          </cell>
          <cell r="W479">
            <v>400</v>
          </cell>
          <cell r="AA479">
            <v>440</v>
          </cell>
          <cell r="AB479">
            <v>290</v>
          </cell>
          <cell r="AF479" t="str">
            <v>1970 est</v>
          </cell>
          <cell r="AG479">
            <v>2</v>
          </cell>
          <cell r="AH479" t="str">
            <v>Gavin Varis</v>
          </cell>
          <cell r="AI479" t="str">
            <v>Aroona Alliance</v>
          </cell>
        </row>
        <row r="480">
          <cell r="E480" t="str">
            <v>W0040016</v>
          </cell>
          <cell r="F480" t="str">
            <v>Wicherina</v>
          </cell>
          <cell r="H480" t="str">
            <v>Supply Auth</v>
          </cell>
          <cell r="I480" t="str">
            <v>WZ007661</v>
          </cell>
          <cell r="J480" t="str">
            <v>Main SB</v>
          </cell>
          <cell r="K480" t="str">
            <v>BS81-041-005</v>
          </cell>
          <cell r="M480">
            <v>300</v>
          </cell>
          <cell r="N480">
            <v>33</v>
          </cell>
          <cell r="O480">
            <v>440</v>
          </cell>
          <cell r="P480">
            <v>4.2999999999999997E-2</v>
          </cell>
          <cell r="V480" t="str">
            <v>MCB</v>
          </cell>
          <cell r="W480">
            <v>400</v>
          </cell>
          <cell r="AA480">
            <v>415</v>
          </cell>
          <cell r="AF480">
            <v>1989</v>
          </cell>
          <cell r="AG480" t="str">
            <v>3B</v>
          </cell>
          <cell r="AH480" t="str">
            <v>Russell Blyth</v>
          </cell>
          <cell r="AI480" t="str">
            <v>WC</v>
          </cell>
          <cell r="AJ480" t="str">
            <v>Drawing No. updated</v>
          </cell>
        </row>
        <row r="481">
          <cell r="E481" t="str">
            <v>S001-001-018</v>
          </cell>
          <cell r="F481" t="str">
            <v>Subiaco WWTP</v>
          </cell>
          <cell r="G481" t="str">
            <v>MCC9920</v>
          </cell>
          <cell r="H481" t="str">
            <v>Tx 9901</v>
          </cell>
          <cell r="I481" t="str">
            <v>S1004838</v>
          </cell>
          <cell r="J481" t="str">
            <v>Power Distribution SB</v>
          </cell>
          <cell r="K481" t="str">
            <v>17375-52-200.1</v>
          </cell>
          <cell r="M481">
            <v>1250</v>
          </cell>
          <cell r="N481">
            <v>3.3</v>
          </cell>
          <cell r="O481">
            <v>415</v>
          </cell>
          <cell r="P481">
            <v>5.0999999999999997E-2</v>
          </cell>
          <cell r="S481" t="str">
            <v>XLPE/PVC</v>
          </cell>
          <cell r="T481" t="str">
            <v>6x1C 630mm2</v>
          </cell>
          <cell r="U481" t="str">
            <v>30m</v>
          </cell>
          <cell r="V481" t="str">
            <v>CB</v>
          </cell>
          <cell r="W481">
            <v>1600</v>
          </cell>
          <cell r="Y481" t="str">
            <v>Sivacon</v>
          </cell>
          <cell r="Z481" t="str">
            <v>Kounis</v>
          </cell>
          <cell r="AA481">
            <v>415</v>
          </cell>
          <cell r="AB481">
            <v>2000</v>
          </cell>
          <cell r="AC481">
            <v>50</v>
          </cell>
          <cell r="AD481">
            <v>1</v>
          </cell>
          <cell r="AF481">
            <v>2006</v>
          </cell>
          <cell r="AG481">
            <v>2</v>
          </cell>
          <cell r="AH481" t="str">
            <v>Alan Wright</v>
          </cell>
          <cell r="AI481" t="str">
            <v>Aroona Alliance</v>
          </cell>
          <cell r="AJ481" t="str">
            <v>newer board</v>
          </cell>
        </row>
        <row r="482">
          <cell r="F482" t="str">
            <v>Cunderin Main HV switchroom</v>
          </cell>
          <cell r="H482" t="str">
            <v>Tx</v>
          </cell>
          <cell r="J482" t="str">
            <v>Main LV DB switchboard</v>
          </cell>
          <cell r="AG482" t="str">
            <v>FUTURE</v>
          </cell>
          <cell r="AJ482" t="str">
            <v>Old GEC CFS units.  Feeds B station auxiliaries, office, workshop, chlorinator etc. we be replaced with CW01025</v>
          </cell>
        </row>
        <row r="483">
          <cell r="E483" t="str">
            <v>W0021226</v>
          </cell>
          <cell r="F483" t="str">
            <v>Wundowie WPS (main conduit)</v>
          </cell>
          <cell r="H483" t="str">
            <v>Supply Auth</v>
          </cell>
          <cell r="J483" t="str">
            <v>Main SB</v>
          </cell>
          <cell r="K483">
            <v>46766</v>
          </cell>
          <cell r="AF483">
            <v>2006</v>
          </cell>
          <cell r="AG483">
            <v>2</v>
          </cell>
          <cell r="AH483" t="str">
            <v>David Hatch</v>
          </cell>
          <cell r="AJ483" t="str">
            <v>2x tx upgraded to 1MVA</v>
          </cell>
        </row>
        <row r="484">
          <cell r="E484" t="str">
            <v>W0021075</v>
          </cell>
          <cell r="F484" t="str">
            <v>Grass Valley WPS</v>
          </cell>
          <cell r="H484" t="str">
            <v>Supply Auth</v>
          </cell>
          <cell r="J484" t="str">
            <v>Main SB</v>
          </cell>
          <cell r="K484">
            <v>46755</v>
          </cell>
          <cell r="AF484">
            <v>2006</v>
          </cell>
          <cell r="AG484">
            <v>2</v>
          </cell>
          <cell r="AH484" t="str">
            <v>David Hatch</v>
          </cell>
        </row>
        <row r="485">
          <cell r="E485" t="str">
            <v>W0021135</v>
          </cell>
          <cell r="F485" t="str">
            <v>Meckering WPS</v>
          </cell>
          <cell r="H485" t="str">
            <v>Supply Auth</v>
          </cell>
          <cell r="J485" t="str">
            <v>Main SB</v>
          </cell>
          <cell r="K485">
            <v>46759</v>
          </cell>
          <cell r="AF485">
            <v>2005</v>
          </cell>
          <cell r="AG485">
            <v>2</v>
          </cell>
          <cell r="AH485" t="str">
            <v>David Hatch</v>
          </cell>
        </row>
        <row r="486">
          <cell r="E486" t="str">
            <v>W0021201</v>
          </cell>
          <cell r="F486" t="str">
            <v>Nulla Nulla WPS</v>
          </cell>
          <cell r="H486" t="str">
            <v>Tx</v>
          </cell>
          <cell r="J486" t="str">
            <v>Main SB</v>
          </cell>
          <cell r="K486" t="str">
            <v>DH67</v>
          </cell>
          <cell r="AG486">
            <v>2</v>
          </cell>
          <cell r="AH486" t="str">
            <v>David Hatch</v>
          </cell>
        </row>
        <row r="487">
          <cell r="E487" t="str">
            <v>W0021103</v>
          </cell>
          <cell r="F487" t="str">
            <v>Karalee WPS</v>
          </cell>
          <cell r="H487" t="str">
            <v>Tx</v>
          </cell>
          <cell r="J487" t="str">
            <v>Main SB</v>
          </cell>
          <cell r="K487">
            <v>53588</v>
          </cell>
          <cell r="AG487">
            <v>2</v>
          </cell>
          <cell r="AH487" t="str">
            <v>David Hatch</v>
          </cell>
        </row>
        <row r="488">
          <cell r="E488" t="str">
            <v>W0021044</v>
          </cell>
          <cell r="F488" t="str">
            <v>Dedari WPS</v>
          </cell>
          <cell r="H488" t="str">
            <v>Tx</v>
          </cell>
          <cell r="J488" t="str">
            <v>440V Main SB</v>
          </cell>
          <cell r="K488">
            <v>55229</v>
          </cell>
          <cell r="AG488">
            <v>2</v>
          </cell>
          <cell r="AH488" t="str">
            <v>David Hatch</v>
          </cell>
        </row>
        <row r="489">
          <cell r="E489" t="str">
            <v>W0021044</v>
          </cell>
          <cell r="F489" t="str">
            <v>Dedari WPS</v>
          </cell>
          <cell r="H489" t="str">
            <v>Tx</v>
          </cell>
          <cell r="J489" t="str">
            <v>690V Main SB</v>
          </cell>
          <cell r="K489" t="str">
            <v>FE97</v>
          </cell>
          <cell r="AG489">
            <v>2</v>
          </cell>
          <cell r="AH489" t="str">
            <v>David Hatch</v>
          </cell>
        </row>
        <row r="490">
          <cell r="E490" t="str">
            <v>W0021044</v>
          </cell>
          <cell r="F490" t="str">
            <v>Dedari WPS</v>
          </cell>
          <cell r="H490" t="str">
            <v>690V Main SB</v>
          </cell>
          <cell r="J490" t="str">
            <v>No4 VSD</v>
          </cell>
          <cell r="K490" t="str">
            <v>FE97</v>
          </cell>
          <cell r="AG490">
            <v>2</v>
          </cell>
          <cell r="AH490" t="str">
            <v>David Hatch</v>
          </cell>
        </row>
        <row r="491">
          <cell r="E491" t="str">
            <v>W0021044</v>
          </cell>
          <cell r="F491" t="str">
            <v>Dedari WPS</v>
          </cell>
          <cell r="H491" t="str">
            <v>690V Main SB</v>
          </cell>
          <cell r="J491" t="str">
            <v>No5 VSD</v>
          </cell>
          <cell r="K491" t="str">
            <v>FE97</v>
          </cell>
          <cell r="AG491">
            <v>2</v>
          </cell>
          <cell r="AH491" t="str">
            <v>David Hatch</v>
          </cell>
        </row>
        <row r="492">
          <cell r="E492" t="str">
            <v>W0020994</v>
          </cell>
          <cell r="F492" t="str">
            <v>Bullabulling WPS</v>
          </cell>
          <cell r="H492" t="str">
            <v>Tx</v>
          </cell>
          <cell r="J492" t="str">
            <v>Main SB</v>
          </cell>
          <cell r="K492">
            <v>53405</v>
          </cell>
          <cell r="AG492">
            <v>2</v>
          </cell>
          <cell r="AH492" t="str">
            <v>David Hatch</v>
          </cell>
        </row>
        <row r="493">
          <cell r="F493" t="str">
            <v>Quelagetting WPS</v>
          </cell>
          <cell r="H493" t="str">
            <v>Tx</v>
          </cell>
          <cell r="J493" t="str">
            <v>Main SB</v>
          </cell>
          <cell r="K493">
            <v>46694</v>
          </cell>
          <cell r="AG493" t="str">
            <v>g</v>
          </cell>
          <cell r="AH493" t="str">
            <v>David Hatch</v>
          </cell>
          <cell r="AJ493" t="str">
            <v>Sole-use substation in poor condition.  Very old Main SB.  Site will not be required once CK pipeline has been repaired, 2years?  Needs to be a high priority.</v>
          </cell>
        </row>
        <row r="494">
          <cell r="E494" t="str">
            <v>W0020994</v>
          </cell>
          <cell r="F494" t="str">
            <v>Bullabulling chlorinator</v>
          </cell>
          <cell r="H494" t="str">
            <v>WPS Main SB</v>
          </cell>
          <cell r="I494" t="str">
            <v>W5097940</v>
          </cell>
          <cell r="J494" t="str">
            <v xml:space="preserve">Chlorination ATS </v>
          </cell>
          <cell r="K494" t="str">
            <v xml:space="preserve">54671- - </v>
          </cell>
          <cell r="AG494" t="str">
            <v>FUTURE</v>
          </cell>
        </row>
        <row r="495">
          <cell r="E495" t="str">
            <v>W0020994</v>
          </cell>
          <cell r="F495" t="str">
            <v>Bullabulling chlorinator</v>
          </cell>
          <cell r="H495" t="str">
            <v>WPS Main SB</v>
          </cell>
          <cell r="I495" t="str">
            <v>WZ006660</v>
          </cell>
          <cell r="J495" t="str">
            <v>Chlorination Main SB</v>
          </cell>
          <cell r="K495" t="str">
            <v xml:space="preserve">54671- - </v>
          </cell>
          <cell r="AG495" t="str">
            <v>FUTURE</v>
          </cell>
        </row>
        <row r="496">
          <cell r="E496" t="str">
            <v>W6002980</v>
          </cell>
          <cell r="F496" t="str">
            <v>John Hill Tank</v>
          </cell>
          <cell r="H496" t="str">
            <v>Supply Auth</v>
          </cell>
          <cell r="I496" t="str">
            <v>W6072761</v>
          </cell>
          <cell r="J496" t="str">
            <v>Main SB</v>
          </cell>
          <cell r="K496" t="str">
            <v>HX42-40-1</v>
          </cell>
          <cell r="AG496" t="str">
            <v>FUTURE</v>
          </cell>
          <cell r="AJ496" t="str">
            <v>Will supply all users at site.  Installed but cut-over not complete.</v>
          </cell>
        </row>
        <row r="497">
          <cell r="F497" t="str">
            <v>Norseman WPS</v>
          </cell>
          <cell r="H497" t="str">
            <v>Supply Auth/Genset</v>
          </cell>
          <cell r="J497" t="str">
            <v>Main SB</v>
          </cell>
          <cell r="K497">
            <v>55928</v>
          </cell>
          <cell r="AF497">
            <v>2013</v>
          </cell>
        </row>
        <row r="498">
          <cell r="F498" t="str">
            <v>Norseman WPS</v>
          </cell>
          <cell r="H498" t="str">
            <v>Main SB</v>
          </cell>
          <cell r="J498" t="str">
            <v>Pump Station SB</v>
          </cell>
          <cell r="K498">
            <v>55928</v>
          </cell>
          <cell r="AF498">
            <v>2013</v>
          </cell>
        </row>
        <row r="499">
          <cell r="E499" t="str">
            <v>W0019665</v>
          </cell>
          <cell r="F499" t="str">
            <v xml:space="preserve">Pithara WPS </v>
          </cell>
          <cell r="H499" t="str">
            <v>Meter Box</v>
          </cell>
          <cell r="I499" t="str">
            <v>W0019668</v>
          </cell>
          <cell r="J499" t="str">
            <v>Pump Station SB</v>
          </cell>
          <cell r="K499" t="str">
            <v xml:space="preserve">49824- - </v>
          </cell>
          <cell r="AG499" t="str">
            <v>3B</v>
          </cell>
        </row>
        <row r="500">
          <cell r="E500" t="str">
            <v>W1001633</v>
          </cell>
          <cell r="F500" t="str">
            <v>Wordsworth Bore (Yokine Bore 2)</v>
          </cell>
          <cell r="H500" t="str">
            <v>Supply Auth</v>
          </cell>
          <cell r="I500" t="str">
            <v>W1018585</v>
          </cell>
          <cell r="J500" t="str">
            <v>Yokine Bore 2</v>
          </cell>
          <cell r="K500" t="str">
            <v xml:space="preserve">10968- - </v>
          </cell>
          <cell r="O500">
            <v>415</v>
          </cell>
          <cell r="S500" t="str">
            <v>Unknown</v>
          </cell>
          <cell r="T500" t="str">
            <v>Unknown</v>
          </cell>
          <cell r="U500">
            <v>100</v>
          </cell>
          <cell r="V500" t="str">
            <v>Unknown</v>
          </cell>
          <cell r="AA500">
            <v>440</v>
          </cell>
          <cell r="AB500">
            <v>290</v>
          </cell>
          <cell r="AF500">
            <v>1970</v>
          </cell>
          <cell r="AG500" t="str">
            <v>3B</v>
          </cell>
          <cell r="AH500" t="str">
            <v>Gavin Varis</v>
          </cell>
          <cell r="AI500" t="str">
            <v>Aroona Alliance</v>
          </cell>
        </row>
        <row r="501">
          <cell r="E501" t="str">
            <v>W0018925</v>
          </cell>
          <cell r="F501" t="str">
            <v>Beverley Booster WPS</v>
          </cell>
          <cell r="H501" t="str">
            <v>Supply Auth</v>
          </cell>
          <cell r="I501" t="str">
            <v>W0018928</v>
          </cell>
          <cell r="J501" t="str">
            <v>Main SB</v>
          </cell>
          <cell r="K501" t="str">
            <v>46617-3-1</v>
          </cell>
          <cell r="O501">
            <v>440</v>
          </cell>
          <cell r="S501" t="str">
            <v>PVC/PVC</v>
          </cell>
          <cell r="T501">
            <v>35</v>
          </cell>
          <cell r="U501">
            <v>400</v>
          </cell>
          <cell r="AA501">
            <v>440</v>
          </cell>
          <cell r="AG501" t="str">
            <v>3B</v>
          </cell>
        </row>
        <row r="502">
          <cell r="E502" t="str">
            <v>W0019625</v>
          </cell>
          <cell r="F502" t="str">
            <v>Dalwallinu VS Booster WPS</v>
          </cell>
          <cell r="H502" t="str">
            <v>Supply Auth/genset</v>
          </cell>
          <cell r="I502" t="str">
            <v>WZ008856</v>
          </cell>
          <cell r="J502" t="str">
            <v>Main SB</v>
          </cell>
          <cell r="K502" t="str">
            <v xml:space="preserve">42419-43-5 </v>
          </cell>
          <cell r="M502">
            <v>315</v>
          </cell>
          <cell r="O502">
            <v>415</v>
          </cell>
          <cell r="V502" t="str">
            <v>SPD</v>
          </cell>
          <cell r="W502">
            <v>250</v>
          </cell>
          <cell r="AA502">
            <v>415</v>
          </cell>
          <cell r="AG502" t="str">
            <v>3B</v>
          </cell>
        </row>
        <row r="503">
          <cell r="F503" t="str">
            <v>Belka WPS</v>
          </cell>
          <cell r="H503" t="str">
            <v>Supply Auth</v>
          </cell>
          <cell r="J503" t="str">
            <v>Main SB</v>
          </cell>
          <cell r="AG503" t="str">
            <v>US</v>
          </cell>
          <cell r="AJ503" t="str">
            <v>Replacement SB and 3rd pump planned</v>
          </cell>
        </row>
        <row r="504">
          <cell r="E504" t="str">
            <v>W0020490</v>
          </cell>
          <cell r="F504" t="str">
            <v>Wadderin Dam</v>
          </cell>
          <cell r="H504" t="str">
            <v>Supply Auth</v>
          </cell>
          <cell r="I504" t="str">
            <v>W0020494</v>
          </cell>
          <cell r="J504" t="str">
            <v>Meter Box</v>
          </cell>
          <cell r="K504" t="str">
            <v xml:space="preserve">50623- - </v>
          </cell>
          <cell r="AG504" t="str">
            <v>3B</v>
          </cell>
          <cell r="AJ504" t="str">
            <v>Can be downgraded or disconnected when new PS built at W.Narembeen tank</v>
          </cell>
        </row>
        <row r="505">
          <cell r="E505" t="str">
            <v>S0013940</v>
          </cell>
          <cell r="F505" t="str">
            <v>MS35 Booster WPS</v>
          </cell>
          <cell r="H505" t="str">
            <v>Supply Auth</v>
          </cell>
          <cell r="I505" t="str">
            <v>S5051362</v>
          </cell>
          <cell r="J505" t="str">
            <v>Main SB</v>
          </cell>
          <cell r="K505" t="str">
            <v xml:space="preserve">AQ50- - </v>
          </cell>
          <cell r="AG505" t="str">
            <v>3B</v>
          </cell>
        </row>
        <row r="506">
          <cell r="E506" t="str">
            <v>W5008050</v>
          </cell>
          <cell r="F506" t="str">
            <v>Marvel Loch Booster WPS (Achillies)</v>
          </cell>
          <cell r="H506" t="str">
            <v>Supply Auth</v>
          </cell>
          <cell r="I506" t="str">
            <v>W5008130</v>
          </cell>
          <cell r="J506" t="str">
            <v>Main SB</v>
          </cell>
          <cell r="K506" t="str">
            <v xml:space="preserve">FX32- - </v>
          </cell>
          <cell r="AG506" t="str">
            <v>3B</v>
          </cell>
        </row>
        <row r="507">
          <cell r="E507" t="str">
            <v>W0026401</v>
          </cell>
          <cell r="F507" t="str">
            <v>Degrey Bore 2/76</v>
          </cell>
          <cell r="H507" t="str">
            <v>WC Owned  Tx</v>
          </cell>
          <cell r="I507" t="str">
            <v>WZ023474</v>
          </cell>
          <cell r="J507" t="str">
            <v>Bore 2/76</v>
          </cell>
          <cell r="M507">
            <v>63</v>
          </cell>
          <cell r="N507">
            <v>22</v>
          </cell>
          <cell r="O507">
            <v>440</v>
          </cell>
          <cell r="AF507">
            <v>2000</v>
          </cell>
        </row>
        <row r="508">
          <cell r="E508" t="str">
            <v>W0026402</v>
          </cell>
          <cell r="F508" t="str">
            <v>Degrey Bore 3/76</v>
          </cell>
          <cell r="H508" t="str">
            <v>WC Owned  Tx</v>
          </cell>
          <cell r="I508" t="str">
            <v>WZ023475</v>
          </cell>
          <cell r="J508" t="str">
            <v>Bore3/76</v>
          </cell>
          <cell r="M508">
            <v>200</v>
          </cell>
          <cell r="N508">
            <v>22</v>
          </cell>
          <cell r="O508">
            <v>440</v>
          </cell>
          <cell r="AF508">
            <v>2000</v>
          </cell>
        </row>
        <row r="509">
          <cell r="E509" t="str">
            <v>W0026403</v>
          </cell>
          <cell r="F509" t="str">
            <v>Degrey Bore 5/76</v>
          </cell>
          <cell r="H509" t="str">
            <v>WC Owned  Tx</v>
          </cell>
          <cell r="I509" t="str">
            <v>WZ023476</v>
          </cell>
          <cell r="J509" t="str">
            <v>Bore 5/76</v>
          </cell>
          <cell r="M509">
            <v>63</v>
          </cell>
          <cell r="N509">
            <v>22</v>
          </cell>
          <cell r="O509">
            <v>440</v>
          </cell>
          <cell r="AF509">
            <v>2000</v>
          </cell>
        </row>
        <row r="510">
          <cell r="E510" t="str">
            <v>W0026405</v>
          </cell>
          <cell r="F510" t="str">
            <v>Degrey Bore 7/76</v>
          </cell>
          <cell r="H510" t="str">
            <v>WC Owned  Tx</v>
          </cell>
          <cell r="I510" t="str">
            <v>WZ023477</v>
          </cell>
          <cell r="J510" t="str">
            <v>Bore 7/76</v>
          </cell>
          <cell r="M510">
            <v>100</v>
          </cell>
          <cell r="N510">
            <v>22</v>
          </cell>
          <cell r="O510">
            <v>440</v>
          </cell>
          <cell r="AF510">
            <v>2000</v>
          </cell>
        </row>
        <row r="511">
          <cell r="E511" t="str">
            <v>W0026399</v>
          </cell>
          <cell r="F511" t="str">
            <v>Degrey Bore 12/76</v>
          </cell>
          <cell r="H511" t="str">
            <v>WC Owned  Tx</v>
          </cell>
          <cell r="I511" t="str">
            <v>WZ023473</v>
          </cell>
          <cell r="J511" t="str">
            <v>Bore 12 /76</v>
          </cell>
          <cell r="M511">
            <v>100</v>
          </cell>
          <cell r="N511">
            <v>22</v>
          </cell>
          <cell r="O511">
            <v>440</v>
          </cell>
          <cell r="AF511">
            <v>2000</v>
          </cell>
        </row>
        <row r="512">
          <cell r="E512" t="str">
            <v>W3001531</v>
          </cell>
          <cell r="F512" t="str">
            <v>Degrey Bore 7/03</v>
          </cell>
          <cell r="H512" t="str">
            <v>WC Owned  Tx</v>
          </cell>
          <cell r="I512" t="str">
            <v>WZ023478</v>
          </cell>
          <cell r="J512" t="str">
            <v>Bore 7/03</v>
          </cell>
          <cell r="M512">
            <v>100</v>
          </cell>
          <cell r="N512">
            <v>22</v>
          </cell>
          <cell r="O512">
            <v>440</v>
          </cell>
          <cell r="AF512">
            <v>2000</v>
          </cell>
        </row>
        <row r="513">
          <cell r="E513" t="str">
            <v>W3001532</v>
          </cell>
          <cell r="F513" t="str">
            <v>Degrey Bore 8/03</v>
          </cell>
          <cell r="H513" t="str">
            <v>WC Owned  Tx</v>
          </cell>
          <cell r="I513" t="str">
            <v>WZ023479</v>
          </cell>
          <cell r="J513" t="str">
            <v>Bore 8/03</v>
          </cell>
          <cell r="M513">
            <v>200</v>
          </cell>
          <cell r="N513">
            <v>22</v>
          </cell>
          <cell r="O513">
            <v>440</v>
          </cell>
          <cell r="AF513">
            <v>2000</v>
          </cell>
        </row>
        <row r="514">
          <cell r="E514" t="str">
            <v>W3001533</v>
          </cell>
          <cell r="F514" t="str">
            <v>Degrey Bore 9/03</v>
          </cell>
          <cell r="H514" t="str">
            <v>WC Owned  Tx</v>
          </cell>
          <cell r="I514" t="str">
            <v>WZ023480</v>
          </cell>
          <cell r="J514" t="str">
            <v>Bore 9/03</v>
          </cell>
          <cell r="M514">
            <v>100</v>
          </cell>
          <cell r="N514">
            <v>22</v>
          </cell>
          <cell r="O514">
            <v>440</v>
          </cell>
          <cell r="AF514">
            <v>2000</v>
          </cell>
        </row>
        <row r="515">
          <cell r="E515" t="str">
            <v>W3001534</v>
          </cell>
          <cell r="F515" t="str">
            <v>Degrey Bore 13/03</v>
          </cell>
          <cell r="H515" t="str">
            <v>WC Owned  Tx</v>
          </cell>
          <cell r="I515" t="str">
            <v>WZ023481</v>
          </cell>
          <cell r="J515" t="str">
            <v>Bore 13/03</v>
          </cell>
          <cell r="M515">
            <v>100</v>
          </cell>
          <cell r="N515">
            <v>22</v>
          </cell>
          <cell r="O515">
            <v>440</v>
          </cell>
          <cell r="AF515">
            <v>2000</v>
          </cell>
        </row>
        <row r="516">
          <cell r="E516" t="str">
            <v>W3001535</v>
          </cell>
          <cell r="F516" t="str">
            <v>Degrey Bore 14/03</v>
          </cell>
          <cell r="H516" t="str">
            <v>WC Owned  Tx</v>
          </cell>
          <cell r="I516" t="str">
            <v>WZ023483</v>
          </cell>
          <cell r="J516" t="str">
            <v>Bore 14/03</v>
          </cell>
          <cell r="M516">
            <v>200</v>
          </cell>
          <cell r="N516">
            <v>22</v>
          </cell>
          <cell r="O516">
            <v>440</v>
          </cell>
          <cell r="AF516">
            <v>2000</v>
          </cell>
        </row>
        <row r="517">
          <cell r="E517" t="str">
            <v>W3001572</v>
          </cell>
          <cell r="F517" t="str">
            <v xml:space="preserve">Degrey Bore 15/03 </v>
          </cell>
          <cell r="H517" t="str">
            <v>WC Owned  Tx</v>
          </cell>
          <cell r="I517" t="str">
            <v>WZ023482</v>
          </cell>
          <cell r="J517" t="str">
            <v>Bore 15/03</v>
          </cell>
          <cell r="M517">
            <v>200</v>
          </cell>
          <cell r="N517">
            <v>22</v>
          </cell>
          <cell r="O517">
            <v>440</v>
          </cell>
          <cell r="AF517">
            <v>2000</v>
          </cell>
        </row>
        <row r="518">
          <cell r="E518" t="str">
            <v>W0026381</v>
          </cell>
          <cell r="F518" t="str">
            <v>Strelley Pump Stn</v>
          </cell>
          <cell r="H518" t="str">
            <v>WC Owned  Tx</v>
          </cell>
          <cell r="I518" t="str">
            <v>W0026392</v>
          </cell>
          <cell r="J518" t="str">
            <v>Pump Stn SWB</v>
          </cell>
          <cell r="M518">
            <v>500</v>
          </cell>
          <cell r="N518">
            <v>22</v>
          </cell>
          <cell r="O518">
            <v>440</v>
          </cell>
          <cell r="AF518">
            <v>2000</v>
          </cell>
        </row>
        <row r="519">
          <cell r="E519" t="str">
            <v>W0026408</v>
          </cell>
          <cell r="F519" t="str">
            <v xml:space="preserve">Strelley Chlorinator </v>
          </cell>
          <cell r="H519" t="str">
            <v>WC Owned  Tx</v>
          </cell>
          <cell r="I519" t="str">
            <v>WZ014406</v>
          </cell>
          <cell r="J519" t="str">
            <v>Strelley Chlorination SWB</v>
          </cell>
          <cell r="M519">
            <v>500</v>
          </cell>
          <cell r="N519">
            <v>22</v>
          </cell>
          <cell r="O519">
            <v>440</v>
          </cell>
          <cell r="AF519">
            <v>2000</v>
          </cell>
        </row>
        <row r="520">
          <cell r="F520" t="str">
            <v xml:space="preserve">Strelley Sub Stn </v>
          </cell>
          <cell r="H520" t="str">
            <v>WC Owned  Tx</v>
          </cell>
          <cell r="J520" t="str">
            <v>Strelley Substation SWB</v>
          </cell>
          <cell r="M520">
            <v>100</v>
          </cell>
          <cell r="N520">
            <v>22</v>
          </cell>
          <cell r="O520">
            <v>440</v>
          </cell>
          <cell r="AF520">
            <v>2000</v>
          </cell>
        </row>
        <row r="521">
          <cell r="F521" t="str">
            <v xml:space="preserve">Tuner River </v>
          </cell>
          <cell r="H521" t="str">
            <v>WC Owned  Tx</v>
          </cell>
          <cell r="J521" t="str">
            <v>Turner River SWB</v>
          </cell>
          <cell r="M521">
            <v>25</v>
          </cell>
          <cell r="N521">
            <v>22</v>
          </cell>
          <cell r="O521">
            <v>440</v>
          </cell>
          <cell r="AF521">
            <v>2000</v>
          </cell>
        </row>
        <row r="522">
          <cell r="E522" t="str">
            <v>W3000311</v>
          </cell>
          <cell r="F522" t="str">
            <v xml:space="preserve">Yule Bore 1/96 </v>
          </cell>
          <cell r="H522" t="str">
            <v>WC Owned  Tx</v>
          </cell>
          <cell r="I522" t="str">
            <v>WZ023486</v>
          </cell>
          <cell r="J522" t="str">
            <v>Yule 1/96</v>
          </cell>
          <cell r="M522">
            <v>63</v>
          </cell>
          <cell r="N522">
            <v>22</v>
          </cell>
          <cell r="O522">
            <v>440</v>
          </cell>
          <cell r="AF522">
            <v>2000</v>
          </cell>
        </row>
        <row r="523">
          <cell r="E523" t="str">
            <v>W3000309</v>
          </cell>
          <cell r="F523" t="str">
            <v xml:space="preserve">Yule Bore 2/96 </v>
          </cell>
          <cell r="H523" t="str">
            <v>WC Owned  Tx</v>
          </cell>
          <cell r="I523" t="str">
            <v>WZ023484</v>
          </cell>
          <cell r="J523" t="str">
            <v>Yule 2/96</v>
          </cell>
          <cell r="M523">
            <v>63</v>
          </cell>
          <cell r="N523">
            <v>22</v>
          </cell>
          <cell r="O523">
            <v>440</v>
          </cell>
          <cell r="AF523">
            <v>2000</v>
          </cell>
        </row>
        <row r="524">
          <cell r="E524" t="str">
            <v>W3000310</v>
          </cell>
          <cell r="F524" t="str">
            <v>Yule Bore 3/96</v>
          </cell>
          <cell r="H524" t="str">
            <v>WC Owned  Tx</v>
          </cell>
          <cell r="I524" t="str">
            <v>WZ023485</v>
          </cell>
          <cell r="J524" t="str">
            <v>Yule 3/96</v>
          </cell>
          <cell r="M524">
            <v>63</v>
          </cell>
          <cell r="N524">
            <v>22</v>
          </cell>
          <cell r="O524">
            <v>440</v>
          </cell>
          <cell r="AF524">
            <v>2000</v>
          </cell>
        </row>
        <row r="525">
          <cell r="E525" t="str">
            <v>W3000796</v>
          </cell>
          <cell r="F525" t="str">
            <v xml:space="preserve">Yule Bore 5/96 </v>
          </cell>
          <cell r="H525" t="str">
            <v>WC Owned  Tx</v>
          </cell>
          <cell r="I525" t="str">
            <v>WZ023429</v>
          </cell>
          <cell r="J525" t="str">
            <v>Yule 5/96</v>
          </cell>
          <cell r="M525">
            <v>63</v>
          </cell>
          <cell r="N525">
            <v>22</v>
          </cell>
          <cell r="O525">
            <v>440</v>
          </cell>
          <cell r="AF525">
            <v>2000</v>
          </cell>
        </row>
        <row r="526">
          <cell r="E526" t="str">
            <v>W3000800</v>
          </cell>
          <cell r="F526" t="str">
            <v>Yule Bore 7/76</v>
          </cell>
          <cell r="H526" t="str">
            <v>WC Owned  Tx</v>
          </cell>
          <cell r="I526" t="str">
            <v>WZ023438</v>
          </cell>
          <cell r="J526" t="str">
            <v>Yule 7/96</v>
          </cell>
          <cell r="M526">
            <v>63</v>
          </cell>
          <cell r="N526">
            <v>22</v>
          </cell>
          <cell r="O526">
            <v>440</v>
          </cell>
          <cell r="AF526">
            <v>2000</v>
          </cell>
        </row>
        <row r="527">
          <cell r="E527" t="str">
            <v>W3000370</v>
          </cell>
          <cell r="F527" t="str">
            <v>Yule Bore 11/96</v>
          </cell>
          <cell r="H527" t="str">
            <v>WC Owned  Tx</v>
          </cell>
          <cell r="I527" t="str">
            <v>WZ023487</v>
          </cell>
          <cell r="J527" t="str">
            <v>Yule 11/96</v>
          </cell>
          <cell r="M527">
            <v>200</v>
          </cell>
          <cell r="N527">
            <v>22</v>
          </cell>
          <cell r="O527">
            <v>440</v>
          </cell>
          <cell r="AF527">
            <v>2000</v>
          </cell>
        </row>
        <row r="528">
          <cell r="E528" t="str">
            <v>W3000371</v>
          </cell>
          <cell r="F528" t="str">
            <v>Yule Bore 12/96</v>
          </cell>
          <cell r="H528" t="str">
            <v>WC Owned  Tx</v>
          </cell>
          <cell r="I528" t="str">
            <v>WZ023488</v>
          </cell>
          <cell r="J528" t="str">
            <v>Yule 12/96</v>
          </cell>
          <cell r="M528">
            <v>200</v>
          </cell>
          <cell r="N528">
            <v>22</v>
          </cell>
          <cell r="O528">
            <v>440</v>
          </cell>
          <cell r="AF528">
            <v>2000</v>
          </cell>
        </row>
        <row r="529">
          <cell r="E529" t="str">
            <v>W3000372</v>
          </cell>
          <cell r="F529" t="str">
            <v>Yule Bore 13/96</v>
          </cell>
          <cell r="H529" t="str">
            <v>WC Owned  Tx</v>
          </cell>
          <cell r="I529" t="str">
            <v>WZ023489</v>
          </cell>
          <cell r="J529" t="str">
            <v>Yule 13/96</v>
          </cell>
          <cell r="M529">
            <v>100</v>
          </cell>
          <cell r="N529">
            <v>22</v>
          </cell>
          <cell r="O529">
            <v>440</v>
          </cell>
          <cell r="AF529">
            <v>2000</v>
          </cell>
        </row>
        <row r="530">
          <cell r="E530" t="str">
            <v>W3000806</v>
          </cell>
          <cell r="F530" t="str">
            <v>Yule Bore 15/96</v>
          </cell>
          <cell r="H530" t="str">
            <v>WC Owned  Tx</v>
          </cell>
          <cell r="I530" t="str">
            <v>WZ023447</v>
          </cell>
          <cell r="J530" t="str">
            <v>Yule 15/96</v>
          </cell>
          <cell r="M530">
            <v>63</v>
          </cell>
          <cell r="N530">
            <v>22</v>
          </cell>
          <cell r="O530">
            <v>440</v>
          </cell>
          <cell r="AF530">
            <v>2000</v>
          </cell>
        </row>
        <row r="531">
          <cell r="E531" t="str">
            <v>W3000373</v>
          </cell>
          <cell r="F531" t="str">
            <v xml:space="preserve">Yule Bore </v>
          </cell>
          <cell r="H531" t="str">
            <v>WC Owned  Tx</v>
          </cell>
          <cell r="I531" t="str">
            <v>WZ023490</v>
          </cell>
          <cell r="J531" t="str">
            <v>Yule 16/96</v>
          </cell>
          <cell r="M531">
            <v>200</v>
          </cell>
          <cell r="N531">
            <v>22</v>
          </cell>
          <cell r="O531">
            <v>440</v>
          </cell>
          <cell r="AF531">
            <v>2000</v>
          </cell>
        </row>
        <row r="532">
          <cell r="E532" t="str">
            <v>S3002326</v>
          </cell>
          <cell r="F532" t="str">
            <v>South Hedland No1 WWPS</v>
          </cell>
          <cell r="H532" t="str">
            <v>Supply Auth HP</v>
          </cell>
          <cell r="I532" t="str">
            <v>S3008935</v>
          </cell>
          <cell r="J532" t="str">
            <v>No1 WWPS MSB</v>
          </cell>
          <cell r="M532">
            <v>100</v>
          </cell>
          <cell r="N532">
            <v>22</v>
          </cell>
          <cell r="O532">
            <v>440</v>
          </cell>
          <cell r="AF532">
            <v>2002</v>
          </cell>
        </row>
        <row r="533">
          <cell r="E533" t="str">
            <v>S0025844</v>
          </cell>
          <cell r="F533" t="str">
            <v>South Hedland No3 WWPS</v>
          </cell>
          <cell r="H533" t="str">
            <v>Supply Auth HP</v>
          </cell>
          <cell r="I533" t="str">
            <v>S0025849</v>
          </cell>
          <cell r="J533" t="str">
            <v>No3 WWPS MSB</v>
          </cell>
          <cell r="M533">
            <v>100</v>
          </cell>
          <cell r="N533">
            <v>22</v>
          </cell>
          <cell r="O533">
            <v>440</v>
          </cell>
          <cell r="AF533">
            <v>2010</v>
          </cell>
        </row>
        <row r="534">
          <cell r="E534" t="str">
            <v>S0025869</v>
          </cell>
          <cell r="F534" t="str">
            <v>South Hedland No7 WWPS</v>
          </cell>
          <cell r="H534" t="str">
            <v>Supply Auth HP</v>
          </cell>
          <cell r="I534" t="str">
            <v>S0025874</v>
          </cell>
          <cell r="J534" t="str">
            <v>No7 WWPS MSB</v>
          </cell>
          <cell r="M534">
            <v>63</v>
          </cell>
          <cell r="N534">
            <v>22</v>
          </cell>
          <cell r="O534">
            <v>440</v>
          </cell>
          <cell r="AF534">
            <v>2010</v>
          </cell>
        </row>
        <row r="535">
          <cell r="E535" t="str">
            <v>S0025882</v>
          </cell>
          <cell r="F535" t="str">
            <v>South Hedland No9 WWPS</v>
          </cell>
          <cell r="H535" t="str">
            <v>Supply Auth HP</v>
          </cell>
          <cell r="I535" t="str">
            <v>S0025887</v>
          </cell>
          <cell r="J535" t="str">
            <v>No9 WWPS MSB</v>
          </cell>
          <cell r="M535">
            <v>63</v>
          </cell>
          <cell r="N535">
            <v>22</v>
          </cell>
          <cell r="O535">
            <v>440</v>
          </cell>
          <cell r="AF535">
            <v>2010</v>
          </cell>
        </row>
        <row r="536">
          <cell r="E536" t="str">
            <v>S3000005</v>
          </cell>
          <cell r="F536" t="str">
            <v>Port Hedland No7 WWPS</v>
          </cell>
          <cell r="H536" t="str">
            <v>Supply Auth HP</v>
          </cell>
          <cell r="I536" t="str">
            <v>S3000295</v>
          </cell>
          <cell r="J536" t="str">
            <v>No7 Acton st MSB</v>
          </cell>
          <cell r="M536">
            <v>200</v>
          </cell>
          <cell r="N536">
            <v>22</v>
          </cell>
          <cell r="O536">
            <v>440</v>
          </cell>
          <cell r="AF536">
            <v>2002</v>
          </cell>
        </row>
        <row r="537">
          <cell r="E537" t="str">
            <v>W0026145</v>
          </cell>
          <cell r="F537" t="str">
            <v>Kununurra TPS</v>
          </cell>
          <cell r="H537" t="str">
            <v>Supply Auth</v>
          </cell>
          <cell r="I537" t="str">
            <v>W0026155</v>
          </cell>
          <cell r="J537" t="str">
            <v>TPS MSB</v>
          </cell>
          <cell r="K537" t="str">
            <v>AD78-40-19</v>
          </cell>
          <cell r="M537">
            <v>300</v>
          </cell>
          <cell r="N537">
            <v>6.6</v>
          </cell>
          <cell r="O537">
            <v>440</v>
          </cell>
          <cell r="AF537">
            <v>1986</v>
          </cell>
          <cell r="AG537" t="str">
            <v xml:space="preserve">FUTURE-K </v>
          </cell>
        </row>
        <row r="538">
          <cell r="F538" t="str">
            <v>Kununurra TPS Genset</v>
          </cell>
          <cell r="H538" t="str">
            <v>Supply Auth</v>
          </cell>
          <cell r="J538" t="str">
            <v xml:space="preserve">200Kva Standby Genset </v>
          </cell>
          <cell r="M538">
            <v>200</v>
          </cell>
          <cell r="O538">
            <v>440</v>
          </cell>
          <cell r="AF538">
            <v>2010</v>
          </cell>
          <cell r="AG538" t="str">
            <v>FUTURE-K</v>
          </cell>
        </row>
        <row r="539">
          <cell r="F539" t="str">
            <v>Kununurra Bore 1/98</v>
          </cell>
          <cell r="H539" t="str">
            <v>Supply Auth</v>
          </cell>
          <cell r="J539" t="str">
            <v>Bore 1/98 MSB</v>
          </cell>
          <cell r="M539">
            <v>100</v>
          </cell>
          <cell r="N539">
            <v>6.6</v>
          </cell>
          <cell r="O539">
            <v>440</v>
          </cell>
          <cell r="AF539">
            <v>2006</v>
          </cell>
          <cell r="AG539" t="str">
            <v>FUTURE-K</v>
          </cell>
        </row>
        <row r="540">
          <cell r="F540" t="str">
            <v xml:space="preserve">Outlet Structure SWB </v>
          </cell>
          <cell r="H540" t="str">
            <v>Ord Hydro</v>
          </cell>
          <cell r="J540" t="str">
            <v>Ord Dam Outlet Structure MSB</v>
          </cell>
          <cell r="M540">
            <v>30</v>
          </cell>
          <cell r="N540">
            <v>11</v>
          </cell>
          <cell r="O540">
            <v>440</v>
          </cell>
          <cell r="AF540">
            <v>2010</v>
          </cell>
          <cell r="AG540" t="str">
            <v>FUTURE-K</v>
          </cell>
        </row>
        <row r="541">
          <cell r="F541" t="str">
            <v xml:space="preserve">Transfer Pump Stn </v>
          </cell>
          <cell r="H541" t="str">
            <v>Supply Auth</v>
          </cell>
          <cell r="J541" t="str">
            <v>Halls Ck TPS MSB</v>
          </cell>
          <cell r="M541">
            <v>100</v>
          </cell>
          <cell r="N541">
            <v>22</v>
          </cell>
          <cell r="O541">
            <v>440</v>
          </cell>
          <cell r="AF541">
            <v>2009</v>
          </cell>
          <cell r="AG541" t="str">
            <v>FUTURE-K</v>
          </cell>
        </row>
        <row r="542">
          <cell r="E542" t="str">
            <v>W0019625</v>
          </cell>
          <cell r="F542" t="str">
            <v>Dalwallinu VS Booster WPS</v>
          </cell>
          <cell r="H542" t="str">
            <v>Main SB</v>
          </cell>
          <cell r="J542" t="str">
            <v>Pump Station SB</v>
          </cell>
          <cell r="K542" t="str">
            <v>42419-41-5</v>
          </cell>
          <cell r="V542" t="str">
            <v>MCB</v>
          </cell>
          <cell r="W542">
            <v>250</v>
          </cell>
          <cell r="AA542">
            <v>415</v>
          </cell>
          <cell r="AG542" t="str">
            <v>3B</v>
          </cell>
        </row>
        <row r="543">
          <cell r="E543" t="str">
            <v>W0026061</v>
          </cell>
          <cell r="F543" t="str">
            <v>Derby TPS</v>
          </cell>
          <cell r="H543" t="str">
            <v>Supply Auth HP</v>
          </cell>
          <cell r="I543" t="str">
            <v>W0026066</v>
          </cell>
          <cell r="J543" t="str">
            <v>Derby TPS MSB</v>
          </cell>
          <cell r="K543" t="str">
            <v>51747-41-5</v>
          </cell>
          <cell r="M543">
            <v>200</v>
          </cell>
          <cell r="N543">
            <v>22</v>
          </cell>
          <cell r="O543">
            <v>440</v>
          </cell>
          <cell r="V543" t="str">
            <v>MCB</v>
          </cell>
          <cell r="W543">
            <v>250</v>
          </cell>
          <cell r="AA543">
            <v>415</v>
          </cell>
          <cell r="AF543">
            <v>1980</v>
          </cell>
          <cell r="AG543" t="str">
            <v>3B</v>
          </cell>
          <cell r="AJ543" t="str">
            <v>DB: check that this is not the derby switchboard for renewal on Des Mcewan program and project CW23435 - Steve Farquhar advised that the provject is not going ahead 20/4/2015</v>
          </cell>
        </row>
        <row r="544">
          <cell r="E544" t="str">
            <v>W0026038</v>
          </cell>
          <cell r="F544" t="str">
            <v>Derby Bore 1/82</v>
          </cell>
          <cell r="H544" t="str">
            <v>Supply Auth HP</v>
          </cell>
          <cell r="I544" t="str">
            <v>W0026039</v>
          </cell>
          <cell r="J544" t="str">
            <v>Bore 1/82 MSB</v>
          </cell>
          <cell r="K544" t="str">
            <v>AV64-41-3</v>
          </cell>
          <cell r="M544">
            <v>100</v>
          </cell>
          <cell r="N544">
            <v>22</v>
          </cell>
          <cell r="O544">
            <v>415</v>
          </cell>
          <cell r="V544" t="str">
            <v>MFS</v>
          </cell>
          <cell r="W544">
            <v>100</v>
          </cell>
          <cell r="AA544">
            <v>415</v>
          </cell>
          <cell r="AF544">
            <v>1982</v>
          </cell>
          <cell r="AG544" t="str">
            <v>3B</v>
          </cell>
        </row>
        <row r="545">
          <cell r="E545" t="str">
            <v>W0026040</v>
          </cell>
          <cell r="F545" t="str">
            <v>Derby Bore 1/86</v>
          </cell>
          <cell r="H545" t="str">
            <v>Supply Auth HP</v>
          </cell>
          <cell r="I545" t="str">
            <v>W0026041</v>
          </cell>
          <cell r="J545" t="str">
            <v>Bore 1/86 MSB</v>
          </cell>
          <cell r="K545" t="str">
            <v>52631-21-1</v>
          </cell>
          <cell r="M545">
            <v>100</v>
          </cell>
          <cell r="N545">
            <v>22</v>
          </cell>
          <cell r="O545">
            <v>415</v>
          </cell>
          <cell r="V545" t="str">
            <v>Fuse</v>
          </cell>
          <cell r="W545">
            <v>125</v>
          </cell>
          <cell r="AA545">
            <v>415</v>
          </cell>
          <cell r="AF545">
            <v>1986</v>
          </cell>
          <cell r="AG545" t="str">
            <v>3B</v>
          </cell>
        </row>
        <row r="546">
          <cell r="E546" t="str">
            <v>W0026042</v>
          </cell>
          <cell r="F546" t="str">
            <v>Derby Bore 1/89</v>
          </cell>
          <cell r="H546" t="str">
            <v>Supply Auth HP</v>
          </cell>
          <cell r="I546" t="str">
            <v>W0026044</v>
          </cell>
          <cell r="J546" t="str">
            <v>Bore 1/89 MSB</v>
          </cell>
          <cell r="K546" t="str">
            <v>BQ96-41-4</v>
          </cell>
          <cell r="M546">
            <v>100</v>
          </cell>
          <cell r="N546">
            <v>22</v>
          </cell>
          <cell r="O546">
            <v>415</v>
          </cell>
          <cell r="V546" t="str">
            <v>Fuse</v>
          </cell>
          <cell r="W546">
            <v>160</v>
          </cell>
          <cell r="AA546">
            <v>415</v>
          </cell>
          <cell r="AF546">
            <v>1989</v>
          </cell>
          <cell r="AG546" t="str">
            <v>3B</v>
          </cell>
        </row>
        <row r="547">
          <cell r="E547" t="str">
            <v>W3000083</v>
          </cell>
          <cell r="F547" t="str">
            <v>Derby  Bore 1/99</v>
          </cell>
          <cell r="H547" t="str">
            <v>Supply Auth HP</v>
          </cell>
          <cell r="I547" t="str">
            <v>W3000460</v>
          </cell>
          <cell r="J547" t="str">
            <v>Bore 1/99 MSB</v>
          </cell>
          <cell r="K547" t="str">
            <v>FJ93-41-5</v>
          </cell>
          <cell r="M547">
            <v>100</v>
          </cell>
          <cell r="N547">
            <v>22</v>
          </cell>
          <cell r="O547">
            <v>415</v>
          </cell>
          <cell r="V547" t="str">
            <v>MCB</v>
          </cell>
          <cell r="W547">
            <v>80</v>
          </cell>
          <cell r="AA547">
            <v>415</v>
          </cell>
          <cell r="AF547">
            <v>1996</v>
          </cell>
          <cell r="AG547" t="str">
            <v>3B</v>
          </cell>
        </row>
        <row r="548">
          <cell r="E548" t="str">
            <v>W3001042</v>
          </cell>
          <cell r="F548" t="str">
            <v>Derby Bore 1/04</v>
          </cell>
          <cell r="H548" t="str">
            <v>Supply Auth HP</v>
          </cell>
          <cell r="I548" t="str">
            <v>W3003999</v>
          </cell>
          <cell r="J548" t="str">
            <v>Bore 1/04 MSB</v>
          </cell>
          <cell r="K548" t="str">
            <v>HM21-41-5</v>
          </cell>
          <cell r="M548">
            <v>100</v>
          </cell>
          <cell r="N548">
            <v>22</v>
          </cell>
          <cell r="O548">
            <v>415</v>
          </cell>
          <cell r="V548" t="str">
            <v>Fuse</v>
          </cell>
          <cell r="W548">
            <v>100</v>
          </cell>
          <cell r="AA548">
            <v>415</v>
          </cell>
          <cell r="AF548">
            <v>2004</v>
          </cell>
          <cell r="AG548" t="str">
            <v>3B</v>
          </cell>
        </row>
        <row r="549">
          <cell r="F549" t="str">
            <v xml:space="preserve">Kangaroo Hill Transfer Pump Stn </v>
          </cell>
          <cell r="H549" t="str">
            <v>Supply Auth HP</v>
          </cell>
          <cell r="J549" t="str">
            <v>Kangaroo Hill TPS MSB</v>
          </cell>
          <cell r="M549">
            <v>200</v>
          </cell>
          <cell r="N549">
            <v>22</v>
          </cell>
          <cell r="O549">
            <v>440</v>
          </cell>
          <cell r="AF549">
            <v>2006</v>
          </cell>
        </row>
        <row r="550">
          <cell r="F550" t="str">
            <v>Wickham Tank Main Swb</v>
          </cell>
          <cell r="H550" t="str">
            <v>Supply Auth RIO</v>
          </cell>
          <cell r="J550" t="str">
            <v>Wickham Tank MSB</v>
          </cell>
          <cell r="M550">
            <v>100</v>
          </cell>
          <cell r="N550">
            <v>22</v>
          </cell>
          <cell r="O550">
            <v>440</v>
          </cell>
          <cell r="AF550">
            <v>2004</v>
          </cell>
        </row>
        <row r="551">
          <cell r="F551" t="str">
            <v>Cape Lambert Main Swb</v>
          </cell>
          <cell r="H551" t="str">
            <v>Suppply Auth RIO</v>
          </cell>
          <cell r="J551" t="str">
            <v>Cape Lambert Tank MSB</v>
          </cell>
          <cell r="M551">
            <v>100</v>
          </cell>
          <cell r="N551">
            <v>22</v>
          </cell>
          <cell r="O551">
            <v>440</v>
          </cell>
          <cell r="AF551">
            <v>2010</v>
          </cell>
        </row>
        <row r="552">
          <cell r="F552" t="str">
            <v xml:space="preserve">Wickham No1 WWPS Main Swb </v>
          </cell>
          <cell r="H552" t="str">
            <v>Supply Auth RIO</v>
          </cell>
          <cell r="J552" t="str">
            <v>Wickham NoWWPS msb</v>
          </cell>
          <cell r="M552">
            <v>63</v>
          </cell>
          <cell r="N552">
            <v>22</v>
          </cell>
          <cell r="O552">
            <v>440</v>
          </cell>
          <cell r="AF552">
            <v>2013</v>
          </cell>
        </row>
        <row r="553">
          <cell r="F553" t="str">
            <v xml:space="preserve">Wickham Oval Reuse Site </v>
          </cell>
          <cell r="H553" t="str">
            <v>Supply Auth RIO</v>
          </cell>
          <cell r="J553" t="str">
            <v>Wickham Oval MSB</v>
          </cell>
          <cell r="M553">
            <v>63</v>
          </cell>
          <cell r="N553">
            <v>22</v>
          </cell>
          <cell r="O553">
            <v>440</v>
          </cell>
          <cell r="AF553">
            <v>2000</v>
          </cell>
        </row>
        <row r="554">
          <cell r="F554" t="str">
            <v>Wickham Reuse Site</v>
          </cell>
          <cell r="H554" t="str">
            <v>Supply Auth RIO</v>
          </cell>
          <cell r="J554" t="str">
            <v>Wickham Reuse MSB</v>
          </cell>
          <cell r="M554">
            <v>100</v>
          </cell>
          <cell r="N554">
            <v>22</v>
          </cell>
          <cell r="O554">
            <v>440</v>
          </cell>
          <cell r="AF554">
            <v>2000</v>
          </cell>
        </row>
        <row r="555">
          <cell r="F555" t="str">
            <v xml:space="preserve">Roebourne No1 WWPS </v>
          </cell>
          <cell r="H555" t="str">
            <v>Supply Auth HP</v>
          </cell>
          <cell r="J555" t="str">
            <v>Roebourne No1 WWPS MSB</v>
          </cell>
          <cell r="M555">
            <v>100</v>
          </cell>
          <cell r="N555">
            <v>22</v>
          </cell>
          <cell r="O555">
            <v>440</v>
          </cell>
          <cell r="AF555">
            <v>2010</v>
          </cell>
        </row>
        <row r="556">
          <cell r="F556" t="str">
            <v>Karratha No4 WWPS Swb</v>
          </cell>
          <cell r="H556" t="str">
            <v>Supply Auth HP</v>
          </cell>
          <cell r="J556" t="str">
            <v>Karratha No4 WWPS MSB</v>
          </cell>
          <cell r="M556">
            <v>100</v>
          </cell>
          <cell r="N556">
            <v>22</v>
          </cell>
          <cell r="O556">
            <v>440</v>
          </cell>
          <cell r="AF556">
            <v>2000</v>
          </cell>
        </row>
        <row r="557">
          <cell r="F557" t="str">
            <v>Karratha No6 WWPS Swb</v>
          </cell>
          <cell r="H557" t="str">
            <v>Supply Auth HP</v>
          </cell>
          <cell r="J557" t="str">
            <v>Karratha No6 WWPS MSB</v>
          </cell>
          <cell r="M557">
            <v>200</v>
          </cell>
          <cell r="N557">
            <v>22</v>
          </cell>
          <cell r="O557">
            <v>440</v>
          </cell>
          <cell r="AF557">
            <v>2009</v>
          </cell>
        </row>
        <row r="558">
          <cell r="F558" t="str">
            <v>Karratha No2 WWTPMain SWB</v>
          </cell>
          <cell r="H558" t="str">
            <v>Supply Auth HP</v>
          </cell>
          <cell r="J558" t="str">
            <v xml:space="preserve"> Karratha WWTP No2 MSB</v>
          </cell>
          <cell r="K558" t="str">
            <v>AJ71-40-02</v>
          </cell>
          <cell r="M558">
            <v>100</v>
          </cell>
          <cell r="N558">
            <v>22</v>
          </cell>
          <cell r="O558">
            <v>440</v>
          </cell>
          <cell r="AF558">
            <v>2013</v>
          </cell>
          <cell r="AH558" t="str">
            <v>Steve Farquhar</v>
          </cell>
        </row>
        <row r="559">
          <cell r="F559" t="str">
            <v xml:space="preserve">Karratha No1 Shire Reuse </v>
          </cell>
          <cell r="H559" t="str">
            <v>Supply Auth HP</v>
          </cell>
          <cell r="J559" t="str">
            <v>Karratha No1 Reuse MSB</v>
          </cell>
          <cell r="M559">
            <v>100</v>
          </cell>
          <cell r="N559">
            <v>22</v>
          </cell>
          <cell r="O559">
            <v>440</v>
          </cell>
          <cell r="AF559">
            <v>2013</v>
          </cell>
        </row>
        <row r="560">
          <cell r="E560" t="str">
            <v>S0033952</v>
          </cell>
          <cell r="F560" t="str">
            <v>Armagh PS</v>
          </cell>
          <cell r="H560" t="str">
            <v>Standby Generator</v>
          </cell>
          <cell r="I560" t="str">
            <v>S2024318</v>
          </cell>
          <cell r="J560" t="str">
            <v>Standby Generator Switchboard</v>
          </cell>
          <cell r="K560" t="str">
            <v>IX33-40-1.2</v>
          </cell>
          <cell r="M560">
            <v>1000</v>
          </cell>
          <cell r="N560">
            <v>22</v>
          </cell>
          <cell r="O560">
            <v>433</v>
          </cell>
          <cell r="AG560" t="str">
            <v>3B</v>
          </cell>
          <cell r="AH560" t="str">
            <v>Dave Sutton</v>
          </cell>
          <cell r="AI560" t="str">
            <v>WC</v>
          </cell>
        </row>
        <row r="561">
          <cell r="F561" t="str">
            <v>Cunderin A PS (new) - Site 202</v>
          </cell>
          <cell r="AF561">
            <v>1980</v>
          </cell>
          <cell r="AG561" t="str">
            <v>FUTURE</v>
          </cell>
          <cell r="AH561" t="str">
            <v>Rob Van-Tiel</v>
          </cell>
          <cell r="AI561" t="str">
            <v>WC</v>
          </cell>
          <cell r="AJ561" t="str">
            <v>see notes under item 358 Cunderdin A PS (old)</v>
          </cell>
        </row>
        <row r="562">
          <cell r="E562" t="str">
            <v>W0046348</v>
          </cell>
          <cell r="F562" t="str">
            <v>Walpole WTP</v>
          </cell>
          <cell r="G562" t="str">
            <v>Mirofiltration MCC</v>
          </cell>
          <cell r="H562" t="str">
            <v>MSB</v>
          </cell>
          <cell r="J562" t="str">
            <v>Mirofiltration MCC</v>
          </cell>
          <cell r="K562" t="str">
            <v>JE40-40-02</v>
          </cell>
          <cell r="O562">
            <v>415</v>
          </cell>
          <cell r="S562" t="str">
            <v>PVC/PVC</v>
          </cell>
          <cell r="T562" t="str">
            <v>4C+E 95mm2</v>
          </cell>
          <cell r="V562" t="str">
            <v>MCB</v>
          </cell>
          <cell r="W562">
            <v>250</v>
          </cell>
          <cell r="AA562">
            <v>415</v>
          </cell>
          <cell r="AF562" t="str">
            <v>2008 est</v>
          </cell>
          <cell r="AH562" t="str">
            <v>Bruce Norton</v>
          </cell>
          <cell r="AI562" t="str">
            <v>WC</v>
          </cell>
        </row>
        <row r="563">
          <cell r="E563" t="str">
            <v>W0046348</v>
          </cell>
          <cell r="F563" t="str">
            <v>Walpole WTP</v>
          </cell>
          <cell r="G563" t="str">
            <v>Existing MCC</v>
          </cell>
          <cell r="H563" t="str">
            <v>MSB</v>
          </cell>
          <cell r="J563" t="str">
            <v>Existing MCC</v>
          </cell>
          <cell r="K563" t="str">
            <v>53580-42-5.1</v>
          </cell>
          <cell r="O563">
            <v>415</v>
          </cell>
          <cell r="S563" t="str">
            <v>PVC/PVC</v>
          </cell>
          <cell r="T563" t="str">
            <v>4C+E 95mm2</v>
          </cell>
          <cell r="V563" t="str">
            <v>MCB</v>
          </cell>
          <cell r="W563">
            <v>400</v>
          </cell>
          <cell r="AA563">
            <v>480</v>
          </cell>
          <cell r="AB563">
            <v>200</v>
          </cell>
          <cell r="AC563">
            <v>22</v>
          </cell>
          <cell r="AD563">
            <v>1</v>
          </cell>
          <cell r="AF563" t="str">
            <v>2005est</v>
          </cell>
          <cell r="AH563" t="str">
            <v>Bruce Norton</v>
          </cell>
          <cell r="AI563" t="str">
            <v>WC</v>
          </cell>
        </row>
        <row r="564">
          <cell r="E564" t="str">
            <v>W0046348</v>
          </cell>
          <cell r="F564" t="str">
            <v>Walpole WTP</v>
          </cell>
          <cell r="G564" t="str">
            <v>DB</v>
          </cell>
          <cell r="H564" t="str">
            <v>Mirofiltration MCC</v>
          </cell>
          <cell r="J564" t="str">
            <v>Light and power DB</v>
          </cell>
          <cell r="K564" t="str">
            <v>JE04-40-03</v>
          </cell>
          <cell r="L564" t="str">
            <v>Kounis SIVACON</v>
          </cell>
          <cell r="O564">
            <v>415</v>
          </cell>
          <cell r="S564" t="str">
            <v>PVC V90</v>
          </cell>
          <cell r="T564" t="str">
            <v>95mm2</v>
          </cell>
          <cell r="AA564">
            <v>415</v>
          </cell>
          <cell r="AB564">
            <v>100</v>
          </cell>
          <cell r="AH564" t="str">
            <v>Bruce Norton</v>
          </cell>
          <cell r="AI564" t="str">
            <v>WC</v>
          </cell>
        </row>
        <row r="565">
          <cell r="E565" t="str">
            <v>S001-001-023</v>
          </cell>
          <cell r="F565" t="str">
            <v>Woodman Point WWTP</v>
          </cell>
          <cell r="G565" t="str">
            <v>VSC42006</v>
          </cell>
          <cell r="H565" t="str">
            <v>MC-50101</v>
          </cell>
          <cell r="I565" t="str">
            <v>S1001677</v>
          </cell>
          <cell r="J565" t="str">
            <v>500kW Aeration blower No1 VSC</v>
          </cell>
          <cell r="K565" t="str">
            <v>FL45-45-11.1</v>
          </cell>
          <cell r="AA565">
            <v>415</v>
          </cell>
          <cell r="AG565">
            <v>2</v>
          </cell>
          <cell r="AH565" t="str">
            <v>Peter Haris</v>
          </cell>
        </row>
        <row r="566">
          <cell r="E566" t="str">
            <v>S001-001-023</v>
          </cell>
          <cell r="F566" t="str">
            <v>Woodman Point WWTP</v>
          </cell>
          <cell r="G566" t="str">
            <v>VSC42008</v>
          </cell>
          <cell r="H566" t="str">
            <v>MC-50101</v>
          </cell>
          <cell r="I566" t="str">
            <v>S1001703</v>
          </cell>
          <cell r="J566" t="str">
            <v>500kW Aeration blower No3 VSC</v>
          </cell>
          <cell r="K566" t="str">
            <v>FL45-45-11.1</v>
          </cell>
          <cell r="AG566">
            <v>2</v>
          </cell>
          <cell r="AH566" t="str">
            <v>Peter Haris</v>
          </cell>
        </row>
        <row r="567">
          <cell r="E567" t="str">
            <v>S001-001-023</v>
          </cell>
          <cell r="F567" t="str">
            <v>Woodman Point WWTP</v>
          </cell>
          <cell r="G567" t="str">
            <v>VSC42010</v>
          </cell>
          <cell r="H567" t="str">
            <v>MC-50101</v>
          </cell>
          <cell r="I567" t="str">
            <v>S1001729</v>
          </cell>
          <cell r="J567" t="str">
            <v>500kW Aeration blower No5 VSC</v>
          </cell>
          <cell r="K567" t="str">
            <v>FL45-45-11.1</v>
          </cell>
          <cell r="AG567">
            <v>2</v>
          </cell>
          <cell r="AH567" t="str">
            <v>Peter Haris</v>
          </cell>
        </row>
        <row r="568">
          <cell r="E568" t="str">
            <v>S001-001-023</v>
          </cell>
          <cell r="F568" t="str">
            <v>Woodman Point WWTP</v>
          </cell>
          <cell r="G568" t="str">
            <v>VSC42007</v>
          </cell>
          <cell r="H568" t="str">
            <v>MC-50102</v>
          </cell>
          <cell r="I568" t="str">
            <v>S1001690</v>
          </cell>
          <cell r="J568" t="str">
            <v>500kW Aeration blower No2 VSC</v>
          </cell>
          <cell r="K568" t="str">
            <v>FL45-45-12.1</v>
          </cell>
          <cell r="AG568">
            <v>2</v>
          </cell>
          <cell r="AH568" t="str">
            <v>Peter Haris</v>
          </cell>
        </row>
        <row r="569">
          <cell r="E569" t="str">
            <v>S001-001-023</v>
          </cell>
          <cell r="F569" t="str">
            <v>Woodman Point WWTP</v>
          </cell>
          <cell r="G569" t="str">
            <v>VSC42009</v>
          </cell>
          <cell r="H569" t="str">
            <v>MC-50102</v>
          </cell>
          <cell r="I569" t="str">
            <v>S1001716</v>
          </cell>
          <cell r="J569" t="str">
            <v>500kW Aeration blower No4 VSC</v>
          </cell>
          <cell r="K569" t="str">
            <v>FL45-45-12.1</v>
          </cell>
          <cell r="AG569">
            <v>2</v>
          </cell>
          <cell r="AH569" t="str">
            <v>Peter Haris</v>
          </cell>
        </row>
        <row r="570">
          <cell r="E570" t="str">
            <v>S001-001-023</v>
          </cell>
          <cell r="F570" t="str">
            <v>Woodman Point WWTP</v>
          </cell>
          <cell r="G570" t="str">
            <v>VSC 02001</v>
          </cell>
          <cell r="H570" t="str">
            <v>MC60101</v>
          </cell>
          <cell r="I570" t="str">
            <v>S1001403</v>
          </cell>
          <cell r="J570" t="str">
            <v>90kW Reclaimed Effluent Pump VSC</v>
          </cell>
          <cell r="K570" t="str">
            <v>FL45-46-21</v>
          </cell>
          <cell r="AG570">
            <v>2</v>
          </cell>
          <cell r="AH570" t="str">
            <v>Peter Haris</v>
          </cell>
        </row>
        <row r="571">
          <cell r="E571" t="str">
            <v>S001-001-023</v>
          </cell>
          <cell r="F571" t="str">
            <v>Woodman Point WWTP</v>
          </cell>
          <cell r="G571" t="str">
            <v>VSC 02002</v>
          </cell>
          <cell r="H571" t="str">
            <v>MC60101</v>
          </cell>
          <cell r="I571" t="str">
            <v>S1001405</v>
          </cell>
          <cell r="J571" t="str">
            <v>90kW Reclaimed Effluent Pump VSC</v>
          </cell>
          <cell r="K571" t="str">
            <v>FL45-46-22</v>
          </cell>
          <cell r="AG571">
            <v>2</v>
          </cell>
          <cell r="AH571" t="str">
            <v>Peter Haris</v>
          </cell>
        </row>
        <row r="572">
          <cell r="E572" t="str">
            <v>S001-001-023</v>
          </cell>
          <cell r="F572" t="str">
            <v>Woodman Point WWTP</v>
          </cell>
          <cell r="G572" t="str">
            <v>VSC 02003</v>
          </cell>
          <cell r="H572" t="str">
            <v>MC60101</v>
          </cell>
          <cell r="I572" t="str">
            <v>S1001407</v>
          </cell>
          <cell r="J572" t="str">
            <v>90kW Reclaimed Effluent Pump VSC</v>
          </cell>
          <cell r="K572" t="str">
            <v>FL45-46-23</v>
          </cell>
          <cell r="AG572">
            <v>2</v>
          </cell>
          <cell r="AH572" t="str">
            <v>Peter Haris</v>
          </cell>
        </row>
        <row r="573">
          <cell r="E573" t="str">
            <v>S001-001-023</v>
          </cell>
          <cell r="F573" t="str">
            <v>Woodman Point WWTP</v>
          </cell>
          <cell r="J573" t="str">
            <v>Primary Treatment MCC</v>
          </cell>
          <cell r="AG573">
            <v>2</v>
          </cell>
          <cell r="AH573" t="str">
            <v>Peter Haris</v>
          </cell>
        </row>
        <row r="574">
          <cell r="E574" t="str">
            <v>S001-001-023</v>
          </cell>
          <cell r="F574" t="str">
            <v>Woodman Point WWTP</v>
          </cell>
          <cell r="G574" t="str">
            <v>MC20101</v>
          </cell>
          <cell r="H574" t="str">
            <v>SUBP</v>
          </cell>
          <cell r="I574" t="str">
            <v>S1001482</v>
          </cell>
          <cell r="J574" t="str">
            <v>Inlet Works MCC 1</v>
          </cell>
          <cell r="K574" t="str">
            <v>IM36-55-2</v>
          </cell>
          <cell r="AG574">
            <v>2</v>
          </cell>
          <cell r="AH574" t="str">
            <v>Peter Haris</v>
          </cell>
        </row>
        <row r="575">
          <cell r="E575" t="str">
            <v>S001-001-023</v>
          </cell>
          <cell r="F575" t="str">
            <v>Woodman Point WWTP</v>
          </cell>
          <cell r="G575" t="str">
            <v>MC20102</v>
          </cell>
          <cell r="H575" t="str">
            <v>SUBP</v>
          </cell>
          <cell r="J575" t="str">
            <v>Inlet Works MCC 2</v>
          </cell>
          <cell r="K575" t="str">
            <v>IM36-55-3</v>
          </cell>
          <cell r="AG575">
            <v>2</v>
          </cell>
          <cell r="AH575" t="str">
            <v>Peter Haris</v>
          </cell>
        </row>
        <row r="576">
          <cell r="E576" t="str">
            <v>S001-001-018</v>
          </cell>
          <cell r="F576" t="str">
            <v>Subiaco WWTP</v>
          </cell>
          <cell r="G576" t="str">
            <v>MCC4906</v>
          </cell>
          <cell r="H576" t="str">
            <v>PDS4905</v>
          </cell>
          <cell r="J576" t="str">
            <v>200A Blower House Secondary Clarifier Reuse</v>
          </cell>
          <cell r="K576" t="str">
            <v>17375-44-47</v>
          </cell>
          <cell r="AG576" t="str">
            <v>3I</v>
          </cell>
          <cell r="AJ576" t="str">
            <v>Check if still exists</v>
          </cell>
        </row>
        <row r="577">
          <cell r="E577" t="str">
            <v>S001-001-018</v>
          </cell>
          <cell r="F577" t="str">
            <v>Subiaco WWTP</v>
          </cell>
          <cell r="G577" t="str">
            <v>MCC4907</v>
          </cell>
          <cell r="H577" t="str">
            <v>PDS4905</v>
          </cell>
          <cell r="I577" t="str">
            <v>S0002275</v>
          </cell>
          <cell r="J577" t="str">
            <v>200A Blower House miscellaneous machinery</v>
          </cell>
          <cell r="K577" t="str">
            <v>17375-44-007</v>
          </cell>
          <cell r="AG577">
            <v>2</v>
          </cell>
        </row>
        <row r="578">
          <cell r="E578" t="str">
            <v>S001-001-018</v>
          </cell>
          <cell r="F578" t="str">
            <v>Subiaco WWTP</v>
          </cell>
          <cell r="G578" t="str">
            <v>MCC1901</v>
          </cell>
          <cell r="H578">
            <v>8903</v>
          </cell>
          <cell r="J578" t="str">
            <v>Chlorination MCC1901</v>
          </cell>
          <cell r="K578" t="str">
            <v>17375-41-31</v>
          </cell>
          <cell r="AG578" t="str">
            <v>3I</v>
          </cell>
          <cell r="AJ578" t="str">
            <v>Check if still exists</v>
          </cell>
        </row>
        <row r="579">
          <cell r="E579" t="str">
            <v>S001-001-018</v>
          </cell>
          <cell r="F579" t="str">
            <v>Subiaco WWTP</v>
          </cell>
          <cell r="G579" t="str">
            <v>MCC2901</v>
          </cell>
          <cell r="H579">
            <v>8903</v>
          </cell>
          <cell r="I579" t="str">
            <v>S0002925</v>
          </cell>
          <cell r="J579" t="str">
            <v>Pre Treatment Facilities MCC2901</v>
          </cell>
          <cell r="K579" t="str">
            <v>17375-42-2</v>
          </cell>
          <cell r="AJ579" t="str">
            <v>will be decommissoned as part of the 67 ML/D upgrade</v>
          </cell>
        </row>
        <row r="580">
          <cell r="E580" t="str">
            <v>S001-001-018</v>
          </cell>
          <cell r="F580" t="str">
            <v>Subiaco WWTP</v>
          </cell>
          <cell r="G580" t="str">
            <v>MCC3901</v>
          </cell>
          <cell r="H580">
            <v>8903</v>
          </cell>
          <cell r="I580" t="str">
            <v>S0002092</v>
          </cell>
          <cell r="J580" t="str">
            <v>Raw Sludge PS</v>
          </cell>
          <cell r="K580" t="str">
            <v>17375-43-1</v>
          </cell>
          <cell r="AG580">
            <v>2</v>
          </cell>
        </row>
        <row r="581">
          <cell r="E581" t="str">
            <v xml:space="preserve">S0025532 </v>
          </cell>
          <cell r="F581" t="str">
            <v>Broome No5 WWPS</v>
          </cell>
          <cell r="H581" t="str">
            <v>Supply Auth HP</v>
          </cell>
          <cell r="I581" t="str">
            <v>S0025536</v>
          </cell>
          <cell r="J581" t="str">
            <v>No5 WWPS msb</v>
          </cell>
          <cell r="K581" t="str">
            <v>GP54-041-005</v>
          </cell>
          <cell r="M581">
            <v>200</v>
          </cell>
          <cell r="N581">
            <v>22</v>
          </cell>
          <cell r="O581">
            <v>415</v>
          </cell>
          <cell r="V581" t="str">
            <v>SPD</v>
          </cell>
          <cell r="W581">
            <v>400</v>
          </cell>
          <cell r="AA581">
            <v>415</v>
          </cell>
          <cell r="AF581">
            <v>2004</v>
          </cell>
          <cell r="AG581" t="str">
            <v>3B</v>
          </cell>
        </row>
        <row r="582">
          <cell r="E582" t="str">
            <v>S001-001-018</v>
          </cell>
          <cell r="F582" t="str">
            <v>Subiaco WWTP</v>
          </cell>
          <cell r="G582" t="str">
            <v>MCC8904</v>
          </cell>
          <cell r="H582" t="str">
            <v>PDS8903</v>
          </cell>
          <cell r="J582" t="str">
            <v>sludge handling</v>
          </cell>
          <cell r="K582" t="str">
            <v>17375-48-3</v>
          </cell>
          <cell r="M582">
            <v>1000</v>
          </cell>
          <cell r="N582">
            <v>3.3</v>
          </cell>
          <cell r="O582">
            <v>440</v>
          </cell>
          <cell r="V582" t="str">
            <v>MFS</v>
          </cell>
          <cell r="W582">
            <v>400</v>
          </cell>
          <cell r="AA582">
            <v>440</v>
          </cell>
          <cell r="AG582" t="str">
            <v>3B</v>
          </cell>
        </row>
        <row r="583">
          <cell r="E583" t="str">
            <v>S001-001-018</v>
          </cell>
          <cell r="F583" t="str">
            <v>Subiaco WWTP</v>
          </cell>
          <cell r="G583" t="str">
            <v>MCC6901</v>
          </cell>
          <cell r="H583" t="str">
            <v>PDS8903</v>
          </cell>
          <cell r="J583" t="str">
            <v>machinery house</v>
          </cell>
          <cell r="K583" t="str">
            <v>17375-46-1</v>
          </cell>
          <cell r="M583">
            <v>1000</v>
          </cell>
          <cell r="N583">
            <v>3.3</v>
          </cell>
          <cell r="O583">
            <v>440</v>
          </cell>
          <cell r="V583" t="str">
            <v>MFS</v>
          </cell>
          <cell r="W583">
            <v>315</v>
          </cell>
          <cell r="AA583">
            <v>440</v>
          </cell>
          <cell r="AG583" t="str">
            <v>3B</v>
          </cell>
        </row>
        <row r="584">
          <cell r="E584" t="str">
            <v>S001-001-018</v>
          </cell>
          <cell r="F584" t="str">
            <v>Subiaco WWTP</v>
          </cell>
          <cell r="G584" t="str">
            <v>MCC6902</v>
          </cell>
          <cell r="H584" t="str">
            <v>PDS8903</v>
          </cell>
          <cell r="J584" t="str">
            <v>machinery house</v>
          </cell>
          <cell r="K584" t="str">
            <v>17375-46-6</v>
          </cell>
          <cell r="M584">
            <v>1000</v>
          </cell>
          <cell r="N584">
            <v>3.3</v>
          </cell>
          <cell r="O584">
            <v>440</v>
          </cell>
          <cell r="V584" t="str">
            <v>MFS</v>
          </cell>
          <cell r="W584">
            <v>315</v>
          </cell>
          <cell r="AA584">
            <v>440</v>
          </cell>
          <cell r="AG584" t="str">
            <v>3B</v>
          </cell>
        </row>
        <row r="585">
          <cell r="E585" t="str">
            <v>S001-001-018</v>
          </cell>
          <cell r="F585" t="str">
            <v>Subiaco WWTP</v>
          </cell>
          <cell r="G585" t="str">
            <v>MCC3902</v>
          </cell>
          <cell r="H585">
            <v>8903</v>
          </cell>
          <cell r="I585" t="str">
            <v>S0002093</v>
          </cell>
          <cell r="J585" t="str">
            <v>Raw sludge PS</v>
          </cell>
          <cell r="K585" t="str">
            <v>17375-43-6</v>
          </cell>
          <cell r="AG585">
            <v>2</v>
          </cell>
        </row>
        <row r="586">
          <cell r="E586" t="str">
            <v>S001-001-018</v>
          </cell>
          <cell r="F586" t="str">
            <v>Subiaco WWTP</v>
          </cell>
          <cell r="G586" t="str">
            <v>MCC2902</v>
          </cell>
          <cell r="H586">
            <v>8903</v>
          </cell>
          <cell r="I586" t="str">
            <v>S0002926</v>
          </cell>
          <cell r="J586" t="str">
            <v>pretreatment facilities MCC2902</v>
          </cell>
          <cell r="K586" t="str">
            <v>17375-42-5</v>
          </cell>
          <cell r="AJ586" t="str">
            <v>will be decommissoned as part of the 67 ML/D upgrade</v>
          </cell>
        </row>
        <row r="587">
          <cell r="E587" t="str">
            <v>S001-001-018</v>
          </cell>
          <cell r="F587" t="str">
            <v>Subiaco WWTP</v>
          </cell>
          <cell r="G587" t="str">
            <v>MCC1902</v>
          </cell>
          <cell r="H587">
            <v>8903</v>
          </cell>
          <cell r="J587" t="str">
            <v>Chlorination MCC1902</v>
          </cell>
          <cell r="K587" t="str">
            <v>17375-41-33</v>
          </cell>
          <cell r="AG587" t="str">
            <v>3I</v>
          </cell>
          <cell r="AJ587" t="str">
            <v>Check if still exists</v>
          </cell>
        </row>
        <row r="588">
          <cell r="E588" t="str">
            <v>S001-001-018</v>
          </cell>
          <cell r="F588" t="str">
            <v>Subiaco WWTP</v>
          </cell>
          <cell r="G588" t="str">
            <v>MCC5921</v>
          </cell>
          <cell r="H588" t="str">
            <v>PDS4905</v>
          </cell>
          <cell r="J588" t="str">
            <v>800A Return and excess PS</v>
          </cell>
          <cell r="K588" t="str">
            <v>17375-45-601</v>
          </cell>
          <cell r="AG588" t="str">
            <v>3I</v>
          </cell>
          <cell r="AJ588" t="str">
            <v>Not yet Installed - part of 67ML/D upgrade</v>
          </cell>
        </row>
        <row r="589">
          <cell r="E589" t="str">
            <v>S001-001-018</v>
          </cell>
          <cell r="F589" t="str">
            <v>Subiaco WWTP</v>
          </cell>
          <cell r="G589" t="str">
            <v>MCC5922</v>
          </cell>
          <cell r="H589" t="str">
            <v>PDS4905</v>
          </cell>
          <cell r="J589" t="str">
            <v>800A Return and excess PS MCC5922</v>
          </cell>
          <cell r="K589" t="str">
            <v>17375-45-602</v>
          </cell>
          <cell r="AG589" t="str">
            <v>3I</v>
          </cell>
          <cell r="AJ589" t="str">
            <v>Not yet Installed - part of 67ML/D upgrade</v>
          </cell>
        </row>
        <row r="590">
          <cell r="E590" t="str">
            <v>S001-001-018</v>
          </cell>
          <cell r="F590" t="str">
            <v>Subiaco WWTP</v>
          </cell>
          <cell r="G590" t="str">
            <v>MCC8905</v>
          </cell>
          <cell r="H590" t="str">
            <v>PDS8903</v>
          </cell>
          <cell r="J590" t="str">
            <v>sludge handling MCC8905</v>
          </cell>
          <cell r="K590" t="str">
            <v>17375-48-13</v>
          </cell>
          <cell r="M590">
            <v>1000</v>
          </cell>
          <cell r="N590">
            <v>3.3</v>
          </cell>
          <cell r="O590">
            <v>440</v>
          </cell>
          <cell r="V590" t="str">
            <v>MFS</v>
          </cell>
          <cell r="W590">
            <v>400</v>
          </cell>
          <cell r="AA590">
            <v>440</v>
          </cell>
          <cell r="AG590" t="str">
            <v>3B</v>
          </cell>
        </row>
        <row r="591">
          <cell r="E591" t="str">
            <v>S001-001-018</v>
          </cell>
          <cell r="F591" t="str">
            <v>Subiaco WWTP</v>
          </cell>
          <cell r="G591" t="str">
            <v>MCC5951</v>
          </cell>
          <cell r="H591" t="str">
            <v>PDS4905</v>
          </cell>
          <cell r="J591" t="str">
            <v>Final Effluent PS MCC5951</v>
          </cell>
          <cell r="K591" t="str">
            <v>17375-45-03</v>
          </cell>
          <cell r="AG591" t="str">
            <v>g</v>
          </cell>
        </row>
        <row r="592">
          <cell r="E592" t="str">
            <v>S001-001-018</v>
          </cell>
          <cell r="F592" t="str">
            <v>Subiaco WWTP</v>
          </cell>
          <cell r="G592" t="str">
            <v>MCC5952</v>
          </cell>
          <cell r="H592" t="str">
            <v>PDS4905</v>
          </cell>
          <cell r="J592" t="str">
            <v>Final Effluent PS MCC5952</v>
          </cell>
          <cell r="K592" t="str">
            <v>17375-45-03</v>
          </cell>
          <cell r="AG592" t="str">
            <v>g</v>
          </cell>
        </row>
        <row r="593">
          <cell r="F593" t="str">
            <v>Point Peron WWTP</v>
          </cell>
          <cell r="G593" t="str">
            <v>?SB1?</v>
          </cell>
          <cell r="H593" t="str">
            <v>Padmount Tx</v>
          </cell>
          <cell r="J593" t="str">
            <v>Plant Main SB</v>
          </cell>
          <cell r="K593" t="str">
            <v>??</v>
          </cell>
          <cell r="M593">
            <v>630</v>
          </cell>
          <cell r="N593">
            <v>22</v>
          </cell>
          <cell r="O593">
            <v>440</v>
          </cell>
          <cell r="AG593">
            <v>1</v>
          </cell>
          <cell r="AH593" t="str">
            <v>Chris Cooper</v>
          </cell>
          <cell r="AI593" t="str">
            <v>Arroona Alliance</v>
          </cell>
          <cell r="AJ593" t="str">
            <v>Arc Flash assessment req'd by PM in May 2014</v>
          </cell>
        </row>
        <row r="594">
          <cell r="E594" t="str">
            <v>S001-001-018</v>
          </cell>
          <cell r="F594" t="str">
            <v>Subiaco WWTP</v>
          </cell>
          <cell r="H594" t="str">
            <v>MCC6101</v>
          </cell>
          <cell r="J594" t="str">
            <v>800A Irigation PS Main SB</v>
          </cell>
          <cell r="K594" t="str">
            <v>17375-45-20</v>
          </cell>
          <cell r="O594">
            <v>415</v>
          </cell>
          <cell r="V594" t="str">
            <v>MFS</v>
          </cell>
          <cell r="W594">
            <v>800</v>
          </cell>
          <cell r="AA594">
            <v>415</v>
          </cell>
          <cell r="AB594">
            <v>1000</v>
          </cell>
          <cell r="AC594">
            <v>18</v>
          </cell>
          <cell r="AG594" t="str">
            <v>3B</v>
          </cell>
        </row>
        <row r="595">
          <cell r="E595" t="str">
            <v>W0045264</v>
          </cell>
          <cell r="F595" t="str">
            <v>Australind WTP - Old Coast Rd</v>
          </cell>
          <cell r="G595" t="str">
            <v>Bore 1/82</v>
          </cell>
          <cell r="H595" t="str">
            <v>Incomer SB</v>
          </cell>
          <cell r="J595" t="str">
            <v>Bore 1/82 control cubicle</v>
          </cell>
          <cell r="K595" t="str">
            <v>CV53-42-1.1</v>
          </cell>
          <cell r="M595">
            <v>500</v>
          </cell>
          <cell r="N595">
            <v>22</v>
          </cell>
          <cell r="O595">
            <v>440</v>
          </cell>
          <cell r="V595" t="str">
            <v>MCB</v>
          </cell>
          <cell r="W595">
            <v>125</v>
          </cell>
          <cell r="AA595">
            <v>415</v>
          </cell>
          <cell r="AG595" t="str">
            <v>3B</v>
          </cell>
        </row>
        <row r="596">
          <cell r="E596" t="str">
            <v>W0045264</v>
          </cell>
          <cell r="F596" t="str">
            <v>Australind WTP - Old Coast Rd</v>
          </cell>
          <cell r="G596" t="str">
            <v>Chlorination DB</v>
          </cell>
          <cell r="H596" t="str">
            <v>Incomer SB</v>
          </cell>
          <cell r="J596" t="str">
            <v>Chlorination Building DB</v>
          </cell>
          <cell r="K596" t="str">
            <v>CV53-42-1.1</v>
          </cell>
          <cell r="M596">
            <v>500</v>
          </cell>
          <cell r="N596">
            <v>22</v>
          </cell>
          <cell r="O596">
            <v>440</v>
          </cell>
          <cell r="V596" t="str">
            <v>MCB</v>
          </cell>
          <cell r="W596">
            <v>40</v>
          </cell>
          <cell r="AA596">
            <v>415</v>
          </cell>
          <cell r="AG596" t="str">
            <v>3B</v>
          </cell>
        </row>
        <row r="597">
          <cell r="E597" t="str">
            <v>W0045264</v>
          </cell>
          <cell r="F597" t="str">
            <v>Australind WTP - Old Coast Rd</v>
          </cell>
          <cell r="G597" t="str">
            <v>Bore 1/06</v>
          </cell>
          <cell r="H597" t="str">
            <v>Incomer SB</v>
          </cell>
          <cell r="J597" t="str">
            <v>Bore 1/06 switchboard</v>
          </cell>
          <cell r="K597" t="str">
            <v>CV53-42-1.5</v>
          </cell>
          <cell r="M597">
            <v>500</v>
          </cell>
          <cell r="N597">
            <v>22</v>
          </cell>
          <cell r="O597">
            <v>440</v>
          </cell>
          <cell r="V597" t="str">
            <v>MCB</v>
          </cell>
          <cell r="W597">
            <v>400</v>
          </cell>
          <cell r="AA597">
            <v>415</v>
          </cell>
          <cell r="AG597" t="str">
            <v>3B</v>
          </cell>
        </row>
        <row r="598">
          <cell r="E598" t="str">
            <v>S092-001-003</v>
          </cell>
          <cell r="F598" t="str">
            <v>Manjimup WWTP</v>
          </cell>
          <cell r="H598" t="str">
            <v>Pole Mount Tx</v>
          </cell>
          <cell r="I598" t="str">
            <v>S8000203</v>
          </cell>
          <cell r="J598" t="str">
            <v>Main Switchbaord</v>
          </cell>
          <cell r="K598" t="str">
            <v>ED06-43-5.1</v>
          </cell>
          <cell r="M598">
            <v>200</v>
          </cell>
          <cell r="O598">
            <v>415</v>
          </cell>
          <cell r="S598" t="str">
            <v>PVC/PVC</v>
          </cell>
          <cell r="T598" t="str">
            <v>240mm2</v>
          </cell>
          <cell r="V598" t="str">
            <v>MI</v>
          </cell>
          <cell r="W598">
            <v>250</v>
          </cell>
          <cell r="AA598">
            <v>415</v>
          </cell>
          <cell r="AG598" t="str">
            <v>3B</v>
          </cell>
          <cell r="AH598" t="str">
            <v>Ian Oswald</v>
          </cell>
          <cell r="AI598" t="str">
            <v>WC</v>
          </cell>
          <cell r="AJ598" t="str">
            <v>recommended for stage 3</v>
          </cell>
        </row>
        <row r="599">
          <cell r="E599" t="str">
            <v>S092-001-003</v>
          </cell>
          <cell r="F599" t="str">
            <v>Manjimup WWTP</v>
          </cell>
          <cell r="H599" t="str">
            <v>Main Switchboard</v>
          </cell>
          <cell r="J599" t="str">
            <v>Plant Switchbaord (Pole Mounted)</v>
          </cell>
          <cell r="K599" t="str">
            <v>ED06-41-4.1</v>
          </cell>
          <cell r="M599">
            <v>200</v>
          </cell>
          <cell r="O599">
            <v>415</v>
          </cell>
          <cell r="V599" t="str">
            <v>MCB</v>
          </cell>
          <cell r="W599">
            <v>63</v>
          </cell>
          <cell r="AA599">
            <v>415</v>
          </cell>
          <cell r="AG599" t="str">
            <v>3B</v>
          </cell>
          <cell r="AH599" t="str">
            <v>Ian Oswald</v>
          </cell>
          <cell r="AI599" t="str">
            <v>WC</v>
          </cell>
        </row>
        <row r="600">
          <cell r="E600" t="str">
            <v>S092-001-003</v>
          </cell>
          <cell r="F600" t="str">
            <v>Manjimup WWTP</v>
          </cell>
          <cell r="H600" t="str">
            <v>Main Switchboard</v>
          </cell>
          <cell r="I600" t="str">
            <v>S8106300</v>
          </cell>
          <cell r="J600" t="str">
            <v>Dosing Pump Swtichboard</v>
          </cell>
          <cell r="K600" t="str">
            <v>ED06-41-5.1</v>
          </cell>
          <cell r="M600">
            <v>200</v>
          </cell>
          <cell r="O600">
            <v>415</v>
          </cell>
          <cell r="V600" t="str">
            <v>MCB</v>
          </cell>
          <cell r="W600">
            <v>32</v>
          </cell>
          <cell r="AA600">
            <v>415</v>
          </cell>
          <cell r="AF600">
            <v>1998</v>
          </cell>
          <cell r="AG600" t="str">
            <v>3B</v>
          </cell>
          <cell r="AH600" t="str">
            <v>Ian Oswald</v>
          </cell>
          <cell r="AI600" t="str">
            <v>WC</v>
          </cell>
        </row>
        <row r="601">
          <cell r="E601" t="str">
            <v>S092-001-003</v>
          </cell>
          <cell r="F601" t="str">
            <v>Manjimup WWTP</v>
          </cell>
          <cell r="H601" t="str">
            <v>Main Switchboard</v>
          </cell>
          <cell r="I601" t="str">
            <v>S8006642</v>
          </cell>
          <cell r="J601" t="str">
            <v>Effluent Transfer PS switchboard</v>
          </cell>
          <cell r="K601" t="str">
            <v>ED06-41-11.1</v>
          </cell>
          <cell r="S601" t="str">
            <v>PVC/PVC</v>
          </cell>
          <cell r="T601" t="str">
            <v>120mm2</v>
          </cell>
          <cell r="AA601">
            <v>415</v>
          </cell>
          <cell r="AF601">
            <v>1997</v>
          </cell>
          <cell r="AG601" t="str">
            <v>3B</v>
          </cell>
          <cell r="AH601" t="str">
            <v>Ian Oswald</v>
          </cell>
          <cell r="AI601" t="str">
            <v>WC</v>
          </cell>
        </row>
        <row r="602">
          <cell r="E602" t="str">
            <v>C0036742</v>
          </cell>
          <cell r="F602" t="str">
            <v>Depot</v>
          </cell>
          <cell r="H602" t="str">
            <v>Kiosk Substation No#1 Tx</v>
          </cell>
          <cell r="J602" t="str">
            <v>Kiosk Substation #1 LV Distribution Board</v>
          </cell>
          <cell r="K602" t="str">
            <v>BW68-20-0.1</v>
          </cell>
          <cell r="AG602">
            <v>2</v>
          </cell>
          <cell r="AH602" t="str">
            <v>Dave Sutton</v>
          </cell>
          <cell r="AI602" t="str">
            <v>WC</v>
          </cell>
        </row>
        <row r="603">
          <cell r="E603" t="str">
            <v>W0046235</v>
          </cell>
          <cell r="F603" t="str">
            <v>Pemberton WTP</v>
          </cell>
          <cell r="H603" t="str">
            <v>Kiosk Enclosure Main SB</v>
          </cell>
          <cell r="J603" t="str">
            <v>Existing MCC</v>
          </cell>
          <cell r="K603" t="str">
            <v>46582-3-1</v>
          </cell>
          <cell r="M603">
            <v>500</v>
          </cell>
          <cell r="AG603">
            <v>2</v>
          </cell>
          <cell r="AH603" t="str">
            <v>Ian Oswald</v>
          </cell>
          <cell r="AI603" t="str">
            <v>WC</v>
          </cell>
        </row>
        <row r="604">
          <cell r="E604" t="str">
            <v>W1004408</v>
          </cell>
          <cell r="F604" t="str">
            <v>Stirling Dam Trunk Main Chemical Dosing Plant</v>
          </cell>
          <cell r="H604" t="str">
            <v>Pole Mounted Tx</v>
          </cell>
          <cell r="J604" t="str">
            <v>Main Switchboard</v>
          </cell>
          <cell r="K604" t="str">
            <v>FB36-40-1.1</v>
          </cell>
          <cell r="M604">
            <v>630</v>
          </cell>
          <cell r="N604">
            <v>22</v>
          </cell>
          <cell r="O604">
            <v>415</v>
          </cell>
          <cell r="AA604">
            <v>415</v>
          </cell>
          <cell r="AE604">
            <v>10.6</v>
          </cell>
          <cell r="AG604">
            <v>2</v>
          </cell>
          <cell r="AH604" t="str">
            <v>Craig Warner</v>
          </cell>
          <cell r="AI604" t="str">
            <v>Aroona Alliance</v>
          </cell>
        </row>
        <row r="605">
          <cell r="F605" t="str">
            <v>West Island</v>
          </cell>
          <cell r="H605" t="str">
            <v>Multiple Generators</v>
          </cell>
          <cell r="J605" t="str">
            <v>Power House "C" LV Main SB</v>
          </cell>
          <cell r="K605" t="str">
            <v>IJ94-41-5</v>
          </cell>
          <cell r="AG605" t="str">
            <v>COCOS</v>
          </cell>
        </row>
        <row r="606">
          <cell r="E606" t="str">
            <v>W0034842</v>
          </cell>
          <cell r="F606" t="str">
            <v>Visser St Reservoir</v>
          </cell>
          <cell r="J606" t="str">
            <v>Chlorination SB</v>
          </cell>
          <cell r="K606" t="str">
            <v>IC97-43-1</v>
          </cell>
          <cell r="O606">
            <v>415</v>
          </cell>
          <cell r="AH606" t="str">
            <v>Dave Sutton</v>
          </cell>
          <cell r="AI606" t="str">
            <v>WC</v>
          </cell>
        </row>
        <row r="607">
          <cell r="E607" t="str">
            <v>S092-001-003</v>
          </cell>
          <cell r="F607" t="str">
            <v>Manjimup WWTP</v>
          </cell>
          <cell r="H607" t="str">
            <v>Effluent Transfer PS switchboard</v>
          </cell>
          <cell r="I607" t="str">
            <v>S8014194</v>
          </cell>
          <cell r="J607" t="str">
            <v>Chlorination Switchboard</v>
          </cell>
          <cell r="K607" t="str">
            <v>EE64-41-2.1</v>
          </cell>
          <cell r="S607" t="str">
            <v>PVC/PVC</v>
          </cell>
          <cell r="T607" t="str">
            <v>16mm2</v>
          </cell>
          <cell r="V607" t="str">
            <v>CSCB</v>
          </cell>
          <cell r="W607">
            <v>25</v>
          </cell>
          <cell r="AA607">
            <v>415</v>
          </cell>
          <cell r="AF607">
            <v>2011</v>
          </cell>
          <cell r="AG607" t="str">
            <v>3B</v>
          </cell>
          <cell r="AH607" t="str">
            <v>Ian Oswald</v>
          </cell>
          <cell r="AI607" t="str">
            <v>WC</v>
          </cell>
        </row>
        <row r="608">
          <cell r="E608" t="str">
            <v>S0033360</v>
          </cell>
          <cell r="F608" t="str">
            <v>Anaconda Drive SPS</v>
          </cell>
          <cell r="H608" t="str">
            <v>Mains Changeover Switch</v>
          </cell>
          <cell r="I608" t="str">
            <v>SZ005568</v>
          </cell>
          <cell r="J608" t="str">
            <v>415V AUX Distribution Board</v>
          </cell>
          <cell r="K608" t="str">
            <v>AO15-40-1.2</v>
          </cell>
          <cell r="S608" t="str">
            <v>PVC/PVC</v>
          </cell>
          <cell r="T608" t="str">
            <v>16mm2</v>
          </cell>
          <cell r="W608">
            <v>225</v>
          </cell>
          <cell r="AG608" t="str">
            <v>3B</v>
          </cell>
          <cell r="AH608" t="str">
            <v>Dave Sutton</v>
          </cell>
          <cell r="AI608" t="str">
            <v>WC</v>
          </cell>
          <cell r="AJ608" t="str">
            <v>Small 25kVA LV swbd  added 3.10.2013</v>
          </cell>
        </row>
        <row r="609">
          <cell r="E609" t="str">
            <v>S0030922</v>
          </cell>
          <cell r="F609" t="str">
            <v>SPS PERTH CENTRAL PERTH</v>
          </cell>
          <cell r="H609" t="str">
            <v>Supply Auth</v>
          </cell>
          <cell r="I609" t="str">
            <v>S2018392</v>
          </cell>
          <cell r="J609" t="str">
            <v>Metering Switcvhboard</v>
          </cell>
          <cell r="K609" t="str">
            <v>AU91-41-3</v>
          </cell>
          <cell r="M609">
            <v>315</v>
          </cell>
          <cell r="AF609">
            <v>1989</v>
          </cell>
          <cell r="AG609" t="str">
            <v>3A</v>
          </cell>
          <cell r="AH609" t="str">
            <v>Dave Sutton</v>
          </cell>
          <cell r="AI609" t="str">
            <v>WC</v>
          </cell>
          <cell r="AJ609" t="str">
            <v>Mounts bay Rd, Esplanade next to train station</v>
          </cell>
        </row>
        <row r="610">
          <cell r="E610" t="str">
            <v>S0030922</v>
          </cell>
          <cell r="F610" t="str">
            <v>SPS PERTH CENTRAL PERTH</v>
          </cell>
          <cell r="H610" t="str">
            <v>Metering Switcvhboard</v>
          </cell>
          <cell r="I610" t="str">
            <v>S0030933</v>
          </cell>
          <cell r="J610" t="str">
            <v>Main Switchboard</v>
          </cell>
          <cell r="K610" t="str">
            <v>AU91-40-1</v>
          </cell>
          <cell r="AF610">
            <v>1989</v>
          </cell>
          <cell r="AG610" t="str">
            <v>3A</v>
          </cell>
          <cell r="AH610" t="str">
            <v>Dave Sutton</v>
          </cell>
          <cell r="AI610" t="str">
            <v>WC</v>
          </cell>
          <cell r="AJ610" t="str">
            <v>Mounts bay Rd, Esplanade next to train station</v>
          </cell>
        </row>
        <row r="611">
          <cell r="E611" t="str">
            <v>S0030922</v>
          </cell>
          <cell r="F611" t="str">
            <v>SPS PERTH CENTRAL PERTH</v>
          </cell>
          <cell r="H611" t="str">
            <v>Main Switchboard</v>
          </cell>
          <cell r="I611" t="str">
            <v>SZ005528</v>
          </cell>
          <cell r="J611" t="str">
            <v>light and small power DB</v>
          </cell>
          <cell r="K611" t="str">
            <v>AU91-41-2</v>
          </cell>
          <cell r="AF611">
            <v>1989</v>
          </cell>
          <cell r="AG611" t="str">
            <v>3A</v>
          </cell>
          <cell r="AH611" t="str">
            <v>Dave Sutton</v>
          </cell>
          <cell r="AI611" t="str">
            <v>WC</v>
          </cell>
          <cell r="AJ611" t="str">
            <v>Mounts bay Rd, Esplanade next to train station</v>
          </cell>
        </row>
        <row r="612">
          <cell r="E612" t="str">
            <v>W0035448</v>
          </cell>
          <cell r="F612" t="str">
            <v>Scott St, Greenmount Reservoir WPS</v>
          </cell>
          <cell r="G612" t="str">
            <v>ST1</v>
          </cell>
          <cell r="H612" t="str">
            <v>Main SB</v>
          </cell>
          <cell r="J612" t="str">
            <v>Solid State Starter No1</v>
          </cell>
          <cell r="K612" t="str">
            <v>17708-40-28</v>
          </cell>
          <cell r="AF612">
            <v>1992</v>
          </cell>
          <cell r="AG612" t="str">
            <v>3B</v>
          </cell>
          <cell r="AH612" t="str">
            <v>Dave Sutton</v>
          </cell>
          <cell r="AI612" t="str">
            <v>WC</v>
          </cell>
          <cell r="AJ612" t="str">
            <v>300kW</v>
          </cell>
        </row>
        <row r="613">
          <cell r="E613" t="str">
            <v>W0035448</v>
          </cell>
          <cell r="F613" t="str">
            <v>Scott St, Greenmount Reservoir WPS</v>
          </cell>
          <cell r="G613" t="str">
            <v>ST2</v>
          </cell>
          <cell r="H613" t="str">
            <v>Main SB</v>
          </cell>
          <cell r="J613" t="str">
            <v>Solid State Starter No2</v>
          </cell>
          <cell r="K613" t="str">
            <v>17708-40-28</v>
          </cell>
          <cell r="AF613">
            <v>1992</v>
          </cell>
          <cell r="AG613" t="str">
            <v>3B</v>
          </cell>
          <cell r="AH613" t="str">
            <v>Dave Sutton</v>
          </cell>
          <cell r="AI613" t="str">
            <v>WC</v>
          </cell>
          <cell r="AJ613" t="str">
            <v>300kW</v>
          </cell>
        </row>
        <row r="614">
          <cell r="E614" t="str">
            <v>W0035448</v>
          </cell>
          <cell r="F614" t="str">
            <v>Scott St, Greenmount Reservoir WPS</v>
          </cell>
          <cell r="G614" t="str">
            <v>ST3</v>
          </cell>
          <cell r="H614" t="str">
            <v>Main SB</v>
          </cell>
          <cell r="J614" t="str">
            <v>Solid State Starter No3</v>
          </cell>
          <cell r="K614" t="str">
            <v>17708-40-28</v>
          </cell>
          <cell r="AF614">
            <v>1992</v>
          </cell>
          <cell r="AG614" t="str">
            <v>3B</v>
          </cell>
          <cell r="AH614" t="str">
            <v>Dave Sutton</v>
          </cell>
          <cell r="AI614" t="str">
            <v>WC</v>
          </cell>
          <cell r="AJ614" t="str">
            <v>300kW</v>
          </cell>
        </row>
        <row r="615">
          <cell r="E615" t="str">
            <v>W0035448</v>
          </cell>
          <cell r="F615" t="str">
            <v>Scott St, Greenmount Reservoir WPS</v>
          </cell>
          <cell r="G615" t="str">
            <v>ST4</v>
          </cell>
          <cell r="H615" t="str">
            <v>Main SB</v>
          </cell>
          <cell r="J615" t="str">
            <v>Solid State Starter No4</v>
          </cell>
          <cell r="K615" t="str">
            <v>17708-40-31</v>
          </cell>
          <cell r="AF615">
            <v>1992</v>
          </cell>
          <cell r="AG615" t="str">
            <v>3B</v>
          </cell>
          <cell r="AH615" t="str">
            <v>Dave Sutton</v>
          </cell>
          <cell r="AI615" t="str">
            <v>WC</v>
          </cell>
          <cell r="AJ615" t="str">
            <v>155kW</v>
          </cell>
        </row>
        <row r="616">
          <cell r="E616" t="str">
            <v>W0035448</v>
          </cell>
          <cell r="F616" t="str">
            <v>Scott St, Greenmount Reservoir WPS</v>
          </cell>
          <cell r="G616" t="str">
            <v>ST5</v>
          </cell>
          <cell r="H616" t="str">
            <v>Main SB</v>
          </cell>
          <cell r="J616" t="str">
            <v>Solid State Starter No5</v>
          </cell>
          <cell r="K616" t="str">
            <v>17708-40-31</v>
          </cell>
          <cell r="AF616">
            <v>1992</v>
          </cell>
          <cell r="AG616" t="str">
            <v>3B</v>
          </cell>
          <cell r="AH616" t="str">
            <v>Dave Sutton</v>
          </cell>
          <cell r="AI616" t="str">
            <v>WC</v>
          </cell>
          <cell r="AJ616" t="str">
            <v>155kW</v>
          </cell>
        </row>
        <row r="617">
          <cell r="E617" t="str">
            <v>W0035448</v>
          </cell>
          <cell r="F617" t="str">
            <v>Scott St, Greenmount Reservoir WPS</v>
          </cell>
          <cell r="G617" t="str">
            <v>ST6</v>
          </cell>
          <cell r="H617" t="str">
            <v>Main SB</v>
          </cell>
          <cell r="J617" t="str">
            <v>Solid State Starter No6</v>
          </cell>
          <cell r="K617" t="str">
            <v>17708-40-31</v>
          </cell>
          <cell r="AF617">
            <v>1992</v>
          </cell>
          <cell r="AG617" t="str">
            <v>3B</v>
          </cell>
          <cell r="AH617" t="str">
            <v>Dave Sutton</v>
          </cell>
          <cell r="AI617" t="str">
            <v>WC</v>
          </cell>
          <cell r="AJ617" t="str">
            <v>155kW</v>
          </cell>
        </row>
        <row r="618">
          <cell r="E618" t="str">
            <v>S2023282</v>
          </cell>
          <cell r="F618" t="str">
            <v>Hordern PS</v>
          </cell>
          <cell r="H618" t="str">
            <v>Horden St 415V MCC</v>
          </cell>
          <cell r="I618" t="str">
            <v>S2024517</v>
          </cell>
          <cell r="J618" t="str">
            <v>PFC No1</v>
          </cell>
          <cell r="K618" t="str">
            <v>IX34-40-1</v>
          </cell>
          <cell r="AG618" t="str">
            <v>3B</v>
          </cell>
          <cell r="AH618" t="str">
            <v>Dave Sutton</v>
          </cell>
          <cell r="AI618" t="str">
            <v>WC</v>
          </cell>
        </row>
        <row r="619">
          <cell r="E619" t="str">
            <v>S2023282</v>
          </cell>
          <cell r="F619" t="str">
            <v>Hordern PS</v>
          </cell>
          <cell r="H619" t="str">
            <v>Horden St 415V MCC</v>
          </cell>
          <cell r="I619" t="str">
            <v>S2024518</v>
          </cell>
          <cell r="J619" t="str">
            <v>PFC No2</v>
          </cell>
          <cell r="K619" t="str">
            <v>IX34-40-1</v>
          </cell>
          <cell r="AG619" t="str">
            <v>3B</v>
          </cell>
          <cell r="AH619" t="str">
            <v>Dave Sutton</v>
          </cell>
          <cell r="AI619" t="str">
            <v>WC</v>
          </cell>
        </row>
        <row r="620">
          <cell r="E620" t="str">
            <v>S2023282</v>
          </cell>
          <cell r="F620" t="str">
            <v>Hordern PS</v>
          </cell>
          <cell r="H620" t="str">
            <v>Horden St 415V MCC</v>
          </cell>
          <cell r="I620" t="str">
            <v>S2024519</v>
          </cell>
          <cell r="J620" t="str">
            <v>PFC No3</v>
          </cell>
          <cell r="K620" t="str">
            <v>IX34-40-1</v>
          </cell>
          <cell r="AG620" t="str">
            <v>3B</v>
          </cell>
          <cell r="AH620" t="str">
            <v>Dave Sutton</v>
          </cell>
          <cell r="AI620" t="str">
            <v>WC</v>
          </cell>
        </row>
        <row r="621">
          <cell r="E621" t="str">
            <v>S0033952</v>
          </cell>
          <cell r="F621" t="str">
            <v>Armagh PS</v>
          </cell>
          <cell r="H621" t="str">
            <v>Armagh St 415V MCC</v>
          </cell>
          <cell r="I621" t="str">
            <v>S2024327</v>
          </cell>
          <cell r="J621" t="str">
            <v>No1 VSD</v>
          </cell>
          <cell r="K621" t="str">
            <v>IX33-40-1.3</v>
          </cell>
          <cell r="AG621" t="str">
            <v>3B</v>
          </cell>
          <cell r="AH621" t="str">
            <v>Dave Sutton</v>
          </cell>
          <cell r="AI621" t="str">
            <v>WC</v>
          </cell>
        </row>
        <row r="622">
          <cell r="E622" t="str">
            <v>S0033952</v>
          </cell>
          <cell r="F622" t="str">
            <v>Armagh PS</v>
          </cell>
          <cell r="H622" t="str">
            <v>Armagh St 415V MCC</v>
          </cell>
          <cell r="I622" t="str">
            <v>S2024328</v>
          </cell>
          <cell r="J622" t="str">
            <v>No2 VSD</v>
          </cell>
          <cell r="K622" t="str">
            <v>IX33-40-1.3</v>
          </cell>
          <cell r="AG622" t="str">
            <v>3B</v>
          </cell>
          <cell r="AH622" t="str">
            <v>Dave Sutton</v>
          </cell>
          <cell r="AI622" t="str">
            <v>WC</v>
          </cell>
        </row>
        <row r="623">
          <cell r="E623" t="str">
            <v>S0033952</v>
          </cell>
          <cell r="F623" t="str">
            <v>Armagh PS</v>
          </cell>
          <cell r="H623" t="str">
            <v>Armagh St 415V MCC</v>
          </cell>
          <cell r="I623" t="str">
            <v>S2024329</v>
          </cell>
          <cell r="J623" t="str">
            <v>No3 VSD</v>
          </cell>
          <cell r="K623" t="str">
            <v>IX33-40-1.3</v>
          </cell>
          <cell r="AG623" t="str">
            <v>3B</v>
          </cell>
          <cell r="AH623" t="str">
            <v>Dave Sutton</v>
          </cell>
          <cell r="AI623" t="str">
            <v>WC</v>
          </cell>
        </row>
        <row r="624">
          <cell r="E624" t="str">
            <v>S0033952</v>
          </cell>
          <cell r="F624" t="str">
            <v>Armagh PS</v>
          </cell>
          <cell r="H624" t="str">
            <v>Armagh St 415V MCC</v>
          </cell>
          <cell r="I624" t="str">
            <v>S2024397</v>
          </cell>
          <cell r="J624" t="str">
            <v>No1 LHF</v>
          </cell>
          <cell r="K624" t="str">
            <v>IX33-40-1.3</v>
          </cell>
          <cell r="AG624" t="str">
            <v>3B</v>
          </cell>
          <cell r="AH624" t="str">
            <v>Dave Sutton</v>
          </cell>
          <cell r="AI624" t="str">
            <v>WC</v>
          </cell>
        </row>
        <row r="625">
          <cell r="E625" t="str">
            <v>S0033952</v>
          </cell>
          <cell r="F625" t="str">
            <v>Armagh PS</v>
          </cell>
          <cell r="H625" t="str">
            <v>Armagh St 415V MCC</v>
          </cell>
          <cell r="I625" t="str">
            <v>S2024398</v>
          </cell>
          <cell r="J625" t="str">
            <v>No2 LHF</v>
          </cell>
          <cell r="K625" t="str">
            <v>IX33-40-1.3</v>
          </cell>
          <cell r="AG625" t="str">
            <v>3B</v>
          </cell>
          <cell r="AH625" t="str">
            <v>Dave Sutton</v>
          </cell>
          <cell r="AI625" t="str">
            <v>WC</v>
          </cell>
        </row>
        <row r="626">
          <cell r="E626" t="str">
            <v>S0033952</v>
          </cell>
          <cell r="F626" t="str">
            <v>Armagh PS</v>
          </cell>
          <cell r="H626" t="str">
            <v>Armagh St 415V MCC</v>
          </cell>
          <cell r="I626" t="str">
            <v>S2024399</v>
          </cell>
          <cell r="J626" t="str">
            <v>No3 LHF</v>
          </cell>
          <cell r="K626" t="str">
            <v>IX33-40-1.3</v>
          </cell>
          <cell r="AG626" t="str">
            <v>3B</v>
          </cell>
          <cell r="AH626" t="str">
            <v>Dave Sutton</v>
          </cell>
          <cell r="AI626" t="str">
            <v>WC</v>
          </cell>
        </row>
        <row r="627">
          <cell r="E627" t="str">
            <v>W1014414</v>
          </cell>
          <cell r="F627" t="str">
            <v>Lower Helena PS &amp; Suction Tank</v>
          </cell>
          <cell r="H627" t="str">
            <v>Pump Station Main SB</v>
          </cell>
          <cell r="I627" t="str">
            <v>W1014606</v>
          </cell>
          <cell r="J627" t="str">
            <v>Distribution Board</v>
          </cell>
          <cell r="K627" t="str">
            <v>HZ20-40-1.1</v>
          </cell>
          <cell r="M627">
            <v>160</v>
          </cell>
          <cell r="N627">
            <v>22</v>
          </cell>
          <cell r="O627">
            <v>433</v>
          </cell>
          <cell r="P627">
            <v>0.04</v>
          </cell>
          <cell r="R627">
            <v>2.89</v>
          </cell>
          <cell r="S627" t="str">
            <v>PVC</v>
          </cell>
          <cell r="T627" t="str">
            <v>3x1C 120mm2</v>
          </cell>
          <cell r="X627" t="str">
            <v>HZ20-40-2.1</v>
          </cell>
          <cell r="AB627">
            <v>250</v>
          </cell>
          <cell r="AC627">
            <v>20</v>
          </cell>
          <cell r="AD627">
            <v>1</v>
          </cell>
          <cell r="AF627">
            <v>2012</v>
          </cell>
          <cell r="AG627" t="str">
            <v>3B</v>
          </cell>
          <cell r="AH627" t="str">
            <v>Craig Warner</v>
          </cell>
          <cell r="AI627" t="str">
            <v>Arroona Alliance</v>
          </cell>
        </row>
        <row r="628">
          <cell r="E628" t="str">
            <v>W0035448</v>
          </cell>
          <cell r="F628" t="str">
            <v>Scott St, Greenmount Reservoir WPS</v>
          </cell>
          <cell r="H628" t="str">
            <v>Main SB</v>
          </cell>
          <cell r="I628" t="str">
            <v>WZ013966</v>
          </cell>
          <cell r="J628" t="str">
            <v>outdoor Distribution Cubicle</v>
          </cell>
          <cell r="K628" t="str">
            <v>17708-40-14</v>
          </cell>
          <cell r="W628">
            <v>100</v>
          </cell>
          <cell r="AG628" t="str">
            <v>3B</v>
          </cell>
          <cell r="AH628" t="str">
            <v>Dave Sutton</v>
          </cell>
          <cell r="AI628" t="str">
            <v>WC</v>
          </cell>
        </row>
        <row r="629">
          <cell r="E629" t="str">
            <v>W0035374</v>
          </cell>
          <cell r="F629" t="str">
            <v>WPS OAKOVER RD MIDDLE SWAN</v>
          </cell>
          <cell r="H629" t="str">
            <v>Incoming Cubicle</v>
          </cell>
          <cell r="I629" t="str">
            <v>W2001224</v>
          </cell>
          <cell r="J629" t="str">
            <v>Metering and Pump Control Cubicle</v>
          </cell>
          <cell r="K629" t="str">
            <v>BY60-44-4.1</v>
          </cell>
          <cell r="M629">
            <v>160</v>
          </cell>
          <cell r="O629">
            <v>415</v>
          </cell>
          <cell r="V629" t="str">
            <v>MCB</v>
          </cell>
          <cell r="W629">
            <v>400</v>
          </cell>
          <cell r="AA629">
            <v>415</v>
          </cell>
          <cell r="AF629">
            <v>1998</v>
          </cell>
          <cell r="AG629" t="str">
            <v>3A</v>
          </cell>
          <cell r="AH629" t="str">
            <v>Dave Sutton</v>
          </cell>
          <cell r="AI629" t="str">
            <v>WC</v>
          </cell>
        </row>
        <row r="630">
          <cell r="E630" t="str">
            <v>W0035374</v>
          </cell>
          <cell r="F630" t="str">
            <v>WPS OAKOVER RD MIDDLE SWAN</v>
          </cell>
          <cell r="H630" t="str">
            <v>Metering and Pump Control Cubicle</v>
          </cell>
          <cell r="J630" t="str">
            <v>No1 VSD</v>
          </cell>
          <cell r="K630" t="str">
            <v>BY60-44-4.1</v>
          </cell>
          <cell r="M630">
            <v>160</v>
          </cell>
          <cell r="O630">
            <v>415</v>
          </cell>
          <cell r="V630" t="str">
            <v>Fuse</v>
          </cell>
          <cell r="W630">
            <v>125</v>
          </cell>
          <cell r="AF630">
            <v>1998</v>
          </cell>
          <cell r="AG630" t="str">
            <v>3A</v>
          </cell>
          <cell r="AH630" t="str">
            <v>Dave Sutton</v>
          </cell>
          <cell r="AI630" t="str">
            <v>WC</v>
          </cell>
        </row>
        <row r="631">
          <cell r="E631" t="str">
            <v>W0034788</v>
          </cell>
          <cell r="F631" t="str">
            <v>WPS COBHAM AV NOLLAMARA</v>
          </cell>
          <cell r="I631" t="str">
            <v>W0034778</v>
          </cell>
          <cell r="K631" t="str">
            <v>18635-40-1</v>
          </cell>
          <cell r="M631">
            <v>1000</v>
          </cell>
          <cell r="AF631">
            <v>1958</v>
          </cell>
          <cell r="AG631" t="str">
            <v>FUTURE</v>
          </cell>
          <cell r="AH631" t="str">
            <v>Dave Sutton</v>
          </cell>
          <cell r="AI631" t="str">
            <v>WC</v>
          </cell>
          <cell r="AJ631"/>
        </row>
        <row r="632">
          <cell r="E632" t="str">
            <v>W0035374</v>
          </cell>
          <cell r="F632" t="str">
            <v>WPS OAKOVER RD MIDDLE SWAN</v>
          </cell>
          <cell r="H632" t="str">
            <v>Metering and Pump Control Cubicle</v>
          </cell>
          <cell r="J632" t="str">
            <v>No2 VSD</v>
          </cell>
          <cell r="K632" t="str">
            <v>BY60-44-4.1</v>
          </cell>
          <cell r="M632">
            <v>160</v>
          </cell>
          <cell r="O632">
            <v>415</v>
          </cell>
          <cell r="V632" t="str">
            <v>Fuse</v>
          </cell>
          <cell r="W632">
            <v>125</v>
          </cell>
          <cell r="AF632">
            <v>1998</v>
          </cell>
          <cell r="AG632" t="str">
            <v>3A</v>
          </cell>
          <cell r="AH632" t="str">
            <v>Dave Sutton</v>
          </cell>
          <cell r="AI632" t="str">
            <v>WC</v>
          </cell>
        </row>
        <row r="633">
          <cell r="E633" t="str">
            <v>S0028376</v>
          </cell>
          <cell r="F633" t="str">
            <v>SPS DUTTON CR HAMERSLEY</v>
          </cell>
          <cell r="H633" t="str">
            <v>Bore No G10 Dutton Cr Main SB</v>
          </cell>
          <cell r="I633" t="str">
            <v>S0028382</v>
          </cell>
          <cell r="K633" t="str">
            <v xml:space="preserve">10986- - </v>
          </cell>
          <cell r="M633">
            <v>300</v>
          </cell>
          <cell r="O633">
            <v>415</v>
          </cell>
          <cell r="V633" t="str">
            <v>CFS</v>
          </cell>
          <cell r="W633">
            <v>60</v>
          </cell>
          <cell r="AF633">
            <v>1970</v>
          </cell>
          <cell r="AG633" t="str">
            <v>3A</v>
          </cell>
          <cell r="AH633" t="str">
            <v>Dave Sutton</v>
          </cell>
          <cell r="AI633" t="str">
            <v>WC</v>
          </cell>
          <cell r="AJ633" t="str">
            <v>Walk-in Site</v>
          </cell>
        </row>
        <row r="634">
          <cell r="E634" t="str">
            <v>W0035176</v>
          </cell>
          <cell r="F634" t="str">
            <v>WPS CANNING RD WALLISTON</v>
          </cell>
          <cell r="H634" t="str">
            <v>Tx</v>
          </cell>
          <cell r="I634" t="str">
            <v>W0035187</v>
          </cell>
          <cell r="J634" t="str">
            <v>Main SB</v>
          </cell>
          <cell r="K634" t="str">
            <v>12215-40-7</v>
          </cell>
          <cell r="M634">
            <v>300</v>
          </cell>
          <cell r="V634" t="str">
            <v>Fuse</v>
          </cell>
          <cell r="W634">
            <v>315</v>
          </cell>
          <cell r="AF634">
            <v>1972</v>
          </cell>
          <cell r="AG634" t="str">
            <v>3A</v>
          </cell>
          <cell r="AH634" t="str">
            <v>Dave Sutton</v>
          </cell>
          <cell r="AI634" t="str">
            <v>WC</v>
          </cell>
          <cell r="AJ634" t="str">
            <v>Walk-in Site</v>
          </cell>
        </row>
        <row r="635">
          <cell r="E635" t="str">
            <v>W0035122</v>
          </cell>
          <cell r="F635" t="str">
            <v>WPS SOUTH WESTERN HWY MOUNT RICHON</v>
          </cell>
          <cell r="H635" t="str">
            <v>SEC Supply</v>
          </cell>
          <cell r="I635" t="str">
            <v>W0035127</v>
          </cell>
          <cell r="J635" t="str">
            <v>Main SB</v>
          </cell>
          <cell r="K635" t="str">
            <v>13156-40-4</v>
          </cell>
          <cell r="M635">
            <v>300</v>
          </cell>
          <cell r="AF635">
            <v>1976</v>
          </cell>
          <cell r="AG635" t="str">
            <v>3A</v>
          </cell>
          <cell r="AH635" t="str">
            <v>Dave Sutton</v>
          </cell>
          <cell r="AI635" t="str">
            <v>WC</v>
          </cell>
          <cell r="AJ635" t="str">
            <v>Walk-in Site</v>
          </cell>
        </row>
        <row r="636">
          <cell r="E636" t="str">
            <v>W0035122</v>
          </cell>
          <cell r="F636" t="str">
            <v>WPS SOUTH WESTERN HWY MOUNT RICHON</v>
          </cell>
          <cell r="H636" t="str">
            <v>Main SB</v>
          </cell>
          <cell r="I636" t="str">
            <v>W2002244</v>
          </cell>
          <cell r="J636" t="str">
            <v>Starter No1 150kW</v>
          </cell>
          <cell r="K636" t="str">
            <v>13156-40-5</v>
          </cell>
          <cell r="M636">
            <v>300</v>
          </cell>
          <cell r="V636" t="str">
            <v>Fuse</v>
          </cell>
          <cell r="W636">
            <v>300</v>
          </cell>
          <cell r="AF636">
            <v>1976</v>
          </cell>
          <cell r="AG636" t="str">
            <v>3A</v>
          </cell>
          <cell r="AH636" t="str">
            <v>Dave Sutton</v>
          </cell>
          <cell r="AI636" t="str">
            <v>WC</v>
          </cell>
          <cell r="AJ636" t="str">
            <v>Walk-in Site</v>
          </cell>
        </row>
        <row r="637">
          <cell r="E637" t="str">
            <v>W0035122</v>
          </cell>
          <cell r="F637" t="str">
            <v>WPS SOUTH WESTERN HWY MOUNT RICHON</v>
          </cell>
          <cell r="H637" t="str">
            <v>Main SB</v>
          </cell>
          <cell r="J637" t="str">
            <v>Starter No2 150kW</v>
          </cell>
          <cell r="K637" t="str">
            <v>13156-40-5</v>
          </cell>
          <cell r="M637">
            <v>300</v>
          </cell>
          <cell r="V637" t="str">
            <v>Fuse</v>
          </cell>
          <cell r="W637">
            <v>300</v>
          </cell>
          <cell r="AF637">
            <v>1976</v>
          </cell>
          <cell r="AG637" t="str">
            <v>3A</v>
          </cell>
          <cell r="AH637" t="str">
            <v>Dave Sutton</v>
          </cell>
          <cell r="AI637" t="str">
            <v>WC</v>
          </cell>
          <cell r="AJ637" t="str">
            <v>Walk-in Site</v>
          </cell>
        </row>
        <row r="638">
          <cell r="E638" t="str">
            <v>W0034647</v>
          </cell>
          <cell r="F638" t="str">
            <v>WPS MCDONALD ST JOONDANNA</v>
          </cell>
          <cell r="I638" t="str">
            <v>W0034654</v>
          </cell>
          <cell r="J638" t="str">
            <v>Main Distribution SB</v>
          </cell>
          <cell r="K638" t="str">
            <v>12700-41-3</v>
          </cell>
          <cell r="M638">
            <v>300</v>
          </cell>
          <cell r="V638" t="str">
            <v>Fuse</v>
          </cell>
          <cell r="W638">
            <v>300</v>
          </cell>
          <cell r="AF638">
            <v>1977</v>
          </cell>
          <cell r="AG638" t="str">
            <v>g</v>
          </cell>
          <cell r="AH638" t="str">
            <v>Dave Sutton</v>
          </cell>
          <cell r="AI638" t="str">
            <v>WC</v>
          </cell>
          <cell r="AJ638" t="str">
            <v>Walk-in Site, drawing possibly 12700? - ask region to confirm</v>
          </cell>
        </row>
        <row r="639">
          <cell r="E639" t="str">
            <v>S0033749</v>
          </cell>
          <cell r="F639" t="str">
            <v>SPS LEACH HWY BRENTWOOD</v>
          </cell>
          <cell r="I639" t="str">
            <v>S0033755</v>
          </cell>
          <cell r="K639" t="str">
            <v>11730-10-1</v>
          </cell>
          <cell r="M639">
            <v>100</v>
          </cell>
          <cell r="V639" t="str">
            <v>Fuse</v>
          </cell>
          <cell r="W639">
            <v>400</v>
          </cell>
          <cell r="AF639">
            <v>1973</v>
          </cell>
          <cell r="AG639" t="str">
            <v>3A</v>
          </cell>
          <cell r="AH639" t="str">
            <v>Dave Sutton</v>
          </cell>
          <cell r="AI639" t="str">
            <v>WC</v>
          </cell>
          <cell r="AJ639" t="str">
            <v>Walk-in Site, drawing possibly 11730-10-1?? - ask region to confirm</v>
          </cell>
        </row>
        <row r="640">
          <cell r="E640" t="str">
            <v>W0034514</v>
          </cell>
          <cell r="F640" t="str">
            <v>WPS PRINCESS RD DOUBLEVIEW</v>
          </cell>
          <cell r="I640" t="str">
            <v>W0034521</v>
          </cell>
          <cell r="K640" t="str">
            <v>08424-40-1</v>
          </cell>
          <cell r="M640">
            <v>300</v>
          </cell>
          <cell r="AF640">
            <v>1940</v>
          </cell>
          <cell r="AG640" t="str">
            <v>3A</v>
          </cell>
          <cell r="AH640" t="str">
            <v>Dave Sutton</v>
          </cell>
          <cell r="AI640" t="str">
            <v>WC</v>
          </cell>
          <cell r="AJ640"/>
        </row>
        <row r="641">
          <cell r="E641" t="str">
            <v>W0034535</v>
          </cell>
          <cell r="F641" t="str">
            <v>WPS SCARBOROUGH BEACH RD DOUBLEVIEW</v>
          </cell>
          <cell r="H641" t="str">
            <v>Main SB</v>
          </cell>
          <cell r="J641" t="str">
            <v>Starter No1</v>
          </cell>
          <cell r="K641" t="str">
            <v>14746-40-6</v>
          </cell>
          <cell r="AB641">
            <v>80</v>
          </cell>
          <cell r="AF641">
            <v>1949</v>
          </cell>
          <cell r="AG641" t="str">
            <v>3B</v>
          </cell>
          <cell r="AH641" t="str">
            <v>Dave Sutton</v>
          </cell>
          <cell r="AI641" t="str">
            <v>WC</v>
          </cell>
          <cell r="AJ641"/>
        </row>
        <row r="642">
          <cell r="E642" t="str">
            <v>W0034535</v>
          </cell>
          <cell r="F642" t="str">
            <v>WPS SCARBOROUGH BEACH RD DOUBLEVIEW</v>
          </cell>
          <cell r="H642" t="str">
            <v>Main SB</v>
          </cell>
          <cell r="J642" t="str">
            <v>Starter No2</v>
          </cell>
          <cell r="K642" t="str">
            <v>14746-40-6</v>
          </cell>
          <cell r="AB642">
            <v>80</v>
          </cell>
          <cell r="AF642">
            <v>1949</v>
          </cell>
          <cell r="AG642" t="str">
            <v>3B</v>
          </cell>
          <cell r="AH642" t="str">
            <v>Dave Sutton</v>
          </cell>
          <cell r="AI642" t="str">
            <v>WC</v>
          </cell>
          <cell r="AJ642"/>
        </row>
        <row r="643">
          <cell r="E643" t="str">
            <v>W0034535</v>
          </cell>
          <cell r="F643" t="str">
            <v>WPS SCARBOROUGH BEACH RD DOUBLEVIEW</v>
          </cell>
          <cell r="H643" t="str">
            <v>Main SB</v>
          </cell>
          <cell r="J643" t="str">
            <v>Starter No3</v>
          </cell>
          <cell r="K643" t="str">
            <v>14746-40-6</v>
          </cell>
          <cell r="AB643">
            <v>80</v>
          </cell>
          <cell r="AF643">
            <v>1949</v>
          </cell>
          <cell r="AG643" t="str">
            <v>3B</v>
          </cell>
          <cell r="AH643" t="str">
            <v>Dave Sutton</v>
          </cell>
          <cell r="AI643" t="str">
            <v>WC</v>
          </cell>
          <cell r="AJ643"/>
        </row>
        <row r="644">
          <cell r="E644" t="str">
            <v>W0034535</v>
          </cell>
          <cell r="F644" t="str">
            <v>WPS SCARBOROUGH BEACH RD DOUBLEVIEW</v>
          </cell>
          <cell r="H644" t="str">
            <v>SEC Fuse box</v>
          </cell>
          <cell r="I644" t="str">
            <v>W0034542</v>
          </cell>
          <cell r="J644" t="str">
            <v>Main SB</v>
          </cell>
          <cell r="K644" t="str">
            <v>14746-40-2</v>
          </cell>
          <cell r="M644">
            <v>300</v>
          </cell>
          <cell r="N644">
            <v>11</v>
          </cell>
          <cell r="O644">
            <v>440</v>
          </cell>
          <cell r="AF644">
            <v>1949</v>
          </cell>
          <cell r="AG644" t="str">
            <v>3A</v>
          </cell>
          <cell r="AH644" t="str">
            <v>Dave Sutton</v>
          </cell>
          <cell r="AI644" t="str">
            <v>WC</v>
          </cell>
          <cell r="AJ644"/>
        </row>
        <row r="645">
          <cell r="E645" t="str">
            <v>D0036254</v>
          </cell>
          <cell r="F645" t="str">
            <v>DPS JERSEY ST JOLIMONT</v>
          </cell>
          <cell r="I645" t="str">
            <v>D0036258</v>
          </cell>
          <cell r="K645" t="str">
            <v xml:space="preserve">AI61- - </v>
          </cell>
          <cell r="M645">
            <v>300</v>
          </cell>
          <cell r="AF645">
            <v>1960</v>
          </cell>
          <cell r="AG645" t="str">
            <v>3A</v>
          </cell>
          <cell r="AH645" t="str">
            <v>Dave Sutton</v>
          </cell>
          <cell r="AI645" t="str">
            <v>WC</v>
          </cell>
          <cell r="AJ645" t="str">
            <v>drawing possibly planset 8272? - ask region to confirm</v>
          </cell>
        </row>
        <row r="646">
          <cell r="E646" t="str">
            <v>D0036169</v>
          </cell>
          <cell r="F646" t="str">
            <v>DPS POWELL ST JOONDANNA</v>
          </cell>
          <cell r="H646" t="str">
            <v>SEC Supply</v>
          </cell>
          <cell r="I646" t="str">
            <v>D0036173</v>
          </cell>
          <cell r="J646" t="str">
            <v>Main SB</v>
          </cell>
          <cell r="K646" t="str">
            <v>AI21-41-1</v>
          </cell>
          <cell r="M646">
            <v>300</v>
          </cell>
          <cell r="O646">
            <v>440</v>
          </cell>
          <cell r="S646" t="str">
            <v>PVC</v>
          </cell>
          <cell r="T646" t="str">
            <v>150mm2</v>
          </cell>
          <cell r="V646" t="str">
            <v>MCB</v>
          </cell>
          <cell r="W646">
            <v>300</v>
          </cell>
          <cell r="AA646">
            <v>440</v>
          </cell>
          <cell r="AF646">
            <v>1962</v>
          </cell>
          <cell r="AG646" t="str">
            <v>3A</v>
          </cell>
          <cell r="AH646" t="str">
            <v>Dave Sutton</v>
          </cell>
          <cell r="AI646" t="str">
            <v>WC</v>
          </cell>
          <cell r="AJ646"/>
        </row>
        <row r="647">
          <cell r="E647" t="str">
            <v>D0036183</v>
          </cell>
          <cell r="F647" t="str">
            <v>DPS WORDSWORTH AVE YOKINE</v>
          </cell>
          <cell r="I647" t="str">
            <v>D0036187</v>
          </cell>
          <cell r="K647" t="str">
            <v>09056-40-2</v>
          </cell>
          <cell r="M647">
            <v>300</v>
          </cell>
          <cell r="AF647">
            <v>1966</v>
          </cell>
          <cell r="AG647" t="str">
            <v>3A</v>
          </cell>
          <cell r="AH647" t="str">
            <v>Dave Sutton</v>
          </cell>
          <cell r="AI647" t="str">
            <v>WC</v>
          </cell>
          <cell r="AJ647"/>
        </row>
        <row r="648">
          <cell r="E648" t="str">
            <v>W0034897</v>
          </cell>
          <cell r="F648" t="str">
            <v>WPS GIMBER ST MELVILLE</v>
          </cell>
          <cell r="I648" t="str">
            <v>W0034905</v>
          </cell>
          <cell r="K648" t="str">
            <v>15680-40-8.1</v>
          </cell>
          <cell r="M648">
            <v>500</v>
          </cell>
          <cell r="AF648">
            <v>1967</v>
          </cell>
          <cell r="AG648" t="str">
            <v>3A</v>
          </cell>
          <cell r="AH648" t="str">
            <v>Dave Sutton</v>
          </cell>
          <cell r="AI648" t="str">
            <v>WC</v>
          </cell>
          <cell r="AJ648" t="str">
            <v>drawing possibly planset 15680? - ask region to confirm</v>
          </cell>
        </row>
        <row r="649">
          <cell r="E649" t="str">
            <v>D0036145</v>
          </cell>
          <cell r="F649" t="str">
            <v>DPS CARINE CARINE</v>
          </cell>
          <cell r="I649" t="str">
            <v>D0036151</v>
          </cell>
          <cell r="K649" t="str">
            <v>AB83</v>
          </cell>
          <cell r="M649">
            <v>300</v>
          </cell>
          <cell r="AF649">
            <v>1971</v>
          </cell>
          <cell r="AG649" t="str">
            <v>3A</v>
          </cell>
          <cell r="AH649" t="str">
            <v>Dave Sutton</v>
          </cell>
          <cell r="AI649" t="str">
            <v>WC</v>
          </cell>
          <cell r="AJ649" t="str">
            <v>drawing possibly planset 10790-40-1? - ask region to confirm</v>
          </cell>
        </row>
        <row r="650">
          <cell r="E650" t="str">
            <v>W0035641</v>
          </cell>
          <cell r="F650" t="str">
            <v>WPS KOONDOOLA AV KOONDOOLA</v>
          </cell>
          <cell r="I650" t="str">
            <v>W0035646</v>
          </cell>
          <cell r="K650" t="str">
            <v>10605-30-1</v>
          </cell>
          <cell r="M650">
            <v>500</v>
          </cell>
          <cell r="AF650">
            <v>1974</v>
          </cell>
          <cell r="AG650" t="str">
            <v>3A</v>
          </cell>
          <cell r="AH650" t="str">
            <v>Dave Sutton</v>
          </cell>
          <cell r="AI650" t="str">
            <v>WC</v>
          </cell>
          <cell r="AJ650" t="str">
            <v>drawing?? - possibly related to 12249 Mirrabooka Reservoir?? - ask region</v>
          </cell>
        </row>
        <row r="651">
          <cell r="E651" t="str">
            <v>W0035037</v>
          </cell>
          <cell r="F651" t="str">
            <v>WPS ALBANY HWY MOUNT NASURA</v>
          </cell>
          <cell r="I651" t="str">
            <v>W0035044</v>
          </cell>
          <cell r="M651">
            <v>300</v>
          </cell>
          <cell r="AF651">
            <v>1977</v>
          </cell>
          <cell r="AG651" t="str">
            <v>g</v>
          </cell>
          <cell r="AH651" t="str">
            <v>Dave Sutton</v>
          </cell>
          <cell r="AI651" t="str">
            <v>WC</v>
          </cell>
          <cell r="AJ651" t="str">
            <v>ask region - possibly drawing 10763-10-1?</v>
          </cell>
        </row>
        <row r="652">
          <cell r="E652" t="str">
            <v>S0032795</v>
          </cell>
          <cell r="F652" t="str">
            <v>SPS WATERWORKS RD HAYNES</v>
          </cell>
          <cell r="H652" t="str">
            <v>Supply Auth</v>
          </cell>
          <cell r="I652" t="str">
            <v>S0032808</v>
          </cell>
          <cell r="J652" t="str">
            <v>Main Incoming Cubicle</v>
          </cell>
          <cell r="K652" t="str">
            <v>18568-41-4</v>
          </cell>
          <cell r="M652">
            <v>315</v>
          </cell>
          <cell r="O652">
            <v>415</v>
          </cell>
          <cell r="V652" t="str">
            <v>SPD</v>
          </cell>
          <cell r="W652">
            <v>630</v>
          </cell>
          <cell r="X652" t="str">
            <v>18568-41-4</v>
          </cell>
          <cell r="AF652">
            <v>2004</v>
          </cell>
          <cell r="AG652" t="str">
            <v>3A</v>
          </cell>
          <cell r="AH652" t="str">
            <v>Dave Sutton</v>
          </cell>
          <cell r="AI652" t="str">
            <v>WC</v>
          </cell>
          <cell r="AJ652"/>
        </row>
        <row r="653">
          <cell r="E653" t="str">
            <v>S0032795</v>
          </cell>
          <cell r="F653" t="str">
            <v>SPS WATERWORKS RD HAYNES</v>
          </cell>
          <cell r="H653" t="str">
            <v>Main Incoming Cubicle</v>
          </cell>
          <cell r="I653" t="str">
            <v>SZ005432</v>
          </cell>
          <cell r="J653" t="str">
            <v>Pump Station MCC</v>
          </cell>
          <cell r="K653" t="str">
            <v>18568-41-4</v>
          </cell>
          <cell r="AF653">
            <v>1982</v>
          </cell>
          <cell r="AG653" t="str">
            <v>3B</v>
          </cell>
          <cell r="AH653" t="str">
            <v>Dave Sutton</v>
          </cell>
          <cell r="AI653" t="str">
            <v>WC</v>
          </cell>
          <cell r="AJ653"/>
        </row>
        <row r="654">
          <cell r="E654" t="str">
            <v>W0035522</v>
          </cell>
          <cell r="F654" t="str">
            <v>WPS MITCHELL RD DARLINGTON</v>
          </cell>
          <cell r="G654" t="str">
            <v>SB1</v>
          </cell>
          <cell r="H654" t="str">
            <v>Suppl Auth</v>
          </cell>
          <cell r="I654" t="str">
            <v>W0035529</v>
          </cell>
          <cell r="J654" t="str">
            <v>Main SB</v>
          </cell>
          <cell r="K654" t="str">
            <v>17905-40-3</v>
          </cell>
          <cell r="M654">
            <v>300</v>
          </cell>
          <cell r="N654">
            <v>22</v>
          </cell>
          <cell r="O654">
            <v>440</v>
          </cell>
          <cell r="S654" t="str">
            <v>PVC/PVC</v>
          </cell>
          <cell r="T654" t="str">
            <v>150mm2</v>
          </cell>
          <cell r="V654" t="str">
            <v>MCB</v>
          </cell>
          <cell r="W654">
            <v>300</v>
          </cell>
          <cell r="AA654">
            <v>440</v>
          </cell>
          <cell r="AF654">
            <v>1984</v>
          </cell>
          <cell r="AG654" t="str">
            <v>3B</v>
          </cell>
          <cell r="AH654" t="str">
            <v>Dave Sutton</v>
          </cell>
          <cell r="AI654" t="str">
            <v>WC</v>
          </cell>
          <cell r="AJ654"/>
        </row>
        <row r="655">
          <cell r="E655" t="str">
            <v>W0035522</v>
          </cell>
          <cell r="F655" t="str">
            <v>WPS MITCHELL RD DARLINGTON</v>
          </cell>
          <cell r="G655" t="str">
            <v>SB2</v>
          </cell>
          <cell r="H655" t="str">
            <v>Main SB</v>
          </cell>
          <cell r="I655" t="str">
            <v>W2001082</v>
          </cell>
          <cell r="J655" t="str">
            <v>Starter Cubicle 55kW</v>
          </cell>
          <cell r="K655" t="str">
            <v>17905-40-9</v>
          </cell>
          <cell r="M655">
            <v>300</v>
          </cell>
          <cell r="N655">
            <v>22</v>
          </cell>
          <cell r="O655">
            <v>440</v>
          </cell>
          <cell r="V655" t="str">
            <v>Fuse</v>
          </cell>
          <cell r="W655">
            <v>160</v>
          </cell>
          <cell r="AA655">
            <v>440</v>
          </cell>
          <cell r="AF655">
            <v>1984</v>
          </cell>
          <cell r="AG655" t="str">
            <v>3B</v>
          </cell>
          <cell r="AH655" t="str">
            <v>Dave Sutton</v>
          </cell>
          <cell r="AI655" t="str">
            <v>WC</v>
          </cell>
          <cell r="AJ655"/>
        </row>
        <row r="656">
          <cell r="E656" t="str">
            <v>S0044725</v>
          </cell>
          <cell r="F656" t="str">
            <v>SPS MANDURAH TCE MANDURAH</v>
          </cell>
          <cell r="H656" t="str">
            <v>Supp Auth</v>
          </cell>
          <cell r="I656" t="str">
            <v>S2032784</v>
          </cell>
          <cell r="J656" t="str">
            <v>Main Circuit Breaker Cubicle</v>
          </cell>
          <cell r="K656" t="str">
            <v>BX07-41-5</v>
          </cell>
          <cell r="M656">
            <v>315</v>
          </cell>
          <cell r="O656">
            <v>415</v>
          </cell>
          <cell r="V656" t="str">
            <v>MCB</v>
          </cell>
          <cell r="W656">
            <v>400</v>
          </cell>
          <cell r="AA656">
            <v>415</v>
          </cell>
          <cell r="AF656">
            <v>1973</v>
          </cell>
          <cell r="AG656" t="str">
            <v>3A</v>
          </cell>
          <cell r="AH656" t="str">
            <v>Dave Sutton</v>
          </cell>
          <cell r="AI656" t="str">
            <v>WC</v>
          </cell>
          <cell r="AJ656" t="str">
            <v>Genset onsite (350kVA)</v>
          </cell>
        </row>
        <row r="657">
          <cell r="E657" t="str">
            <v>S0034424</v>
          </cell>
          <cell r="F657" t="str">
            <v>SPS RIVERMOOR LOOP RIVERTON</v>
          </cell>
          <cell r="I657" t="str">
            <v>S0034430</v>
          </cell>
          <cell r="J657" t="str">
            <v>ELECT INSTALL</v>
          </cell>
          <cell r="K657" t="str">
            <v>16867-40-3</v>
          </cell>
          <cell r="M657">
            <v>300</v>
          </cell>
          <cell r="V657" t="str">
            <v>Fuse</v>
          </cell>
          <cell r="AF657">
            <v>1979</v>
          </cell>
          <cell r="AG657" t="str">
            <v>3A</v>
          </cell>
          <cell r="AH657" t="str">
            <v>Dave Sutton</v>
          </cell>
          <cell r="AI657" t="str">
            <v>WC</v>
          </cell>
          <cell r="AJ657"/>
        </row>
        <row r="658">
          <cell r="E658" t="str">
            <v>S2025004</v>
          </cell>
          <cell r="F658" t="str">
            <v>SPS LE SOUEF DR KARDINYA</v>
          </cell>
          <cell r="H658" t="str">
            <v>SEC Supply</v>
          </cell>
          <cell r="I658" t="str">
            <v>S0033748</v>
          </cell>
          <cell r="J658" t="str">
            <v>Main SB</v>
          </cell>
          <cell r="K658" t="str">
            <v>18325-40-4</v>
          </cell>
          <cell r="M658">
            <v>300</v>
          </cell>
          <cell r="N658">
            <v>22</v>
          </cell>
          <cell r="O658">
            <v>440</v>
          </cell>
          <cell r="V658" t="str">
            <v>MCB</v>
          </cell>
          <cell r="AF658">
            <v>1982</v>
          </cell>
          <cell r="AG658" t="str">
            <v>3A</v>
          </cell>
          <cell r="AH658" t="str">
            <v>Dave Sutton</v>
          </cell>
          <cell r="AI658" t="str">
            <v>WC</v>
          </cell>
          <cell r="AJ658"/>
        </row>
        <row r="659">
          <cell r="E659" t="str">
            <v>S0029118</v>
          </cell>
          <cell r="F659" t="str">
            <v>SPS CONNOLLY DR CLARKSON</v>
          </cell>
          <cell r="H659" t="str">
            <v>Site Main SB (dwg IM17-40-1)</v>
          </cell>
          <cell r="I659" t="str">
            <v>S0029121</v>
          </cell>
          <cell r="J659" t="str">
            <v>Main SB</v>
          </cell>
          <cell r="K659" t="str">
            <v>BM73-41-4</v>
          </cell>
          <cell r="M659">
            <v>315</v>
          </cell>
          <cell r="N659">
            <v>22</v>
          </cell>
          <cell r="O659">
            <v>415</v>
          </cell>
          <cell r="V659" t="str">
            <v>MCB</v>
          </cell>
          <cell r="W659">
            <v>400</v>
          </cell>
          <cell r="AA659">
            <v>415</v>
          </cell>
          <cell r="AF659">
            <v>1989</v>
          </cell>
          <cell r="AG659" t="str">
            <v>3B</v>
          </cell>
          <cell r="AH659" t="str">
            <v>Dave Sutton</v>
          </cell>
          <cell r="AI659" t="str">
            <v>WC</v>
          </cell>
          <cell r="AJ659"/>
        </row>
        <row r="660">
          <cell r="E660" t="str">
            <v>S0029118</v>
          </cell>
          <cell r="F660" t="str">
            <v>SPS CONNOLLY DR CLARKSON</v>
          </cell>
          <cell r="H660" t="str">
            <v>Aupply Auth</v>
          </cell>
          <cell r="I660" t="str">
            <v>S0029121</v>
          </cell>
          <cell r="J660" t="str">
            <v>Site Main SB</v>
          </cell>
          <cell r="K660" t="str">
            <v>IM17-40-1</v>
          </cell>
          <cell r="M660">
            <v>315</v>
          </cell>
          <cell r="N660">
            <v>22</v>
          </cell>
          <cell r="O660">
            <v>415</v>
          </cell>
          <cell r="S660" t="str">
            <v>XLPE/PVC</v>
          </cell>
          <cell r="T660" t="str">
            <v>2 x 150mm2</v>
          </cell>
          <cell r="V660" t="str">
            <v>MCB</v>
          </cell>
          <cell r="W660">
            <v>630</v>
          </cell>
          <cell r="AA660">
            <v>415</v>
          </cell>
          <cell r="AF660">
            <v>2006</v>
          </cell>
          <cell r="AG660" t="str">
            <v>3B</v>
          </cell>
          <cell r="AH660" t="str">
            <v>Dave Sutton</v>
          </cell>
          <cell r="AI660" t="str">
            <v>WC</v>
          </cell>
        </row>
        <row r="661">
          <cell r="E661" t="str">
            <v>S001-001-023</v>
          </cell>
          <cell r="F661" t="str">
            <v>Woodman Point WWTP</v>
          </cell>
          <cell r="G661" t="str">
            <v>W</v>
          </cell>
          <cell r="H661" t="str">
            <v>OCF Auxillary Switchboard</v>
          </cell>
          <cell r="J661" t="str">
            <v>Workshops switchboard W</v>
          </cell>
          <cell r="AG661" t="str">
            <v>g</v>
          </cell>
          <cell r="AH661" t="str">
            <v>Peter Haris</v>
          </cell>
          <cell r="AI661" t="str">
            <v>Arroona Alliance</v>
          </cell>
          <cell r="AJ661" t="str">
            <v>Recommended fro stage 3 by Kane Hornsey 25/2/15</v>
          </cell>
        </row>
        <row r="662">
          <cell r="E662" t="str">
            <v>W3000688</v>
          </cell>
          <cell r="F662" t="str">
            <v>Broome Transfer PS &amp; Tank Site</v>
          </cell>
          <cell r="H662" t="str">
            <v>415V Main SB</v>
          </cell>
          <cell r="I662" t="str">
            <v>WZ009135</v>
          </cell>
          <cell r="J662" t="str">
            <v>MCC SUB-BOARD</v>
          </cell>
          <cell r="K662" t="str">
            <v>FJ65-55-1</v>
          </cell>
          <cell r="M662">
            <v>500</v>
          </cell>
          <cell r="N662">
            <v>11</v>
          </cell>
          <cell r="O662">
            <v>415</v>
          </cell>
          <cell r="S662" t="str">
            <v>XLPE/PVC</v>
          </cell>
          <cell r="T662" t="str">
            <v>6x1C 240mm2</v>
          </cell>
          <cell r="V662" t="str">
            <v>MCB</v>
          </cell>
          <cell r="W662">
            <v>800</v>
          </cell>
          <cell r="AA662">
            <v>415</v>
          </cell>
          <cell r="AB662">
            <v>800</v>
          </cell>
          <cell r="AC662">
            <v>25</v>
          </cell>
          <cell r="AD662">
            <v>1</v>
          </cell>
          <cell r="AE662">
            <v>15.46</v>
          </cell>
          <cell r="AF662">
            <v>2000</v>
          </cell>
          <cell r="AG662" t="str">
            <v>3B</v>
          </cell>
          <cell r="AH662" t="str">
            <v>Steve Farquhar</v>
          </cell>
          <cell r="AI662" t="str">
            <v>WC</v>
          </cell>
        </row>
        <row r="663">
          <cell r="E663" t="str">
            <v>W3000688</v>
          </cell>
          <cell r="F663" t="str">
            <v>Broome Transfer PS &amp; Tank Site</v>
          </cell>
          <cell r="H663" t="str">
            <v>415V Main SB</v>
          </cell>
          <cell r="J663" t="str">
            <v>Pump Control Cubicle</v>
          </cell>
          <cell r="K663" t="str">
            <v>FJ65-55-1</v>
          </cell>
          <cell r="AG663" t="str">
            <v>g</v>
          </cell>
          <cell r="AH663" t="str">
            <v>Steve Farquhar</v>
          </cell>
          <cell r="AI663" t="str">
            <v>WC</v>
          </cell>
        </row>
        <row r="664">
          <cell r="E664" t="str">
            <v>W3000688</v>
          </cell>
          <cell r="F664" t="str">
            <v>Broome Transfer PS &amp; Tank Site</v>
          </cell>
          <cell r="H664" t="str">
            <v>415V Main SB</v>
          </cell>
          <cell r="I664" t="str">
            <v>W3000692</v>
          </cell>
          <cell r="J664" t="str">
            <v>WC Depot SB</v>
          </cell>
          <cell r="K664" t="str">
            <v>FJ65-55-1</v>
          </cell>
          <cell r="M664">
            <v>500</v>
          </cell>
          <cell r="N664">
            <v>11</v>
          </cell>
          <cell r="O664">
            <v>415</v>
          </cell>
          <cell r="V664" t="str">
            <v>MCB</v>
          </cell>
          <cell r="W664">
            <v>400</v>
          </cell>
          <cell r="X664" t="str">
            <v>FJ65-55-1</v>
          </cell>
          <cell r="AG664" t="str">
            <v>3B</v>
          </cell>
          <cell r="AH664" t="str">
            <v>Steve Farquhar</v>
          </cell>
          <cell r="AI664" t="str">
            <v>WC</v>
          </cell>
        </row>
        <row r="665">
          <cell r="E665" t="str">
            <v>W3000688</v>
          </cell>
          <cell r="F665" t="str">
            <v>Broome Transfer PS &amp; Tank Site</v>
          </cell>
          <cell r="H665" t="str">
            <v>415V Main SB</v>
          </cell>
          <cell r="I665" t="str">
            <v>WZ009136</v>
          </cell>
          <cell r="J665" t="str">
            <v>Light and Power DB</v>
          </cell>
          <cell r="K665" t="str">
            <v>FJ65-55-1</v>
          </cell>
          <cell r="M665">
            <v>500</v>
          </cell>
          <cell r="N665">
            <v>11</v>
          </cell>
          <cell r="O665">
            <v>415</v>
          </cell>
          <cell r="V665" t="str">
            <v>MCB</v>
          </cell>
          <cell r="AA665">
            <v>415</v>
          </cell>
          <cell r="AB665">
            <v>100</v>
          </cell>
          <cell r="AC665">
            <v>10</v>
          </cell>
          <cell r="AG665" t="str">
            <v>3B</v>
          </cell>
          <cell r="AH665" t="str">
            <v>Steve Farquhar</v>
          </cell>
          <cell r="AI665" t="str">
            <v>WC</v>
          </cell>
        </row>
        <row r="666">
          <cell r="E666" t="str">
            <v>S001-001-023</v>
          </cell>
          <cell r="F666" t="str">
            <v>Woodman Point WWTP</v>
          </cell>
          <cell r="G666" t="str">
            <v>MC07201</v>
          </cell>
          <cell r="H666" t="str">
            <v>MC-07102 or MC-07101</v>
          </cell>
          <cell r="J666" t="str">
            <v>Auxillary Distribution Board</v>
          </cell>
          <cell r="K666" t="str">
            <v>FL45-50-4</v>
          </cell>
          <cell r="O666">
            <v>415</v>
          </cell>
          <cell r="V666" t="str">
            <v>MCB</v>
          </cell>
          <cell r="W666">
            <v>1000</v>
          </cell>
          <cell r="AA666">
            <v>415</v>
          </cell>
          <cell r="AB666">
            <v>1000</v>
          </cell>
          <cell r="AC666">
            <v>80</v>
          </cell>
          <cell r="AD666">
            <v>1</v>
          </cell>
          <cell r="AF666">
            <v>2010</v>
          </cell>
          <cell r="AG666" t="str">
            <v>3B</v>
          </cell>
          <cell r="AH666" t="str">
            <v>Peter Haris</v>
          </cell>
          <cell r="AI666" t="str">
            <v>Arroona Alliance</v>
          </cell>
        </row>
        <row r="667">
          <cell r="E667" t="str">
            <v>S001-001-023</v>
          </cell>
          <cell r="F667" t="str">
            <v>Woodman Point WWTP</v>
          </cell>
          <cell r="G667" t="str">
            <v>DB-C</v>
          </cell>
          <cell r="H667" t="str">
            <v>DB70201</v>
          </cell>
          <cell r="J667" t="str">
            <v>Admin Building UPS</v>
          </cell>
          <cell r="K667" t="str">
            <v>15505-41-218</v>
          </cell>
          <cell r="W667">
            <v>32</v>
          </cell>
          <cell r="AH667" t="str">
            <v>Peter Haris</v>
          </cell>
          <cell r="AI667" t="str">
            <v>Arroona Alliance</v>
          </cell>
        </row>
        <row r="668">
          <cell r="E668" t="str">
            <v>S001-001-023</v>
          </cell>
          <cell r="F668" t="str">
            <v>Woodman Point WWTP</v>
          </cell>
          <cell r="G668" t="str">
            <v>DB70201</v>
          </cell>
          <cell r="H668" t="str">
            <v>MC07201</v>
          </cell>
          <cell r="J668" t="str">
            <v>Switchroom Light &amp; Small Power DB</v>
          </cell>
          <cell r="K668" t="str">
            <v>FL45-50-8</v>
          </cell>
          <cell r="O668">
            <v>415</v>
          </cell>
          <cell r="V668" t="str">
            <v>MCB</v>
          </cell>
          <cell r="W668">
            <v>250</v>
          </cell>
          <cell r="AG668" t="str">
            <v>3B</v>
          </cell>
          <cell r="AH668" t="str">
            <v>Peter Haris</v>
          </cell>
          <cell r="AI668" t="str">
            <v>Arroona Alliance</v>
          </cell>
        </row>
        <row r="669">
          <cell r="E669" t="str">
            <v>S001-001-023</v>
          </cell>
          <cell r="F669" t="str">
            <v>Woodman Point WWTP</v>
          </cell>
          <cell r="G669" t="str">
            <v>DB-G</v>
          </cell>
          <cell r="H669" t="str">
            <v>MC20102</v>
          </cell>
          <cell r="J669" t="str">
            <v>Primary Treatment Dist Board</v>
          </cell>
          <cell r="K669" t="str">
            <v>FL45-42-12</v>
          </cell>
          <cell r="W669">
            <v>63</v>
          </cell>
          <cell r="AH669" t="str">
            <v>Peter Haris</v>
          </cell>
          <cell r="AI669" t="str">
            <v>Arroona Alliance</v>
          </cell>
        </row>
        <row r="670">
          <cell r="E670" t="str">
            <v>S001-001-023</v>
          </cell>
          <cell r="F670" t="str">
            <v>Woodman Point WWTP</v>
          </cell>
          <cell r="G670" t="str">
            <v>MLC-P3</v>
          </cell>
          <cell r="H670" t="str">
            <v>MC20102</v>
          </cell>
          <cell r="J670" t="str">
            <v>Chlorine Building</v>
          </cell>
          <cell r="K670" t="str">
            <v>15505-42-31</v>
          </cell>
          <cell r="W670">
            <v>63</v>
          </cell>
          <cell r="AH670" t="str">
            <v>Peter Haris</v>
          </cell>
          <cell r="AI670" t="str">
            <v>Arroona Alliance</v>
          </cell>
        </row>
        <row r="671">
          <cell r="E671" t="str">
            <v>S001-001-023</v>
          </cell>
          <cell r="F671" t="str">
            <v>Woodman Point WWTP</v>
          </cell>
          <cell r="G671" t="str">
            <v>DB-A</v>
          </cell>
          <cell r="H671" t="str">
            <v>MC07201</v>
          </cell>
          <cell r="J671" t="str">
            <v>Admin Building Switchboard</v>
          </cell>
          <cell r="K671" t="str">
            <v>15505-41-218</v>
          </cell>
          <cell r="O671">
            <v>415</v>
          </cell>
          <cell r="V671" t="str">
            <v>Fuse</v>
          </cell>
          <cell r="W671">
            <v>200</v>
          </cell>
          <cell r="AA671">
            <v>415</v>
          </cell>
          <cell r="AC671">
            <v>20</v>
          </cell>
          <cell r="AG671" t="str">
            <v>3B</v>
          </cell>
          <cell r="AH671" t="str">
            <v>Peter Haris</v>
          </cell>
          <cell r="AI671" t="str">
            <v>Arroona Alliance</v>
          </cell>
        </row>
        <row r="672">
          <cell r="E672" t="str">
            <v>S001-001-023</v>
          </cell>
          <cell r="F672" t="str">
            <v>Woodman Point WWTP</v>
          </cell>
          <cell r="G672" t="str">
            <v>DB-S</v>
          </cell>
          <cell r="H672" t="str">
            <v>MC07201</v>
          </cell>
          <cell r="J672" t="str">
            <v>Amenities &amp; Workshop Building ('W')</v>
          </cell>
          <cell r="K672" t="str">
            <v>15505-41-218</v>
          </cell>
          <cell r="O672">
            <v>415</v>
          </cell>
          <cell r="V672" t="str">
            <v>MCB</v>
          </cell>
          <cell r="W672">
            <v>100</v>
          </cell>
          <cell r="AA672">
            <v>415</v>
          </cell>
          <cell r="AG672" t="str">
            <v>3B</v>
          </cell>
          <cell r="AH672" t="str">
            <v>Peter Haris</v>
          </cell>
          <cell r="AI672" t="str">
            <v>Arroona Alliance</v>
          </cell>
          <cell r="AJ672" t="str">
            <v xml:space="preserve">may be effered to as switchboard W. Also see drawing </v>
          </cell>
        </row>
        <row r="673">
          <cell r="E673" t="str">
            <v>W0004790</v>
          </cell>
          <cell r="F673" t="str">
            <v xml:space="preserve">Jandakot Clearwater PS </v>
          </cell>
          <cell r="G673" t="str">
            <v>No.2</v>
          </cell>
          <cell r="H673" t="str">
            <v>E1</v>
          </cell>
          <cell r="J673" t="str">
            <v>Filters Building Switchboard No.2</v>
          </cell>
          <cell r="K673" t="str">
            <v>14772-42-20</v>
          </cell>
          <cell r="O673">
            <v>415</v>
          </cell>
          <cell r="V673" t="str">
            <v>MCB</v>
          </cell>
          <cell r="W673">
            <v>250</v>
          </cell>
          <cell r="AA673">
            <v>415</v>
          </cell>
          <cell r="AB673">
            <v>250</v>
          </cell>
          <cell r="AC673">
            <v>8</v>
          </cell>
          <cell r="AD673">
            <v>1</v>
          </cell>
          <cell r="AG673" t="str">
            <v>3B</v>
          </cell>
          <cell r="AH673" t="str">
            <v>Chris Cooper</v>
          </cell>
          <cell r="AI673" t="str">
            <v>Arroona Alliance</v>
          </cell>
        </row>
        <row r="674">
          <cell r="E674" t="str">
            <v>W0004790</v>
          </cell>
          <cell r="F674" t="str">
            <v>Jandakot GWTP</v>
          </cell>
          <cell r="G674" t="str">
            <v>E33</v>
          </cell>
          <cell r="H674" t="str">
            <v>E1</v>
          </cell>
          <cell r="I674" t="str">
            <v>W0005136</v>
          </cell>
          <cell r="J674" t="str">
            <v>Power &amp; Lighting Control Fuse Panel</v>
          </cell>
          <cell r="K674" t="str">
            <v>14772-40-7</v>
          </cell>
          <cell r="O674">
            <v>415</v>
          </cell>
          <cell r="V674" t="str">
            <v>MCB</v>
          </cell>
          <cell r="W674">
            <v>200</v>
          </cell>
          <cell r="AA674">
            <v>415</v>
          </cell>
          <cell r="AB674">
            <v>125</v>
          </cell>
          <cell r="AC674">
            <v>17</v>
          </cell>
          <cell r="AD674">
            <v>1</v>
          </cell>
          <cell r="AF674">
            <v>2008</v>
          </cell>
          <cell r="AG674" t="str">
            <v>3B</v>
          </cell>
          <cell r="AH674" t="str">
            <v>Chris Cooper</v>
          </cell>
          <cell r="AI674" t="str">
            <v>Arroona Alliance</v>
          </cell>
        </row>
        <row r="675">
          <cell r="E675" t="str">
            <v>W0004790</v>
          </cell>
          <cell r="F675" t="str">
            <v>Jandakot GWTP</v>
          </cell>
          <cell r="G675" t="str">
            <v>E28</v>
          </cell>
          <cell r="H675" t="str">
            <v>E1</v>
          </cell>
          <cell r="J675" t="str">
            <v>22kV Clearwater Switchroom DB</v>
          </cell>
          <cell r="K675" t="str">
            <v>14772-41-44</v>
          </cell>
          <cell r="V675" t="str">
            <v>CFS</v>
          </cell>
          <cell r="W675">
            <v>160</v>
          </cell>
          <cell r="AF675">
            <v>2014</v>
          </cell>
          <cell r="AG675" t="str">
            <v>3B</v>
          </cell>
          <cell r="AH675" t="str">
            <v>Chris Cooper</v>
          </cell>
          <cell r="AI675" t="str">
            <v>Arroona Alliance</v>
          </cell>
        </row>
        <row r="676">
          <cell r="E676" t="str">
            <v>W0004790</v>
          </cell>
          <cell r="F676" t="str">
            <v>Jandakot GWTP</v>
          </cell>
          <cell r="G676" t="str">
            <v>ESS PU66010</v>
          </cell>
          <cell r="H676" t="str">
            <v>E1</v>
          </cell>
          <cell r="I676" t="str">
            <v>W0004819</v>
          </cell>
          <cell r="J676" t="str">
            <v>Soft Starter Clearwater Pump No2</v>
          </cell>
          <cell r="K676" t="str">
            <v>14772-40-5.1</v>
          </cell>
          <cell r="V676" t="str">
            <v>ACB</v>
          </cell>
          <cell r="W676">
            <v>630</v>
          </cell>
          <cell r="AG676" t="str">
            <v>3B</v>
          </cell>
          <cell r="AH676" t="str">
            <v>Chris Cooper</v>
          </cell>
          <cell r="AI676" t="str">
            <v>Arroona Alliance</v>
          </cell>
        </row>
        <row r="677">
          <cell r="E677" t="str">
            <v>W0004790</v>
          </cell>
          <cell r="F677" t="str">
            <v>Jandakot GWTP</v>
          </cell>
          <cell r="G677" t="str">
            <v>ESS PU66015</v>
          </cell>
          <cell r="H677" t="str">
            <v>E1</v>
          </cell>
          <cell r="J677" t="str">
            <v>Soft Starter Clearwater Pump No3</v>
          </cell>
          <cell r="K677" t="str">
            <v>14772-40-5.1</v>
          </cell>
          <cell r="V677" t="str">
            <v>ACB</v>
          </cell>
          <cell r="W677">
            <v>800</v>
          </cell>
          <cell r="AF677" t="str">
            <v>2014?</v>
          </cell>
          <cell r="AG677" t="str">
            <v>US</v>
          </cell>
          <cell r="AJ677" t="str">
            <v>Already has an arc flash detector installed</v>
          </cell>
        </row>
        <row r="678">
          <cell r="E678" t="str">
            <v>W0004790</v>
          </cell>
          <cell r="F678" t="str">
            <v>Jandakot GWTP</v>
          </cell>
          <cell r="G678" t="str">
            <v>ESS PU20001</v>
          </cell>
          <cell r="H678" t="str">
            <v>E1</v>
          </cell>
          <cell r="J678" t="str">
            <v>Soft Starter Clearwater Pump No4</v>
          </cell>
          <cell r="K678" t="str">
            <v>14772-40-5.1</v>
          </cell>
          <cell r="V678" t="str">
            <v>ACB</v>
          </cell>
          <cell r="W678">
            <v>800</v>
          </cell>
          <cell r="AF678" t="str">
            <v>2014?</v>
          </cell>
          <cell r="AG678" t="str">
            <v>US</v>
          </cell>
          <cell r="AJ678" t="str">
            <v>Already has an arc flash detector installed</v>
          </cell>
        </row>
        <row r="679">
          <cell r="E679" t="str">
            <v>W0004790</v>
          </cell>
          <cell r="F679" t="str">
            <v>Jandakot GWTP</v>
          </cell>
          <cell r="G679" t="str">
            <v>ESS PU66003</v>
          </cell>
          <cell r="H679" t="str">
            <v>E1</v>
          </cell>
          <cell r="I679" t="str">
            <v>W0004811</v>
          </cell>
          <cell r="J679" t="str">
            <v>Soft Starter Clearwater Pump No1</v>
          </cell>
          <cell r="K679" t="str">
            <v>14772-40-5.1</v>
          </cell>
          <cell r="V679" t="str">
            <v>ACB</v>
          </cell>
          <cell r="W679">
            <v>630</v>
          </cell>
          <cell r="AG679" t="str">
            <v>3B</v>
          </cell>
          <cell r="AH679" t="str">
            <v>Chris Cooper</v>
          </cell>
          <cell r="AI679" t="str">
            <v>Arroona Alliance</v>
          </cell>
        </row>
        <row r="680">
          <cell r="E680" t="str">
            <v>W0004790</v>
          </cell>
          <cell r="F680" t="str">
            <v>Jandakot GWTP</v>
          </cell>
          <cell r="G680" t="str">
            <v>PFC</v>
          </cell>
          <cell r="H680" t="str">
            <v>E1</v>
          </cell>
          <cell r="J680" t="str">
            <v>Power Factor Correction Unit</v>
          </cell>
          <cell r="K680" t="str">
            <v>14772-40-5.1</v>
          </cell>
          <cell r="V680" t="str">
            <v>ACB</v>
          </cell>
          <cell r="W680">
            <v>630</v>
          </cell>
          <cell r="AF680" t="str">
            <v>2014?</v>
          </cell>
          <cell r="AG680" t="str">
            <v>US</v>
          </cell>
          <cell r="AJ680" t="str">
            <v>Already has an arc flash detector installed</v>
          </cell>
        </row>
        <row r="681">
          <cell r="E681" t="str">
            <v>W0004790</v>
          </cell>
          <cell r="F681" t="str">
            <v>Jandakot GWTP</v>
          </cell>
          <cell r="G681" t="str">
            <v>ATS J5 BORE</v>
          </cell>
          <cell r="H681" t="str">
            <v>E1</v>
          </cell>
          <cell r="J681" t="str">
            <v>ATS J5 Bore Pump</v>
          </cell>
          <cell r="K681" t="str">
            <v>14772-40-5.1</v>
          </cell>
          <cell r="V681" t="str">
            <v>ACB</v>
          </cell>
          <cell r="W681">
            <v>630</v>
          </cell>
          <cell r="AG681" t="str">
            <v>3B</v>
          </cell>
          <cell r="AH681" t="str">
            <v>Chris Cooper</v>
          </cell>
          <cell r="AI681" t="str">
            <v>Arroona Alliance</v>
          </cell>
        </row>
        <row r="682">
          <cell r="E682" t="str">
            <v>S0028441</v>
          </cell>
          <cell r="F682" t="str">
            <v>SPS GRINDLEFORD DR BALCATTA</v>
          </cell>
          <cell r="H682" t="str">
            <v>SEC Supply</v>
          </cell>
          <cell r="I682" t="str">
            <v>S0028447</v>
          </cell>
          <cell r="J682" t="str">
            <v>Switchboard SB1</v>
          </cell>
          <cell r="K682" t="str">
            <v>17617-40-3</v>
          </cell>
          <cell r="M682">
            <v>200</v>
          </cell>
          <cell r="N682">
            <v>11</v>
          </cell>
          <cell r="O682">
            <v>440</v>
          </cell>
          <cell r="V682" t="str">
            <v>Fuse</v>
          </cell>
          <cell r="W682">
            <v>200</v>
          </cell>
          <cell r="AF682">
            <v>1981</v>
          </cell>
          <cell r="AG682" t="str">
            <v>3B</v>
          </cell>
          <cell r="AH682" t="str">
            <v>Dave Sutton</v>
          </cell>
          <cell r="AI682" t="str">
            <v>WC</v>
          </cell>
        </row>
        <row r="683">
          <cell r="E683" t="str">
            <v>D0036159</v>
          </cell>
          <cell r="F683" t="str">
            <v>DPS MERRICK WY DUNCRAIG</v>
          </cell>
          <cell r="H683" t="str">
            <v>SEC Supply</v>
          </cell>
          <cell r="I683" t="str">
            <v>D0036163</v>
          </cell>
          <cell r="J683" t="str">
            <v>Main SB</v>
          </cell>
          <cell r="K683" t="str">
            <v>18904-40-1</v>
          </cell>
          <cell r="M683">
            <v>200</v>
          </cell>
          <cell r="N683">
            <v>22</v>
          </cell>
          <cell r="O683">
            <v>440</v>
          </cell>
          <cell r="V683" t="str">
            <v>Fuse</v>
          </cell>
          <cell r="W683">
            <v>250</v>
          </cell>
          <cell r="AF683">
            <v>1985</v>
          </cell>
          <cell r="AG683" t="str">
            <v>3B</v>
          </cell>
          <cell r="AH683" t="str">
            <v>Dave Sutton</v>
          </cell>
          <cell r="AI683" t="str">
            <v>WC</v>
          </cell>
        </row>
        <row r="684">
          <cell r="E684" t="str">
            <v>S0032762</v>
          </cell>
          <cell r="F684" t="str">
            <v>SPS LAKE RD SEVILLE GROVE</v>
          </cell>
          <cell r="H684" t="str">
            <v>SEC Supply</v>
          </cell>
          <cell r="I684" t="str">
            <v>S0032770</v>
          </cell>
          <cell r="J684" t="str">
            <v>Main SB</v>
          </cell>
          <cell r="K684" t="str">
            <v>10341-40-8</v>
          </cell>
          <cell r="M684">
            <v>200</v>
          </cell>
          <cell r="N684">
            <v>22</v>
          </cell>
          <cell r="O684">
            <v>415</v>
          </cell>
          <cell r="V684" t="str">
            <v>MCB</v>
          </cell>
          <cell r="W684">
            <v>300</v>
          </cell>
          <cell r="AF684">
            <v>1970</v>
          </cell>
          <cell r="AG684" t="str">
            <v>3B</v>
          </cell>
          <cell r="AH684" t="str">
            <v>Dave Sutton</v>
          </cell>
          <cell r="AI684" t="str">
            <v>WC</v>
          </cell>
        </row>
        <row r="685">
          <cell r="E685" t="str">
            <v>S0033047</v>
          </cell>
          <cell r="F685" t="str">
            <v>SPS MANNING RD WEST KARAWARA</v>
          </cell>
          <cell r="I685" t="str">
            <v>S0033053</v>
          </cell>
          <cell r="J685" t="str">
            <v>Main Switchboard SB1</v>
          </cell>
          <cell r="K685" t="str">
            <v>10363-40-2</v>
          </cell>
          <cell r="M685">
            <v>200</v>
          </cell>
          <cell r="N685">
            <v>11</v>
          </cell>
          <cell r="O685">
            <v>440</v>
          </cell>
          <cell r="AF685">
            <v>1970</v>
          </cell>
          <cell r="AG685" t="str">
            <v>3B</v>
          </cell>
          <cell r="AH685" t="str">
            <v>Dave Sutton</v>
          </cell>
          <cell r="AI685" t="str">
            <v>WC</v>
          </cell>
        </row>
        <row r="686">
          <cell r="E686" t="str">
            <v>S0031709</v>
          </cell>
          <cell r="F686" t="str">
            <v>SPS HASLER RD OSBORNE PARK</v>
          </cell>
          <cell r="I686" t="str">
            <v>S0031713</v>
          </cell>
          <cell r="J686" t="str">
            <v>Main SB</v>
          </cell>
          <cell r="K686" t="str">
            <v>AL11-40-1</v>
          </cell>
          <cell r="M686">
            <v>200</v>
          </cell>
          <cell r="N686">
            <v>11</v>
          </cell>
          <cell r="O686">
            <v>440</v>
          </cell>
          <cell r="V686" t="str">
            <v>CFS</v>
          </cell>
          <cell r="W686">
            <v>250</v>
          </cell>
          <cell r="AF686">
            <v>1984</v>
          </cell>
          <cell r="AG686" t="str">
            <v>3B</v>
          </cell>
          <cell r="AH686" t="str">
            <v>Dave Sutton</v>
          </cell>
          <cell r="AI686" t="str">
            <v>WC</v>
          </cell>
        </row>
        <row r="687">
          <cell r="E687" t="str">
            <v>W0035353</v>
          </cell>
          <cell r="F687" t="str">
            <v>WPS GREAT NORTHERN HWY UPPER SWAN</v>
          </cell>
          <cell r="I687" t="str">
            <v>W0035358</v>
          </cell>
          <cell r="M687">
            <v>100</v>
          </cell>
          <cell r="AF687">
            <v>1969</v>
          </cell>
          <cell r="AH687" t="str">
            <v>Dave Sutton</v>
          </cell>
          <cell r="AI687" t="str">
            <v>WC</v>
          </cell>
        </row>
        <row r="688">
          <cell r="E688" t="str">
            <v>S2017556</v>
          </cell>
          <cell r="F688" t="str">
            <v>SPS SAFETY BAY RD STH WARNBRO</v>
          </cell>
          <cell r="H688" t="str">
            <v>Western Power</v>
          </cell>
          <cell r="I688" t="str">
            <v>S2018369</v>
          </cell>
          <cell r="J688" t="str">
            <v>Main SB</v>
          </cell>
          <cell r="K688" t="str">
            <v>HB62-40-1</v>
          </cell>
          <cell r="M688">
            <v>500</v>
          </cell>
          <cell r="N688">
            <v>22</v>
          </cell>
          <cell r="O688">
            <v>415</v>
          </cell>
          <cell r="V688" t="str">
            <v>MCB</v>
          </cell>
          <cell r="W688">
            <v>1000</v>
          </cell>
          <cell r="X688" t="str">
            <v>HB62-40-2</v>
          </cell>
          <cell r="AF688">
            <v>2005</v>
          </cell>
          <cell r="AG688" t="str">
            <v>3B</v>
          </cell>
          <cell r="AH688" t="str">
            <v>Dave Sutton</v>
          </cell>
          <cell r="AI688" t="str">
            <v>WC</v>
          </cell>
        </row>
        <row r="689">
          <cell r="E689" t="str">
            <v>S0038055</v>
          </cell>
          <cell r="F689" t="str">
            <v>SPS WORDSWORTH AV YOKINE</v>
          </cell>
          <cell r="H689" t="str">
            <v>Supply Authority</v>
          </cell>
          <cell r="I689" t="str">
            <v>S0038059</v>
          </cell>
          <cell r="J689" t="str">
            <v>Main SB</v>
          </cell>
          <cell r="K689" t="str">
            <v>ED51-41-5</v>
          </cell>
          <cell r="M689">
            <v>300</v>
          </cell>
          <cell r="V689" t="str">
            <v>MCB</v>
          </cell>
          <cell r="W689">
            <v>80</v>
          </cell>
          <cell r="AF689">
            <v>1998</v>
          </cell>
          <cell r="AH689" t="str">
            <v>Dave Sutton</v>
          </cell>
          <cell r="AI689" t="str">
            <v>WC</v>
          </cell>
        </row>
        <row r="690">
          <cell r="E690" t="str">
            <v>S2017556</v>
          </cell>
          <cell r="F690" t="str">
            <v>SPS SAFETY BAY RD STH WARNBRO</v>
          </cell>
          <cell r="H690" t="str">
            <v>Main SB</v>
          </cell>
          <cell r="I690" t="str">
            <v>SZ015581</v>
          </cell>
          <cell r="J690" t="str">
            <v>No1 VSD 250kW</v>
          </cell>
          <cell r="K690" t="str">
            <v>HB62-41-7-1</v>
          </cell>
          <cell r="M690">
            <v>500</v>
          </cell>
          <cell r="N690">
            <v>22</v>
          </cell>
          <cell r="O690">
            <v>415</v>
          </cell>
          <cell r="V690" t="str">
            <v>MCB</v>
          </cell>
          <cell r="W690">
            <v>460</v>
          </cell>
          <cell r="AF690">
            <v>2005</v>
          </cell>
          <cell r="AG690" t="str">
            <v>3B</v>
          </cell>
          <cell r="AH690" t="str">
            <v>Dave Sutton</v>
          </cell>
          <cell r="AI690" t="str">
            <v>WC</v>
          </cell>
        </row>
        <row r="691">
          <cell r="E691" t="str">
            <v>S2017556</v>
          </cell>
          <cell r="F691" t="str">
            <v>SPS SAFETY BAY RD STH WARNBRO</v>
          </cell>
          <cell r="H691" t="str">
            <v>Main SB</v>
          </cell>
          <cell r="I691" t="str">
            <v>SZ015582</v>
          </cell>
          <cell r="J691" t="str">
            <v>No2 VSD 250kW</v>
          </cell>
          <cell r="K691" t="str">
            <v>HB62-41-8-1</v>
          </cell>
          <cell r="M691">
            <v>500</v>
          </cell>
          <cell r="N691">
            <v>22</v>
          </cell>
          <cell r="O691">
            <v>415</v>
          </cell>
          <cell r="V691" t="str">
            <v>MCB</v>
          </cell>
          <cell r="W691">
            <v>460</v>
          </cell>
          <cell r="AF691">
            <v>2005</v>
          </cell>
          <cell r="AG691" t="str">
            <v>3B</v>
          </cell>
          <cell r="AH691" t="str">
            <v>Dave Sutton</v>
          </cell>
          <cell r="AI691" t="str">
            <v>WC</v>
          </cell>
        </row>
        <row r="692">
          <cell r="E692" t="str">
            <v>W0035176</v>
          </cell>
          <cell r="F692" t="str">
            <v>WPS CANNING RD WALLISTON</v>
          </cell>
          <cell r="H692" t="str">
            <v>Main SB &amp; Emergency Gen</v>
          </cell>
          <cell r="J692" t="str">
            <v>Mains Changeover Cubicle</v>
          </cell>
          <cell r="K692" t="str">
            <v>12215-41-3</v>
          </cell>
          <cell r="M692">
            <v>300</v>
          </cell>
          <cell r="V692" t="str">
            <v>Fuse</v>
          </cell>
          <cell r="W692">
            <v>315</v>
          </cell>
          <cell r="AA692">
            <v>415</v>
          </cell>
          <cell r="AG692" t="str">
            <v>3A</v>
          </cell>
          <cell r="AH692" t="str">
            <v>Dave Sutton</v>
          </cell>
          <cell r="AI692" t="str">
            <v>WC</v>
          </cell>
          <cell r="AJ692" t="str">
            <v>Walk-in Site</v>
          </cell>
        </row>
        <row r="693">
          <cell r="E693" t="str">
            <v>W0025960</v>
          </cell>
          <cell r="F693" t="str">
            <v>Cable Beach Booster PS</v>
          </cell>
          <cell r="H693" t="str">
            <v>SEC Supply</v>
          </cell>
          <cell r="I693" t="str">
            <v>W0025969</v>
          </cell>
          <cell r="K693" t="str">
            <v>BT81-41-9</v>
          </cell>
          <cell r="M693">
            <v>200</v>
          </cell>
          <cell r="N693">
            <v>11</v>
          </cell>
          <cell r="O693">
            <v>440</v>
          </cell>
          <cell r="AG693" t="str">
            <v>3B</v>
          </cell>
          <cell r="AJ693" t="str">
            <v>Des has requested to be prioritised for Stage 3B</v>
          </cell>
        </row>
        <row r="694">
          <cell r="E694" t="str">
            <v>S001-001-003</v>
          </cell>
          <cell r="F694" t="str">
            <v>Beenyup WWTP</v>
          </cell>
          <cell r="H694" t="str">
            <v>MCC S2</v>
          </cell>
          <cell r="J694" t="str">
            <v>Heater Control Cubicle 4</v>
          </cell>
          <cell r="V694" t="str">
            <v>Fuse</v>
          </cell>
          <cell r="W694">
            <v>20</v>
          </cell>
          <cell r="AG694" t="str">
            <v>g</v>
          </cell>
          <cell r="AH694" t="str">
            <v>Rhys Jones</v>
          </cell>
          <cell r="AI694" t="str">
            <v>Arroona Alliance</v>
          </cell>
          <cell r="AJ694" t="str">
            <v>Old cabinets and equipment, no longer exisits</v>
          </cell>
        </row>
        <row r="695">
          <cell r="E695" t="str">
            <v>W0039317</v>
          </cell>
          <cell r="F695" t="str">
            <v>Allanooka Bore 2/92</v>
          </cell>
          <cell r="H695" t="str">
            <v>WC Tx</v>
          </cell>
          <cell r="I695" t="str">
            <v>W4009293</v>
          </cell>
          <cell r="J695" t="str">
            <v>BORE 2/92</v>
          </cell>
          <cell r="K695" t="str">
            <v>DW56-42-4</v>
          </cell>
          <cell r="M695">
            <v>200</v>
          </cell>
          <cell r="N695">
            <v>33</v>
          </cell>
          <cell r="O695">
            <v>440</v>
          </cell>
          <cell r="S695" t="str">
            <v>XLPE/PVC</v>
          </cell>
          <cell r="T695" t="str">
            <v>3x1C 95mm2</v>
          </cell>
          <cell r="V695" t="str">
            <v>MCB</v>
          </cell>
          <cell r="W695">
            <v>400</v>
          </cell>
          <cell r="AF695">
            <v>1996</v>
          </cell>
          <cell r="AG695" t="str">
            <v>3B</v>
          </cell>
          <cell r="AH695" t="str">
            <v>Russell Blyth</v>
          </cell>
          <cell r="AI695" t="str">
            <v>WC</v>
          </cell>
          <cell r="AJ695" t="str">
            <v>Standard external SwBd, Main switch (Merlin Gerin NS250, NS400) actuating lever breaks off - 2 of so far</v>
          </cell>
        </row>
        <row r="696">
          <cell r="E696" t="str">
            <v>W0039217</v>
          </cell>
          <cell r="F696" t="str">
            <v>Allanooka Bore 1/96</v>
          </cell>
          <cell r="H696" t="str">
            <v>WC Tx</v>
          </cell>
          <cell r="I696" t="str">
            <v>W4009290</v>
          </cell>
          <cell r="J696" t="str">
            <v>BORE 1/96</v>
          </cell>
          <cell r="K696" t="str">
            <v>DW56-42-4</v>
          </cell>
          <cell r="M696">
            <v>200</v>
          </cell>
          <cell r="N696">
            <v>33</v>
          </cell>
          <cell r="O696">
            <v>440</v>
          </cell>
          <cell r="S696" t="str">
            <v>XLPE/PVC</v>
          </cell>
          <cell r="T696" t="str">
            <v>3x1C 95mm2</v>
          </cell>
          <cell r="V696" t="str">
            <v>MCB</v>
          </cell>
          <cell r="W696">
            <v>250</v>
          </cell>
          <cell r="AF696">
            <v>1996</v>
          </cell>
          <cell r="AG696" t="str">
            <v>3B</v>
          </cell>
          <cell r="AH696" t="str">
            <v>Russell Blyth</v>
          </cell>
          <cell r="AI696" t="str">
            <v>WC</v>
          </cell>
          <cell r="AJ696" t="str">
            <v>Standard external SwBd, Main switch (Merlin Gerin NS250, NS400) actuating lever breaks off - 2 of so far</v>
          </cell>
        </row>
        <row r="697">
          <cell r="E697" t="str">
            <v>W0039329</v>
          </cell>
          <cell r="F697" t="str">
            <v>Allanooka Bore 2/96</v>
          </cell>
          <cell r="H697" t="str">
            <v>WC Tx</v>
          </cell>
          <cell r="I697" t="str">
            <v>W4009294</v>
          </cell>
          <cell r="J697" t="str">
            <v>BORE 2/96</v>
          </cell>
          <cell r="K697" t="str">
            <v>DW56-42-4</v>
          </cell>
          <cell r="M697">
            <v>200</v>
          </cell>
          <cell r="N697">
            <v>33</v>
          </cell>
          <cell r="O697">
            <v>440</v>
          </cell>
          <cell r="S697" t="str">
            <v>XLPE/PVC</v>
          </cell>
          <cell r="T697" t="str">
            <v>3x1C 95mm2</v>
          </cell>
          <cell r="V697" t="str">
            <v>MCB</v>
          </cell>
          <cell r="W697">
            <v>400</v>
          </cell>
          <cell r="AF697">
            <v>1996</v>
          </cell>
          <cell r="AG697" t="str">
            <v>3B</v>
          </cell>
          <cell r="AH697" t="str">
            <v>Russell Blyth</v>
          </cell>
          <cell r="AI697" t="str">
            <v>WC</v>
          </cell>
          <cell r="AJ697" t="str">
            <v>Standard external SwBd, Main switch (Merlin Gerin NS250, NS400) actuating lever breaks off - 2 of so far</v>
          </cell>
        </row>
        <row r="698">
          <cell r="E698" t="str">
            <v>W0039374</v>
          </cell>
          <cell r="F698" t="str">
            <v>Allanooka Bore 3/96</v>
          </cell>
          <cell r="H698" t="str">
            <v>WC Tx</v>
          </cell>
          <cell r="I698" t="str">
            <v>W4009295</v>
          </cell>
          <cell r="J698" t="str">
            <v>BORE 3/96</v>
          </cell>
          <cell r="K698" t="str">
            <v>DW56-42-4</v>
          </cell>
          <cell r="M698">
            <v>200</v>
          </cell>
          <cell r="N698">
            <v>33</v>
          </cell>
          <cell r="O698">
            <v>440</v>
          </cell>
          <cell r="S698" t="str">
            <v>XLPE/PVC</v>
          </cell>
          <cell r="T698" t="str">
            <v>3x1C 95mm2</v>
          </cell>
          <cell r="V698" t="str">
            <v>MCB</v>
          </cell>
          <cell r="W698">
            <v>400</v>
          </cell>
          <cell r="AF698">
            <v>1996</v>
          </cell>
          <cell r="AG698" t="str">
            <v>3B</v>
          </cell>
          <cell r="AH698" t="str">
            <v>Russell Blyth</v>
          </cell>
          <cell r="AI698" t="str">
            <v>WC</v>
          </cell>
          <cell r="AJ698" t="str">
            <v>Standard external SwBd, Main switch (Merlin Gerin NS250, NS400) actuating lever breaks off - 2 of so far</v>
          </cell>
        </row>
        <row r="699">
          <cell r="E699" t="str">
            <v>S001-001-003</v>
          </cell>
          <cell r="F699" t="str">
            <v>Beenyup WWTP</v>
          </cell>
          <cell r="G699" t="str">
            <v>DB4903</v>
          </cell>
          <cell r="H699" t="str">
            <v>MCC 9</v>
          </cell>
          <cell r="I699" t="str">
            <v>S0000360</v>
          </cell>
          <cell r="J699" t="str">
            <v>DIST BOARD DBL 4903 BLOWER HOUSE</v>
          </cell>
          <cell r="K699" t="str">
            <v>12410-40-734</v>
          </cell>
          <cell r="V699" t="str">
            <v>Fuse</v>
          </cell>
          <cell r="W699">
            <v>40</v>
          </cell>
          <cell r="AF699">
            <v>1998</v>
          </cell>
          <cell r="AG699" t="str">
            <v>3B</v>
          </cell>
          <cell r="AH699" t="str">
            <v>Rhys Jones</v>
          </cell>
          <cell r="AI699" t="str">
            <v>Arroona Alliance</v>
          </cell>
        </row>
        <row r="700">
          <cell r="E700" t="str">
            <v>S001-001-003</v>
          </cell>
          <cell r="F700" t="str">
            <v>Beenyup WWTP</v>
          </cell>
          <cell r="G700" t="str">
            <v>MC70101</v>
          </cell>
          <cell r="H700" t="str">
            <v>SB03101</v>
          </cell>
          <cell r="I700" t="str">
            <v>S1023235</v>
          </cell>
          <cell r="J700" t="str">
            <v>MCC MC70101 SLUDGE DIGESTION SERVICES</v>
          </cell>
          <cell r="AF700">
            <v>2014</v>
          </cell>
          <cell r="AH700" t="str">
            <v>Rhys Jones</v>
          </cell>
          <cell r="AI700" t="str">
            <v>Arroona Alliance</v>
          </cell>
          <cell r="AJ700" t="str">
            <v>This board has replaced MCCS2 (#460) as informed by Greg Shepherd (Doc # 12905550) - CS 25/05/2015</v>
          </cell>
        </row>
        <row r="701">
          <cell r="E701" t="str">
            <v>W0039419</v>
          </cell>
          <cell r="F701" t="str">
            <v>Allanooka Bore 5/95</v>
          </cell>
          <cell r="H701" t="str">
            <v>WC Tx</v>
          </cell>
          <cell r="I701" t="str">
            <v>W4009298</v>
          </cell>
          <cell r="J701" t="str">
            <v>BORE 5/95</v>
          </cell>
          <cell r="K701" t="str">
            <v>DW56-43-4</v>
          </cell>
          <cell r="M701">
            <v>200</v>
          </cell>
          <cell r="N701">
            <v>33</v>
          </cell>
          <cell r="O701">
            <v>440</v>
          </cell>
          <cell r="S701" t="str">
            <v>XLPE/PVC</v>
          </cell>
          <cell r="T701" t="str">
            <v>3x1C 95mm2</v>
          </cell>
          <cell r="V701" t="str">
            <v>MCB</v>
          </cell>
          <cell r="W701">
            <v>400</v>
          </cell>
          <cell r="AF701">
            <v>1996</v>
          </cell>
          <cell r="AG701" t="str">
            <v>3B</v>
          </cell>
          <cell r="AH701" t="str">
            <v>Russell Blyth</v>
          </cell>
          <cell r="AI701" t="str">
            <v xml:space="preserve">WC </v>
          </cell>
        </row>
        <row r="702">
          <cell r="E702" t="str">
            <v>W0039249</v>
          </cell>
          <cell r="F702" t="str">
            <v>Mount Hill Bore 16/85</v>
          </cell>
          <cell r="H702" t="str">
            <v>WC Tx</v>
          </cell>
          <cell r="I702" t="str">
            <v>W4009305</v>
          </cell>
          <cell r="J702" t="str">
            <v>BORE 16/85</v>
          </cell>
          <cell r="K702" t="str">
            <v>DW56-43-4</v>
          </cell>
          <cell r="M702">
            <v>200</v>
          </cell>
          <cell r="N702">
            <v>33</v>
          </cell>
          <cell r="O702">
            <v>440</v>
          </cell>
          <cell r="S702" t="str">
            <v>XLPE/PVC</v>
          </cell>
          <cell r="T702" t="str">
            <v>3x1C 95mm2</v>
          </cell>
          <cell r="V702" t="str">
            <v>MCB</v>
          </cell>
          <cell r="W702">
            <v>400</v>
          </cell>
          <cell r="AF702">
            <v>1996</v>
          </cell>
          <cell r="AG702" t="str">
            <v>3B</v>
          </cell>
          <cell r="AH702" t="str">
            <v>Russell Blyth</v>
          </cell>
          <cell r="AI702" t="str">
            <v>WC</v>
          </cell>
        </row>
        <row r="703">
          <cell r="E703" t="str">
            <v>W0039095</v>
          </cell>
          <cell r="F703" t="str">
            <v>Allanooka Bore 4/98</v>
          </cell>
          <cell r="H703" t="str">
            <v>WC Tx</v>
          </cell>
          <cell r="I703" t="str">
            <v>W4009297</v>
          </cell>
          <cell r="J703" t="str">
            <v>BORE 4/98</v>
          </cell>
          <cell r="K703" t="str">
            <v>DW56-44-5</v>
          </cell>
          <cell r="M703">
            <v>200</v>
          </cell>
          <cell r="N703">
            <v>33</v>
          </cell>
          <cell r="O703">
            <v>440</v>
          </cell>
          <cell r="S703" t="str">
            <v>XLPE/PVC</v>
          </cell>
          <cell r="T703" t="str">
            <v>3x1Cx150mm2</v>
          </cell>
          <cell r="V703" t="str">
            <v>MCB</v>
          </cell>
          <cell r="W703">
            <v>400</v>
          </cell>
          <cell r="AF703">
            <v>1996</v>
          </cell>
          <cell r="AG703" t="str">
            <v>3B</v>
          </cell>
          <cell r="AH703" t="str">
            <v>Russell Blyth</v>
          </cell>
          <cell r="AI703" t="str">
            <v>WC</v>
          </cell>
        </row>
        <row r="704">
          <cell r="E704" t="str">
            <v>W0039096</v>
          </cell>
          <cell r="F704" t="str">
            <v>Allanooka Bore 5/98</v>
          </cell>
          <cell r="H704" t="str">
            <v>WC Tx</v>
          </cell>
          <cell r="I704" t="str">
            <v>W4009300</v>
          </cell>
          <cell r="J704" t="str">
            <v>BORE 5/98</v>
          </cell>
          <cell r="K704" t="str">
            <v>DW56-44-5</v>
          </cell>
          <cell r="M704">
            <v>200</v>
          </cell>
          <cell r="N704">
            <v>33</v>
          </cell>
          <cell r="O704">
            <v>440</v>
          </cell>
          <cell r="S704" t="str">
            <v>XLPE/PVC</v>
          </cell>
          <cell r="T704" t="str">
            <v>3x1Cx150mm2</v>
          </cell>
          <cell r="V704" t="str">
            <v>MCB</v>
          </cell>
          <cell r="W704">
            <v>400</v>
          </cell>
          <cell r="AF704">
            <v>1996</v>
          </cell>
          <cell r="AG704" t="str">
            <v>3B</v>
          </cell>
          <cell r="AH704" t="str">
            <v>Russell Blyth</v>
          </cell>
          <cell r="AI704" t="str">
            <v>WC</v>
          </cell>
        </row>
        <row r="705">
          <cell r="E705" t="str">
            <v>W0039624</v>
          </cell>
          <cell r="F705" t="str">
            <v>Allanooka Fluoridation and Chlorination  Plant</v>
          </cell>
          <cell r="H705" t="str">
            <v>WC Tx</v>
          </cell>
          <cell r="I705" t="str">
            <v>WZ022550</v>
          </cell>
          <cell r="J705" t="str">
            <v>Chlorination Switchboard</v>
          </cell>
          <cell r="K705" t="str">
            <v>IG68-41-3.1</v>
          </cell>
          <cell r="N705">
            <v>33</v>
          </cell>
          <cell r="O705">
            <v>440</v>
          </cell>
          <cell r="V705" t="str">
            <v>ACB</v>
          </cell>
          <cell r="W705">
            <v>100</v>
          </cell>
          <cell r="AF705">
            <v>1999</v>
          </cell>
          <cell r="AG705" t="str">
            <v>3B</v>
          </cell>
          <cell r="AH705" t="str">
            <v>Russell Blyth</v>
          </cell>
          <cell r="AI705" t="str">
            <v>WC</v>
          </cell>
          <cell r="AJ705" t="str">
            <v>Main SWBD for CDP, feeds CHL and FL sub SWBD's</v>
          </cell>
        </row>
        <row r="706">
          <cell r="E706" t="str">
            <v>S0030881</v>
          </cell>
          <cell r="F706" t="str">
            <v>Trafalgar Rd Main Sewerage PS</v>
          </cell>
          <cell r="H706" t="str">
            <v>Station Switchboard (MCC)</v>
          </cell>
          <cell r="I706" t="str">
            <v>S0030903</v>
          </cell>
          <cell r="J706" t="str">
            <v>No.1 Solid State Starter Cubicle</v>
          </cell>
          <cell r="K706" t="str">
            <v>CO21-40-01</v>
          </cell>
          <cell r="V706" t="str">
            <v>Fuse</v>
          </cell>
          <cell r="W706">
            <v>560</v>
          </cell>
          <cell r="AG706" t="str">
            <v>3B</v>
          </cell>
          <cell r="AH706" t="str">
            <v>Dave Sutton</v>
          </cell>
          <cell r="AI706" t="str">
            <v>WC</v>
          </cell>
          <cell r="AJ706" t="str">
            <v>Added to 3A stage as both located on same site</v>
          </cell>
        </row>
        <row r="707">
          <cell r="E707" t="str">
            <v>S0030882</v>
          </cell>
          <cell r="F707" t="str">
            <v>Trafalgar Rd Main Sewerage PS</v>
          </cell>
          <cell r="H707" t="str">
            <v>Station Switchboard (MCC)</v>
          </cell>
          <cell r="I707" t="str">
            <v>S0030904</v>
          </cell>
          <cell r="J707" t="str">
            <v>No.2 Solid State Starter Cubicle</v>
          </cell>
          <cell r="K707" t="str">
            <v>CO21-40-02</v>
          </cell>
          <cell r="V707" t="str">
            <v>Fuse</v>
          </cell>
          <cell r="W707">
            <v>560</v>
          </cell>
          <cell r="AG707" t="str">
            <v>3B</v>
          </cell>
          <cell r="AH707" t="str">
            <v>Dave Sutton</v>
          </cell>
          <cell r="AI707" t="str">
            <v>WC</v>
          </cell>
          <cell r="AJ707" t="str">
            <v>Added to 3A stage as both located on same site</v>
          </cell>
        </row>
        <row r="708">
          <cell r="E708" t="str">
            <v>W1001261</v>
          </cell>
          <cell r="F708" t="str">
            <v>BORE SITE G10</v>
          </cell>
          <cell r="H708" t="str">
            <v>Western Power</v>
          </cell>
          <cell r="I708" t="str">
            <v>W1016603</v>
          </cell>
          <cell r="J708" t="str">
            <v>G10 Main SB</v>
          </cell>
          <cell r="K708" t="str">
            <v>11904-40-7.1</v>
          </cell>
          <cell r="V708" t="str">
            <v>Fuse</v>
          </cell>
          <cell r="W708">
            <v>200</v>
          </cell>
          <cell r="AF708">
            <v>1972</v>
          </cell>
          <cell r="AG708" t="str">
            <v>3B</v>
          </cell>
          <cell r="AH708" t="str">
            <v>Dean Rayner</v>
          </cell>
          <cell r="AI708" t="str">
            <v>Arroona Alliance</v>
          </cell>
        </row>
        <row r="709">
          <cell r="E709" t="str">
            <v>W1001261</v>
          </cell>
          <cell r="F709" t="str">
            <v>BORE SITE G10</v>
          </cell>
          <cell r="H709" t="str">
            <v>G10 Main SB</v>
          </cell>
          <cell r="I709" t="str">
            <v>W0009493</v>
          </cell>
          <cell r="J709" t="str">
            <v>G10 Starter</v>
          </cell>
          <cell r="K709" t="str">
            <v>11904-42-5</v>
          </cell>
          <cell r="V709" t="str">
            <v>Fuse</v>
          </cell>
          <cell r="W709">
            <v>50</v>
          </cell>
          <cell r="AF709">
            <v>2005</v>
          </cell>
          <cell r="AG709" t="str">
            <v>3B</v>
          </cell>
          <cell r="AH709" t="str">
            <v>Dean Rayner</v>
          </cell>
          <cell r="AI709" t="str">
            <v>Arroona Alliance</v>
          </cell>
        </row>
        <row r="710">
          <cell r="E710" t="str">
            <v>W1001263</v>
          </cell>
          <cell r="F710" t="str">
            <v>BORE SITE G12</v>
          </cell>
          <cell r="H710" t="str">
            <v>WC Tx</v>
          </cell>
          <cell r="I710" t="str">
            <v>W1016602</v>
          </cell>
          <cell r="J710" t="str">
            <v>Bore G12/87 and Bore G15/87 Cubicles</v>
          </cell>
          <cell r="K710" t="str">
            <v>11904-43-45</v>
          </cell>
          <cell r="M710">
            <v>315</v>
          </cell>
          <cell r="N710">
            <v>22</v>
          </cell>
          <cell r="O710">
            <v>415</v>
          </cell>
          <cell r="V710" t="str">
            <v>MCB</v>
          </cell>
          <cell r="W710">
            <v>400</v>
          </cell>
          <cell r="AF710">
            <v>1987</v>
          </cell>
          <cell r="AG710" t="str">
            <v>3B</v>
          </cell>
          <cell r="AH710" t="str">
            <v>Dean Rayner</v>
          </cell>
          <cell r="AI710" t="str">
            <v>Arroona Alliance</v>
          </cell>
        </row>
        <row r="711">
          <cell r="E711" t="str">
            <v>W0035570</v>
          </cell>
          <cell r="F711" t="str">
            <v>High Level Transfer &amp; Booster PS</v>
          </cell>
          <cell r="H711" t="str">
            <v>Supply Auth</v>
          </cell>
          <cell r="J711" t="str">
            <v>Metering Panel</v>
          </cell>
          <cell r="K711" t="str">
            <v>BH08-41-4</v>
          </cell>
          <cell r="M711">
            <v>100</v>
          </cell>
          <cell r="N711">
            <v>22</v>
          </cell>
          <cell r="O711">
            <v>415</v>
          </cell>
          <cell r="S711" t="str">
            <v>PVC</v>
          </cell>
          <cell r="T711" t="str">
            <v>70mm2</v>
          </cell>
          <cell r="U711">
            <v>100</v>
          </cell>
          <cell r="V711" t="str">
            <v>Fuse</v>
          </cell>
          <cell r="W711">
            <v>160</v>
          </cell>
          <cell r="AA711">
            <v>415</v>
          </cell>
          <cell r="AF711">
            <v>1988</v>
          </cell>
          <cell r="AG711" t="str">
            <v>3B</v>
          </cell>
          <cell r="AH711" t="str">
            <v>Dave Sutton</v>
          </cell>
          <cell r="AI711" t="str">
            <v>WC</v>
          </cell>
          <cell r="AJ711" t="str">
            <v>note, the main SB was assessed in stage 1.</v>
          </cell>
        </row>
        <row r="712">
          <cell r="E712" t="str">
            <v>S2023483</v>
          </cell>
          <cell r="F712" t="str">
            <v>SPS MARMION AV TEMP ALKIMOS</v>
          </cell>
          <cell r="H712" t="str">
            <v>Supply Authority</v>
          </cell>
          <cell r="I712" t="str">
            <v>S2034708</v>
          </cell>
          <cell r="J712" t="str">
            <v>Main SB</v>
          </cell>
          <cell r="K712" t="str">
            <v>KC63-41-4</v>
          </cell>
          <cell r="M712"/>
          <cell r="O712">
            <v>415</v>
          </cell>
          <cell r="S712" t="str">
            <v>XLPE</v>
          </cell>
          <cell r="T712" t="str">
            <v>25mm2</v>
          </cell>
          <cell r="V712" t="str">
            <v>Fuse</v>
          </cell>
          <cell r="W712">
            <v>100</v>
          </cell>
          <cell r="AF712">
            <v>2012</v>
          </cell>
          <cell r="AH712" t="str">
            <v>Dave Sutton</v>
          </cell>
          <cell r="AI712" t="str">
            <v>WC</v>
          </cell>
          <cell r="AJ712"/>
        </row>
        <row r="713">
          <cell r="E713" t="str">
            <v>S2032514</v>
          </cell>
          <cell r="F713" t="str">
            <v>SPS LANDBEACH BVD ALKIMOS</v>
          </cell>
          <cell r="H713" t="str">
            <v>Supply Authority</v>
          </cell>
          <cell r="I713" t="str">
            <v>S2036274</v>
          </cell>
          <cell r="J713" t="str">
            <v>Main SB</v>
          </cell>
          <cell r="K713" t="str">
            <v>KH56-41-5</v>
          </cell>
          <cell r="M713"/>
          <cell r="O713">
            <v>415</v>
          </cell>
          <cell r="S713" t="str">
            <v>XLPE</v>
          </cell>
          <cell r="T713" t="str">
            <v>25mm2</v>
          </cell>
          <cell r="V713" t="str">
            <v>Fuse</v>
          </cell>
          <cell r="W713">
            <v>80</v>
          </cell>
          <cell r="AF713">
            <v>2012</v>
          </cell>
          <cell r="AH713" t="str">
            <v>Dave Sutton</v>
          </cell>
          <cell r="AI713" t="str">
            <v>WC</v>
          </cell>
          <cell r="AJ713"/>
        </row>
        <row r="714">
          <cell r="E714" t="str">
            <v>W2000617</v>
          </cell>
          <cell r="F714" t="str">
            <v>WPS SHOREHAVEN BLVD ALKIMOS</v>
          </cell>
          <cell r="H714" t="str">
            <v>Supply Authority</v>
          </cell>
          <cell r="I714" t="str">
            <v>W2004464</v>
          </cell>
          <cell r="J714" t="str">
            <v>Main SB</v>
          </cell>
          <cell r="K714" t="str">
            <v>KH09-41-5</v>
          </cell>
          <cell r="M714"/>
          <cell r="N714">
            <v>22</v>
          </cell>
          <cell r="O714">
            <v>415</v>
          </cell>
          <cell r="S714" t="str">
            <v>XLPE</v>
          </cell>
          <cell r="T714" t="str">
            <v>25mm2</v>
          </cell>
          <cell r="V714" t="str">
            <v>Fuse</v>
          </cell>
          <cell r="W714">
            <v>80</v>
          </cell>
          <cell r="X714" t="str">
            <v>KH09-40-2</v>
          </cell>
          <cell r="AF714">
            <v>2012</v>
          </cell>
          <cell r="AH714" t="str">
            <v>Dave Sutton</v>
          </cell>
          <cell r="AI714" t="str">
            <v>WC</v>
          </cell>
          <cell r="AJ714"/>
        </row>
        <row r="715">
          <cell r="E715" t="str">
            <v>W2000617</v>
          </cell>
          <cell r="F715" t="str">
            <v>WPS SHOREHAVEN BLVD ALKIMOS</v>
          </cell>
          <cell r="H715" t="str">
            <v>Main SB</v>
          </cell>
          <cell r="J715" t="str">
            <v>Lighting and small power DB</v>
          </cell>
          <cell r="K715" t="str">
            <v>KH09-41-5</v>
          </cell>
          <cell r="M715"/>
          <cell r="S715" t="str">
            <v>LSFLEX</v>
          </cell>
          <cell r="T715" t="str">
            <v>16mm2</v>
          </cell>
          <cell r="V715" t="str">
            <v>Fuse</v>
          </cell>
          <cell r="W715">
            <v>50</v>
          </cell>
          <cell r="X715" t="str">
            <v>KH09-40-2</v>
          </cell>
          <cell r="AF715">
            <v>2012</v>
          </cell>
          <cell r="AH715" t="str">
            <v>Dave Sutton</v>
          </cell>
          <cell r="AI715" t="str">
            <v>WC</v>
          </cell>
          <cell r="AJ715"/>
        </row>
        <row r="716">
          <cell r="E716" t="str">
            <v>S0033614</v>
          </cell>
          <cell r="F716" t="str">
            <v>SPS CANNING BEACH RD APPLECROSS</v>
          </cell>
          <cell r="I716" t="str">
            <v>S0033618</v>
          </cell>
          <cell r="J716" t="str">
            <v>Main SB</v>
          </cell>
          <cell r="K716" t="str">
            <v>09795-40-1</v>
          </cell>
          <cell r="M716"/>
          <cell r="V716" t="str">
            <v>Fuse</v>
          </cell>
          <cell r="W716">
            <v>20</v>
          </cell>
          <cell r="AF716">
            <v>1967</v>
          </cell>
          <cell r="AH716" t="str">
            <v>Dave Sutton</v>
          </cell>
          <cell r="AI716" t="str">
            <v>WC</v>
          </cell>
          <cell r="AJ716"/>
        </row>
        <row r="717">
          <cell r="E717" t="str">
            <v>S0033664</v>
          </cell>
          <cell r="F717" t="str">
            <v>SPS DUNCRAIG RD APPLECROSS</v>
          </cell>
          <cell r="I717" t="str">
            <v>S0033670</v>
          </cell>
          <cell r="J717" t="str">
            <v>Main SB</v>
          </cell>
          <cell r="K717" t="str">
            <v>10038-40-1</v>
          </cell>
          <cell r="M717"/>
          <cell r="V717" t="str">
            <v>Fuse</v>
          </cell>
          <cell r="W717">
            <v>20</v>
          </cell>
          <cell r="AF717">
            <v>1967</v>
          </cell>
          <cell r="AH717" t="str">
            <v>Dave Sutton</v>
          </cell>
          <cell r="AI717" t="str">
            <v>WC</v>
          </cell>
          <cell r="AJ717"/>
        </row>
        <row r="718">
          <cell r="E718" t="str">
            <v>S0033676</v>
          </cell>
          <cell r="F718" t="str">
            <v>SPS DUNVEGAN RD APPLECROSS</v>
          </cell>
          <cell r="I718" t="str">
            <v>S0033682</v>
          </cell>
          <cell r="J718" t="str">
            <v>Main SB</v>
          </cell>
          <cell r="K718" t="str">
            <v>09926-40-1</v>
          </cell>
          <cell r="M718"/>
          <cell r="V718" t="str">
            <v>Fuse</v>
          </cell>
          <cell r="W718">
            <v>25</v>
          </cell>
          <cell r="AF718">
            <v>1967</v>
          </cell>
          <cell r="AH718" t="str">
            <v>Dave Sutton</v>
          </cell>
          <cell r="AI718" t="str">
            <v>WC</v>
          </cell>
          <cell r="AJ718"/>
        </row>
        <row r="719">
          <cell r="E719" t="str">
            <v>S0033657</v>
          </cell>
          <cell r="F719" t="str">
            <v>SPS DEE RD APPLECROSS</v>
          </cell>
          <cell r="H719" t="str">
            <v>SEC Supply</v>
          </cell>
          <cell r="I719" t="str">
            <v>S0033663</v>
          </cell>
          <cell r="J719" t="str">
            <v>Main SB</v>
          </cell>
          <cell r="K719" t="str">
            <v>12783-40-1</v>
          </cell>
          <cell r="M719"/>
          <cell r="V719" t="str">
            <v>Fuse</v>
          </cell>
          <cell r="W719">
            <v>20</v>
          </cell>
          <cell r="AF719">
            <v>1975</v>
          </cell>
          <cell r="AH719" t="str">
            <v>Dave Sutton</v>
          </cell>
          <cell r="AI719" t="str">
            <v>WC</v>
          </cell>
          <cell r="AJ719"/>
        </row>
        <row r="720">
          <cell r="E720" t="str">
            <v>S0033868</v>
          </cell>
          <cell r="F720" t="str">
            <v>SPS THE STRAND APPLECROSS</v>
          </cell>
          <cell r="H720" t="str">
            <v>SEC Supply</v>
          </cell>
          <cell r="I720" t="str">
            <v>S0033872</v>
          </cell>
          <cell r="K720" t="str">
            <v>17829-40-1</v>
          </cell>
          <cell r="M720"/>
          <cell r="V720" t="str">
            <v>MCB</v>
          </cell>
          <cell r="W720">
            <v>80</v>
          </cell>
          <cell r="AF720">
            <v>1983</v>
          </cell>
          <cell r="AH720" t="str">
            <v>Dave Sutton</v>
          </cell>
          <cell r="AI720" t="str">
            <v>WC</v>
          </cell>
          <cell r="AJ720"/>
        </row>
        <row r="721">
          <cell r="E721" t="str">
            <v>S0033671</v>
          </cell>
          <cell r="F721" t="str">
            <v>SPS DUNKLEY AV APPLECROSS</v>
          </cell>
          <cell r="H721" t="str">
            <v>SEC Supply</v>
          </cell>
          <cell r="I721" t="str">
            <v>S0033675</v>
          </cell>
          <cell r="J721" t="str">
            <v>Main SB</v>
          </cell>
          <cell r="K721" t="str">
            <v>BZ34-41-4</v>
          </cell>
          <cell r="M721"/>
          <cell r="O721">
            <v>415</v>
          </cell>
          <cell r="V721" t="str">
            <v>MCB</v>
          </cell>
          <cell r="W721">
            <v>125</v>
          </cell>
          <cell r="AF721">
            <v>1993</v>
          </cell>
          <cell r="AH721" t="str">
            <v>Dave Sutton</v>
          </cell>
          <cell r="AI721" t="str">
            <v>WC</v>
          </cell>
          <cell r="AJ721"/>
        </row>
        <row r="722">
          <cell r="E722" t="str">
            <v>S0033671</v>
          </cell>
          <cell r="F722" t="str">
            <v>SPS DUNKLEY AV APPLECROSS</v>
          </cell>
          <cell r="H722" t="str">
            <v>Main SB</v>
          </cell>
          <cell r="J722" t="str">
            <v>Lighting and small power DB</v>
          </cell>
          <cell r="K722" t="str">
            <v>BZ34-41-4</v>
          </cell>
          <cell r="M722"/>
          <cell r="V722" t="str">
            <v>MCB</v>
          </cell>
          <cell r="W722">
            <v>80</v>
          </cell>
          <cell r="AF722">
            <v>1993</v>
          </cell>
          <cell r="AH722" t="str">
            <v>Dave Sutton</v>
          </cell>
          <cell r="AI722" t="str">
            <v>WC</v>
          </cell>
          <cell r="AJ722"/>
        </row>
        <row r="723">
          <cell r="E723" t="str">
            <v>S0033851</v>
          </cell>
          <cell r="F723" t="str">
            <v>SPS SWEETMAN ST ARDROSS</v>
          </cell>
          <cell r="G723" t="str">
            <v>SB1</v>
          </cell>
          <cell r="H723" t="str">
            <v>SEC Supply</v>
          </cell>
          <cell r="I723" t="str">
            <v>S0033855</v>
          </cell>
          <cell r="J723" t="str">
            <v>SB1</v>
          </cell>
          <cell r="K723" t="str">
            <v>17439-40-1</v>
          </cell>
          <cell r="AF723">
            <v>1981</v>
          </cell>
          <cell r="AH723" t="str">
            <v>Dave Sutton</v>
          </cell>
          <cell r="AI723" t="str">
            <v>WC</v>
          </cell>
          <cell r="AJ723"/>
        </row>
        <row r="724">
          <cell r="E724" t="str">
            <v>S0032748</v>
          </cell>
          <cell r="F724" t="str">
            <v>SPS FORREST RD ARMADALE</v>
          </cell>
          <cell r="I724" t="str">
            <v>S0032754</v>
          </cell>
          <cell r="K724" t="str">
            <v>09815-40-1</v>
          </cell>
          <cell r="AF724">
            <v>1966</v>
          </cell>
          <cell r="AH724" t="str">
            <v>Dave Sutton</v>
          </cell>
          <cell r="AI724" t="str">
            <v>WC</v>
          </cell>
          <cell r="AJ724"/>
        </row>
        <row r="725">
          <cell r="E725" t="str">
            <v>S0033945</v>
          </cell>
          <cell r="F725" t="str">
            <v>SPS ABERNETHY RD ASCOT</v>
          </cell>
          <cell r="I725" t="str">
            <v>S0033951</v>
          </cell>
          <cell r="K725" t="str">
            <v>14079-40-1</v>
          </cell>
          <cell r="AF725">
            <v>1975</v>
          </cell>
          <cell r="AH725" t="str">
            <v>Dave Sutton</v>
          </cell>
          <cell r="AI725" t="str">
            <v>WC</v>
          </cell>
          <cell r="AJ725"/>
        </row>
        <row r="726">
          <cell r="E726" t="str">
            <v>S0034024</v>
          </cell>
          <cell r="F726" t="str">
            <v>SPS COOLGARDIE AV ASCOT</v>
          </cell>
          <cell r="H726" t="str">
            <v>SEC Supply</v>
          </cell>
          <cell r="I726" t="str">
            <v>S0034028</v>
          </cell>
          <cell r="K726" t="str">
            <v>CF11-41-4</v>
          </cell>
          <cell r="AA726">
            <v>415</v>
          </cell>
          <cell r="AF726">
            <v>1985</v>
          </cell>
          <cell r="AH726" t="str">
            <v>Dave Sutton</v>
          </cell>
          <cell r="AI726" t="str">
            <v>WC</v>
          </cell>
          <cell r="AJ726"/>
        </row>
        <row r="727">
          <cell r="E727" t="str">
            <v>S0033967</v>
          </cell>
          <cell r="F727" t="str">
            <v>SPS ASCOT PL ASCOT</v>
          </cell>
          <cell r="H727" t="str">
            <v>SEC Supply</v>
          </cell>
          <cell r="I727" t="str">
            <v>S0033971</v>
          </cell>
          <cell r="J727" t="str">
            <v>SB1</v>
          </cell>
          <cell r="K727" t="str">
            <v>18184-40-1</v>
          </cell>
          <cell r="M727"/>
          <cell r="V727" t="str">
            <v>MCB</v>
          </cell>
          <cell r="W727">
            <v>70</v>
          </cell>
          <cell r="AF727">
            <v>1984</v>
          </cell>
          <cell r="AH727" t="str">
            <v>Dave Sutton</v>
          </cell>
          <cell r="AI727" t="str">
            <v>WC</v>
          </cell>
          <cell r="AJ727"/>
        </row>
        <row r="728">
          <cell r="E728" t="str">
            <v>S0034174</v>
          </cell>
          <cell r="F728" t="str">
            <v>SPS STONEHAM ST ASCOT</v>
          </cell>
          <cell r="H728" t="str">
            <v>Supply Authority</v>
          </cell>
          <cell r="I728" t="str">
            <v>S0034180</v>
          </cell>
          <cell r="J728" t="str">
            <v>Main SB</v>
          </cell>
          <cell r="K728" t="str">
            <v>AK02-41-4</v>
          </cell>
          <cell r="M728"/>
          <cell r="O728">
            <v>440</v>
          </cell>
          <cell r="V728" t="str">
            <v>Fuse</v>
          </cell>
          <cell r="W728">
            <v>100</v>
          </cell>
          <cell r="AA728">
            <v>440</v>
          </cell>
          <cell r="AF728">
            <v>1987</v>
          </cell>
          <cell r="AH728" t="str">
            <v>Dave Sutton</v>
          </cell>
          <cell r="AI728" t="str">
            <v>WC</v>
          </cell>
          <cell r="AJ728"/>
        </row>
        <row r="729">
          <cell r="E729" t="str">
            <v>S2009295</v>
          </cell>
          <cell r="F729" t="str">
            <v>SPS MORISOT CR ASHBY</v>
          </cell>
          <cell r="H729" t="str">
            <v>Supply Authority</v>
          </cell>
          <cell r="I729" t="str">
            <v>S2009299</v>
          </cell>
          <cell r="J729" t="str">
            <v>Main SB</v>
          </cell>
          <cell r="K729" t="str">
            <v>GH58-41-5</v>
          </cell>
          <cell r="M729"/>
          <cell r="O729">
            <v>415</v>
          </cell>
          <cell r="S729" t="str">
            <v>XLPE</v>
          </cell>
          <cell r="T729" t="str">
            <v>16mm2</v>
          </cell>
          <cell r="V729" t="str">
            <v>MCB</v>
          </cell>
          <cell r="W729">
            <v>63</v>
          </cell>
          <cell r="AF729">
            <v>2003</v>
          </cell>
          <cell r="AH729" t="str">
            <v>Dave Sutton</v>
          </cell>
          <cell r="AI729" t="str">
            <v>WC</v>
          </cell>
          <cell r="AJ729"/>
        </row>
        <row r="730">
          <cell r="E730" t="str">
            <v>S0033707</v>
          </cell>
          <cell r="F730" t="str">
            <v>SPS GROVES AV ATTADALE</v>
          </cell>
          <cell r="I730" t="str">
            <v>S0033713</v>
          </cell>
          <cell r="K730" t="str">
            <v>10389-40-1</v>
          </cell>
          <cell r="AF730">
            <v>1962</v>
          </cell>
          <cell r="AH730" t="str">
            <v>Dave Sutton</v>
          </cell>
          <cell r="AI730" t="str">
            <v>WC</v>
          </cell>
          <cell r="AJ730"/>
        </row>
        <row r="731">
          <cell r="E731" t="str">
            <v>S0033607</v>
          </cell>
          <cell r="F731" t="str">
            <v>SPS BURKE DR ATTADALE</v>
          </cell>
          <cell r="H731" t="str">
            <v>SEC Supply</v>
          </cell>
          <cell r="I731" t="str">
            <v>S0033613</v>
          </cell>
          <cell r="J731" t="str">
            <v>Main SB</v>
          </cell>
          <cell r="K731" t="str">
            <v>11150-40-1</v>
          </cell>
          <cell r="M731"/>
          <cell r="V731" t="str">
            <v>Fuse</v>
          </cell>
          <cell r="W731">
            <v>30</v>
          </cell>
          <cell r="AF731">
            <v>1972</v>
          </cell>
          <cell r="AH731" t="str">
            <v>Dave Sutton</v>
          </cell>
          <cell r="AI731" t="str">
            <v>WC</v>
          </cell>
          <cell r="AJ731"/>
        </row>
        <row r="732">
          <cell r="E732" t="str">
            <v>S0033826</v>
          </cell>
          <cell r="F732" t="str">
            <v>SPS ROBERTS RD ATTADALE</v>
          </cell>
          <cell r="I732" t="str">
            <v>S0033832</v>
          </cell>
          <cell r="J732" t="str">
            <v>Main SB</v>
          </cell>
          <cell r="K732" t="str">
            <v>11538-10-1</v>
          </cell>
          <cell r="M732"/>
          <cell r="AF732">
            <v>1973</v>
          </cell>
          <cell r="AH732" t="str">
            <v>Dave Sutton</v>
          </cell>
          <cell r="AI732" t="str">
            <v>WC</v>
          </cell>
          <cell r="AJ732"/>
        </row>
        <row r="733">
          <cell r="E733" t="str">
            <v>S0032836</v>
          </cell>
          <cell r="F733" t="str">
            <v>SPS BRENCHLEY DR ATWELL</v>
          </cell>
          <cell r="H733" t="str">
            <v>SEC Supply</v>
          </cell>
          <cell r="I733" t="str">
            <v>S0032840</v>
          </cell>
          <cell r="J733" t="str">
            <v>Main SB</v>
          </cell>
          <cell r="K733" t="str">
            <v>DH07-41-5</v>
          </cell>
          <cell r="M733"/>
          <cell r="O733">
            <v>415</v>
          </cell>
          <cell r="V733" t="str">
            <v>MCB</v>
          </cell>
          <cell r="W733">
            <v>80</v>
          </cell>
          <cell r="AF733">
            <v>1995</v>
          </cell>
          <cell r="AH733" t="str">
            <v>Dave Sutton</v>
          </cell>
          <cell r="AI733" t="str">
            <v>WC</v>
          </cell>
          <cell r="AJ733"/>
        </row>
        <row r="734">
          <cell r="E734" t="str">
            <v>S2016968</v>
          </cell>
          <cell r="F734" t="str">
            <v>SPS LYON RD AUBIN GROVE</v>
          </cell>
          <cell r="H734" t="str">
            <v>Supply Authority</v>
          </cell>
          <cell r="I734" t="str">
            <v>S2019193</v>
          </cell>
          <cell r="J734" t="str">
            <v>Main SB</v>
          </cell>
          <cell r="K734" t="str">
            <v>GX13-41-5</v>
          </cell>
          <cell r="M734"/>
          <cell r="N734">
            <v>22</v>
          </cell>
          <cell r="O734">
            <v>415</v>
          </cell>
          <cell r="S734" t="str">
            <v>XPLE/PVC</v>
          </cell>
          <cell r="T734" t="str">
            <v>3x1C 25mm2</v>
          </cell>
          <cell r="V734" t="str">
            <v>Fuse</v>
          </cell>
          <cell r="W734">
            <v>100</v>
          </cell>
          <cell r="X734" t="str">
            <v>GX13-40-3</v>
          </cell>
          <cell r="AF734">
            <v>2006</v>
          </cell>
          <cell r="AH734" t="str">
            <v>Dave Sutton</v>
          </cell>
          <cell r="AI734" t="str">
            <v>WC</v>
          </cell>
          <cell r="AJ734"/>
        </row>
        <row r="735">
          <cell r="E735" t="str">
            <v>S2017912</v>
          </cell>
          <cell r="F735" t="str">
            <v>SPS DURANGO BEND AUBIN GROVE</v>
          </cell>
          <cell r="H735" t="str">
            <v>Supply Authority</v>
          </cell>
          <cell r="I735" t="str">
            <v>S2019790</v>
          </cell>
          <cell r="J735" t="str">
            <v>Main SB</v>
          </cell>
          <cell r="K735" t="str">
            <v>HJ71-41-5</v>
          </cell>
          <cell r="M735"/>
          <cell r="N735">
            <v>22</v>
          </cell>
          <cell r="O735">
            <v>415</v>
          </cell>
          <cell r="S735" t="str">
            <v>XLPE/PVC</v>
          </cell>
          <cell r="T735" t="str">
            <v>3x1C 25mm2</v>
          </cell>
          <cell r="V735" t="str">
            <v>Fuse</v>
          </cell>
          <cell r="W735">
            <v>100</v>
          </cell>
          <cell r="AF735">
            <v>2007</v>
          </cell>
          <cell r="AH735" t="str">
            <v>Dave Sutton</v>
          </cell>
          <cell r="AI735" t="str">
            <v>WC</v>
          </cell>
          <cell r="AJ735"/>
        </row>
        <row r="736">
          <cell r="E736" t="str">
            <v>S0028710</v>
          </cell>
          <cell r="F736" t="str">
            <v>SPS WHIPPLE ST BALCATTA</v>
          </cell>
          <cell r="H736" t="str">
            <v>SEC Supply</v>
          </cell>
          <cell r="I736" t="str">
            <v>S0028716</v>
          </cell>
          <cell r="K736" t="str">
            <v>13474-40-1</v>
          </cell>
          <cell r="O736">
            <v>440</v>
          </cell>
          <cell r="V736" t="str">
            <v>Fuse</v>
          </cell>
          <cell r="W736">
            <v>200</v>
          </cell>
          <cell r="AA736">
            <v>440</v>
          </cell>
          <cell r="AF736">
            <v>1977</v>
          </cell>
          <cell r="AH736" t="str">
            <v>Dave Sutton</v>
          </cell>
          <cell r="AI736" t="str">
            <v>WC</v>
          </cell>
          <cell r="AJ736"/>
        </row>
        <row r="737">
          <cell r="E737" t="str">
            <v>S0028502</v>
          </cell>
          <cell r="F737" t="str">
            <v>SPS JONES ST BALCATTA</v>
          </cell>
          <cell r="I737" t="str">
            <v>S0028508</v>
          </cell>
          <cell r="J737" t="str">
            <v>Main SB</v>
          </cell>
          <cell r="K737" t="str">
            <v>11940-40-2</v>
          </cell>
          <cell r="M737"/>
          <cell r="AF737">
            <v>1974</v>
          </cell>
          <cell r="AH737" t="str">
            <v>Dave Sutton</v>
          </cell>
          <cell r="AI737" t="str">
            <v>WC</v>
          </cell>
          <cell r="AJ737"/>
        </row>
        <row r="738">
          <cell r="E738" t="str">
            <v>S0028248</v>
          </cell>
          <cell r="F738" t="str">
            <v>SPS BALCATTA RD BALCATTA</v>
          </cell>
          <cell r="I738" t="str">
            <v>S0028252</v>
          </cell>
          <cell r="J738" t="str">
            <v>SB1</v>
          </cell>
          <cell r="K738" t="str">
            <v>AZ32-3-1</v>
          </cell>
          <cell r="M738"/>
          <cell r="V738" t="str">
            <v>MCB</v>
          </cell>
          <cell r="W738">
            <v>80</v>
          </cell>
          <cell r="AF738">
            <v>1985</v>
          </cell>
          <cell r="AH738" t="str">
            <v>Dave Sutton</v>
          </cell>
          <cell r="AI738" t="str">
            <v>WC</v>
          </cell>
          <cell r="AJ738"/>
        </row>
        <row r="739">
          <cell r="E739" t="str">
            <v>S0028454</v>
          </cell>
          <cell r="F739" t="str">
            <v>SPS HANWORTH ST BALCATTA</v>
          </cell>
          <cell r="I739" t="str">
            <v>S0028458</v>
          </cell>
          <cell r="K739" t="str">
            <v xml:space="preserve">18183- - </v>
          </cell>
          <cell r="M739"/>
          <cell r="AF739">
            <v>1986</v>
          </cell>
          <cell r="AH739" t="str">
            <v>Dave Sutton</v>
          </cell>
          <cell r="AI739" t="str">
            <v>WC</v>
          </cell>
          <cell r="AJ739"/>
        </row>
        <row r="740">
          <cell r="E740" t="str">
            <v>S0030349</v>
          </cell>
          <cell r="F740" t="str">
            <v>SPS TRANBY DR BALDIVIS</v>
          </cell>
          <cell r="I740" t="str">
            <v>S0030353</v>
          </cell>
          <cell r="K740" t="str">
            <v>DV09-41-5</v>
          </cell>
          <cell r="M740"/>
          <cell r="AF740">
            <v>1996</v>
          </cell>
          <cell r="AH740" t="str">
            <v>Dave Sutton</v>
          </cell>
          <cell r="AI740" t="str">
            <v>WC</v>
          </cell>
          <cell r="AJ740"/>
        </row>
        <row r="741">
          <cell r="E741" t="str">
            <v>S2016916</v>
          </cell>
          <cell r="F741" t="str">
            <v>SPS MAGENTA CR BALDIVIS</v>
          </cell>
          <cell r="H741" t="str">
            <v>Supply Authority</v>
          </cell>
          <cell r="I741" t="str">
            <v>S2017741</v>
          </cell>
          <cell r="J741" t="str">
            <v>Main SB</v>
          </cell>
          <cell r="K741" t="str">
            <v>GU36-42-5</v>
          </cell>
          <cell r="M741">
            <v>315</v>
          </cell>
          <cell r="N741">
            <v>22</v>
          </cell>
          <cell r="O741">
            <v>415</v>
          </cell>
          <cell r="V741" t="str">
            <v>MCB</v>
          </cell>
          <cell r="W741">
            <v>400</v>
          </cell>
          <cell r="AF741">
            <v>2005</v>
          </cell>
          <cell r="AH741" t="str">
            <v>Dave Sutton</v>
          </cell>
          <cell r="AI741" t="str">
            <v>WC</v>
          </cell>
          <cell r="AJ741"/>
        </row>
        <row r="742">
          <cell r="E742" t="str">
            <v>S2003216</v>
          </cell>
          <cell r="F742" t="str">
            <v>SPS CHANDLER RMBL BALDIVIS</v>
          </cell>
          <cell r="H742" t="str">
            <v>Supply Authority</v>
          </cell>
          <cell r="I742" t="str">
            <v>S2003220</v>
          </cell>
          <cell r="J742" t="str">
            <v>Main SB</v>
          </cell>
          <cell r="K742" t="str">
            <v>ER88-41-5</v>
          </cell>
          <cell r="M742">
            <v>200</v>
          </cell>
          <cell r="O742">
            <v>415</v>
          </cell>
          <cell r="V742" t="str">
            <v>MCB</v>
          </cell>
          <cell r="W742">
            <v>32</v>
          </cell>
          <cell r="AF742">
            <v>2000</v>
          </cell>
          <cell r="AH742" t="str">
            <v>Dave Sutton</v>
          </cell>
          <cell r="AI742" t="str">
            <v>WC</v>
          </cell>
          <cell r="AJ742"/>
        </row>
        <row r="743">
          <cell r="E743" t="str">
            <v>W2000268</v>
          </cell>
          <cell r="F743" t="str">
            <v>WPS TREETOP WY BALDIVIS</v>
          </cell>
          <cell r="I743" t="str">
            <v>W2000347</v>
          </cell>
          <cell r="K743" t="str">
            <v xml:space="preserve">GY01- - </v>
          </cell>
          <cell r="M743"/>
          <cell r="AF743">
            <v>2002</v>
          </cell>
          <cell r="AH743" t="str">
            <v>Dave Sutton</v>
          </cell>
          <cell r="AI743" t="str">
            <v>WC</v>
          </cell>
          <cell r="AJ743"/>
        </row>
        <row r="744">
          <cell r="E744" t="str">
            <v>S2016917</v>
          </cell>
          <cell r="F744" t="str">
            <v>SPS WALSH RTT BALDIVIS</v>
          </cell>
          <cell r="H744" t="str">
            <v>Supply Authority</v>
          </cell>
          <cell r="I744" t="str">
            <v>S2017000</v>
          </cell>
          <cell r="J744" t="str">
            <v>Main SB</v>
          </cell>
          <cell r="K744" t="str">
            <v>GT55-41-5</v>
          </cell>
          <cell r="M744"/>
          <cell r="N744">
            <v>22</v>
          </cell>
          <cell r="O744">
            <v>415</v>
          </cell>
          <cell r="S744" t="str">
            <v>XLPE/PVC</v>
          </cell>
          <cell r="T744" t="str">
            <v>16mm2</v>
          </cell>
          <cell r="V744" t="str">
            <v>Fuse</v>
          </cell>
          <cell r="W744">
            <v>100</v>
          </cell>
          <cell r="X744" t="str">
            <v>GT55-40-2</v>
          </cell>
          <cell r="AF744">
            <v>2005</v>
          </cell>
          <cell r="AH744" t="str">
            <v>Dave Sutton</v>
          </cell>
          <cell r="AI744" t="str">
            <v>WC</v>
          </cell>
          <cell r="AJ744"/>
        </row>
        <row r="745">
          <cell r="E745" t="str">
            <v>S2018324</v>
          </cell>
          <cell r="F745" t="str">
            <v>SPS COTTONWOOD DR BALDIVIS</v>
          </cell>
          <cell r="H745" t="str">
            <v>Supply Authority</v>
          </cell>
          <cell r="I745" t="str">
            <v>S2019204</v>
          </cell>
          <cell r="J745" t="str">
            <v>Main SB</v>
          </cell>
          <cell r="K745" t="str">
            <v>HP63-41-5</v>
          </cell>
          <cell r="M745">
            <v>200</v>
          </cell>
          <cell r="O745">
            <v>415</v>
          </cell>
          <cell r="S745" t="str">
            <v>XLPE</v>
          </cell>
          <cell r="T745" t="str">
            <v>16mm2</v>
          </cell>
          <cell r="V745" t="str">
            <v>Fuse</v>
          </cell>
          <cell r="W745">
            <v>60</v>
          </cell>
          <cell r="AF745">
            <v>2006</v>
          </cell>
          <cell r="AH745" t="str">
            <v>Dave Sutton</v>
          </cell>
          <cell r="AI745" t="str">
            <v>WC</v>
          </cell>
          <cell r="AJ745"/>
        </row>
        <row r="746">
          <cell r="E746" t="str">
            <v>W2000394</v>
          </cell>
          <cell r="F746" t="str">
            <v>WPS BOREALIS DR BALDIVIS</v>
          </cell>
          <cell r="H746" t="str">
            <v>Supply Authority</v>
          </cell>
          <cell r="I746" t="str">
            <v>W2000415</v>
          </cell>
          <cell r="J746" t="str">
            <v>Main SB</v>
          </cell>
          <cell r="K746" t="str">
            <v>HW19-41-5</v>
          </cell>
          <cell r="M746">
            <v>200</v>
          </cell>
          <cell r="O746">
            <v>412</v>
          </cell>
          <cell r="S746" t="str">
            <v>XLPE</v>
          </cell>
          <cell r="T746" t="str">
            <v>16mm2</v>
          </cell>
          <cell r="V746" t="str">
            <v>Fuse</v>
          </cell>
          <cell r="W746">
            <v>60</v>
          </cell>
          <cell r="X746" t="str">
            <v>HW19-40-2</v>
          </cell>
          <cell r="AF746">
            <v>2007</v>
          </cell>
          <cell r="AH746" t="str">
            <v>Dave Sutton</v>
          </cell>
          <cell r="AI746" t="str">
            <v>WC</v>
          </cell>
          <cell r="AJ746"/>
        </row>
        <row r="747">
          <cell r="E747" t="str">
            <v>S2019037</v>
          </cell>
          <cell r="F747" t="str">
            <v>SPS NAIRN DR BALDIVIS</v>
          </cell>
          <cell r="H747" t="str">
            <v>Supply Authority</v>
          </cell>
          <cell r="I747" t="str">
            <v>S2019220</v>
          </cell>
          <cell r="J747" t="str">
            <v>Main SB</v>
          </cell>
          <cell r="K747" t="str">
            <v>IH78-41-5</v>
          </cell>
          <cell r="M747"/>
          <cell r="N747">
            <v>22</v>
          </cell>
          <cell r="O747">
            <v>415</v>
          </cell>
          <cell r="S747" t="str">
            <v>XLPE</v>
          </cell>
          <cell r="T747" t="str">
            <v>16mm2</v>
          </cell>
          <cell r="V747" t="str">
            <v>Fuse</v>
          </cell>
          <cell r="W747">
            <v>60</v>
          </cell>
          <cell r="X747" t="str">
            <v>IH78-40-2</v>
          </cell>
          <cell r="AF747">
            <v>2008</v>
          </cell>
          <cell r="AH747" t="str">
            <v>Dave Sutton</v>
          </cell>
          <cell r="AI747" t="str">
            <v>WC</v>
          </cell>
          <cell r="AJ747"/>
        </row>
        <row r="748">
          <cell r="E748" t="str">
            <v>S2019806</v>
          </cell>
          <cell r="F748" t="str">
            <v>SPS MCDONALD RD BALDIVIS</v>
          </cell>
          <cell r="H748" t="str">
            <v>Supply Authority</v>
          </cell>
          <cell r="I748" t="str">
            <v>S2023262</v>
          </cell>
          <cell r="J748" t="str">
            <v>Main SB</v>
          </cell>
          <cell r="K748" t="str">
            <v>JB56-41-5</v>
          </cell>
          <cell r="M748">
            <v>315</v>
          </cell>
          <cell r="N748">
            <v>22</v>
          </cell>
          <cell r="O748">
            <v>415</v>
          </cell>
          <cell r="P748" t="str">
            <v>4..5%</v>
          </cell>
          <cell r="S748" t="str">
            <v>XLPE/PVC</v>
          </cell>
          <cell r="T748" t="str">
            <v>4x1C 150mm2</v>
          </cell>
          <cell r="V748" t="str">
            <v>MCB</v>
          </cell>
          <cell r="W748">
            <v>250</v>
          </cell>
          <cell r="X748" t="str">
            <v>JB56-40-12</v>
          </cell>
          <cell r="AF748">
            <v>2009</v>
          </cell>
          <cell r="AH748" t="str">
            <v>Dave Sutton</v>
          </cell>
          <cell r="AI748" t="str">
            <v>WC</v>
          </cell>
          <cell r="AJ748"/>
        </row>
        <row r="749">
          <cell r="E749" t="str">
            <v>S2023205</v>
          </cell>
          <cell r="F749" t="str">
            <v>SPS CAMPOLINA AV BALDIVIS</v>
          </cell>
          <cell r="H749" t="str">
            <v>Supply Authority</v>
          </cell>
          <cell r="I749" t="str">
            <v>S2030923</v>
          </cell>
          <cell r="J749" t="str">
            <v>Main SB</v>
          </cell>
          <cell r="K749" t="str">
            <v>JT29-41-5</v>
          </cell>
          <cell r="M749">
            <v>630</v>
          </cell>
          <cell r="N749">
            <v>22</v>
          </cell>
          <cell r="O749">
            <v>415</v>
          </cell>
          <cell r="S749" t="str">
            <v>XLPE/PVC</v>
          </cell>
          <cell r="T749" t="str">
            <v>1x4C 25mm2</v>
          </cell>
          <cell r="V749" t="str">
            <v>Fuse</v>
          </cell>
          <cell r="W749">
            <v>80</v>
          </cell>
          <cell r="X749" t="str">
            <v>JT29-40-2</v>
          </cell>
          <cell r="AF749">
            <v>2010</v>
          </cell>
          <cell r="AH749" t="str">
            <v>Dave Sutton</v>
          </cell>
          <cell r="AI749" t="str">
            <v>WC</v>
          </cell>
          <cell r="AJ749"/>
        </row>
        <row r="750">
          <cell r="E750" t="str">
            <v>W2000582</v>
          </cell>
          <cell r="F750" t="str">
            <v>WPS MAKIN RD BALDIVIS</v>
          </cell>
          <cell r="H750" t="str">
            <v>Supply Authority</v>
          </cell>
          <cell r="I750" t="str">
            <v>W2000682</v>
          </cell>
          <cell r="J750" t="str">
            <v>Main SB</v>
          </cell>
          <cell r="K750" t="str">
            <v>JW01-41-5</v>
          </cell>
          <cell r="M750"/>
          <cell r="N750">
            <v>22</v>
          </cell>
          <cell r="O750">
            <v>415</v>
          </cell>
          <cell r="S750" t="str">
            <v>XLPE</v>
          </cell>
          <cell r="T750" t="str">
            <v>25mm2</v>
          </cell>
          <cell r="V750" t="str">
            <v>Fuse</v>
          </cell>
          <cell r="W750">
            <v>80</v>
          </cell>
          <cell r="X750" t="str">
            <v>JW01-40-2</v>
          </cell>
          <cell r="AF750">
            <v>2010</v>
          </cell>
          <cell r="AH750" t="str">
            <v>Dave Sutton</v>
          </cell>
          <cell r="AI750" t="str">
            <v>WC</v>
          </cell>
          <cell r="AJ750"/>
        </row>
        <row r="751">
          <cell r="E751" t="str">
            <v>S2032781</v>
          </cell>
          <cell r="F751" t="str">
            <v>SPS PECKHAM BVD BALDIVIS</v>
          </cell>
          <cell r="H751" t="str">
            <v>Supply Authority</v>
          </cell>
          <cell r="I751" t="str">
            <v>S2038526</v>
          </cell>
          <cell r="J751" t="str">
            <v>Main SB</v>
          </cell>
          <cell r="K751" t="str">
            <v>GC30-41-5</v>
          </cell>
          <cell r="M751">
            <v>200</v>
          </cell>
          <cell r="O751">
            <v>415</v>
          </cell>
          <cell r="S751" t="str">
            <v>PVC</v>
          </cell>
          <cell r="T751" t="str">
            <v>16mm2</v>
          </cell>
          <cell r="V751" t="str">
            <v>MCB</v>
          </cell>
          <cell r="W751">
            <v>32</v>
          </cell>
          <cell r="X751" t="str">
            <v>GC30-40-2</v>
          </cell>
          <cell r="AF751">
            <v>2013</v>
          </cell>
          <cell r="AH751" t="str">
            <v>Dave Sutton</v>
          </cell>
          <cell r="AI751" t="str">
            <v>WC</v>
          </cell>
          <cell r="AJ751"/>
        </row>
        <row r="752">
          <cell r="E752" t="str">
            <v>S2016916</v>
          </cell>
          <cell r="F752" t="str">
            <v>SPS MAGENTA CR BALDIVIS</v>
          </cell>
          <cell r="H752" t="str">
            <v>Main SB</v>
          </cell>
          <cell r="J752" t="str">
            <v>No.1 Motor Disconnect Cubicle</v>
          </cell>
          <cell r="K752" t="str">
            <v>GU36-43-2</v>
          </cell>
          <cell r="V752" t="str">
            <v>MCB</v>
          </cell>
          <cell r="W752">
            <v>250</v>
          </cell>
          <cell r="AF752">
            <v>2005</v>
          </cell>
          <cell r="AH752" t="str">
            <v>Dave Sutton</v>
          </cell>
          <cell r="AI752" t="str">
            <v>WC</v>
          </cell>
          <cell r="AJ752"/>
        </row>
        <row r="753">
          <cell r="E753" t="str">
            <v>S2016916</v>
          </cell>
          <cell r="F753" t="str">
            <v>SPS MAGENTA CR BALDIVIS</v>
          </cell>
          <cell r="H753" t="str">
            <v>Main SB</v>
          </cell>
          <cell r="J753" t="str">
            <v>No.2 Motor Disconnect Cubicle</v>
          </cell>
          <cell r="K753" t="str">
            <v>GU36-43-12</v>
          </cell>
          <cell r="V753" t="str">
            <v>MCB</v>
          </cell>
          <cell r="W753">
            <v>250</v>
          </cell>
          <cell r="AF753">
            <v>2005</v>
          </cell>
          <cell r="AH753" t="str">
            <v>Dave Sutton</v>
          </cell>
          <cell r="AI753" t="str">
            <v>WC</v>
          </cell>
          <cell r="AJ753"/>
        </row>
        <row r="754">
          <cell r="E754" t="str">
            <v>S0028514</v>
          </cell>
          <cell r="F754" t="str">
            <v>SPS KINGFISHER AV BALLAJURA</v>
          </cell>
          <cell r="H754" t="str">
            <v>SEC Supply</v>
          </cell>
          <cell r="I754" t="str">
            <v>S0028518</v>
          </cell>
          <cell r="J754" t="str">
            <v>SB1</v>
          </cell>
          <cell r="K754" t="str">
            <v>18824-1-16</v>
          </cell>
          <cell r="AF754">
            <v>1985</v>
          </cell>
          <cell r="AH754" t="str">
            <v>Dave Sutton</v>
          </cell>
          <cell r="AI754" t="str">
            <v>WC</v>
          </cell>
          <cell r="AJ754"/>
        </row>
        <row r="755">
          <cell r="E755" t="str">
            <v>S0028533</v>
          </cell>
          <cell r="F755" t="str">
            <v>SPS LEMONGRASS TCE BALLAJURA</v>
          </cell>
          <cell r="H755" t="str">
            <v>SEC Supply</v>
          </cell>
          <cell r="I755" t="str">
            <v>S0028537</v>
          </cell>
          <cell r="J755" t="str">
            <v>SB1</v>
          </cell>
          <cell r="K755" t="str">
            <v>18275-41-1</v>
          </cell>
          <cell r="M755"/>
          <cell r="V755" t="str">
            <v>MCB</v>
          </cell>
          <cell r="W755">
            <v>80</v>
          </cell>
          <cell r="AF755">
            <v>1983</v>
          </cell>
          <cell r="AH755" t="str">
            <v>Dave Sutton</v>
          </cell>
          <cell r="AI755" t="str">
            <v>WC</v>
          </cell>
          <cell r="AJ755"/>
        </row>
        <row r="756">
          <cell r="E756" t="str">
            <v>S0028291</v>
          </cell>
          <cell r="F756" t="str">
            <v>SPS CASSOWARY DR BALLAJURA</v>
          </cell>
          <cell r="I756" t="str">
            <v>S0028295</v>
          </cell>
          <cell r="J756" t="str">
            <v>SB1</v>
          </cell>
          <cell r="K756" t="str">
            <v>AL47-5-1</v>
          </cell>
          <cell r="M756"/>
          <cell r="V756" t="str">
            <v>MCB</v>
          </cell>
          <cell r="W756">
            <v>80</v>
          </cell>
          <cell r="AF756">
            <v>1987</v>
          </cell>
          <cell r="AH756" t="str">
            <v>Dave Sutton</v>
          </cell>
          <cell r="AI756" t="str">
            <v>WC</v>
          </cell>
          <cell r="AJ756"/>
        </row>
        <row r="757">
          <cell r="E757" t="str">
            <v>S0028660</v>
          </cell>
          <cell r="F757" t="str">
            <v>SPS SUMMERLAKES PDE BALLAJURA</v>
          </cell>
          <cell r="I757" t="str">
            <v>S0028664</v>
          </cell>
          <cell r="K757" t="str">
            <v>AL49-5-1</v>
          </cell>
          <cell r="M757"/>
          <cell r="AF757">
            <v>1987</v>
          </cell>
          <cell r="AH757" t="str">
            <v>Dave Sutton</v>
          </cell>
          <cell r="AI757" t="str">
            <v>WC</v>
          </cell>
          <cell r="AJ757"/>
        </row>
        <row r="758">
          <cell r="E758" t="str">
            <v>S0028636</v>
          </cell>
          <cell r="F758" t="str">
            <v>SPS SNOWDONIA CT BALLAJURA</v>
          </cell>
          <cell r="I758" t="str">
            <v>S0028640</v>
          </cell>
          <cell r="K758" t="str">
            <v>CN07- -</v>
          </cell>
          <cell r="M758"/>
          <cell r="AF758">
            <v>1993</v>
          </cell>
          <cell r="AH758" t="str">
            <v>Dave Sutton</v>
          </cell>
          <cell r="AI758" t="str">
            <v>WC</v>
          </cell>
          <cell r="AJ758"/>
        </row>
        <row r="759">
          <cell r="E759" t="str">
            <v>W2000391</v>
          </cell>
          <cell r="F759" t="str">
            <v>WPS GREENVALE PL BANKSIA GROVE</v>
          </cell>
          <cell r="H759" t="str">
            <v>Supply Authority</v>
          </cell>
          <cell r="I759" t="str">
            <v>W2000475</v>
          </cell>
          <cell r="J759" t="str">
            <v>Main SB</v>
          </cell>
          <cell r="K759" t="str">
            <v>GW46-41-1</v>
          </cell>
          <cell r="M759">
            <v>200</v>
          </cell>
          <cell r="N759">
            <v>22</v>
          </cell>
          <cell r="O759">
            <v>415</v>
          </cell>
          <cell r="S759" t="str">
            <v>PVC/PVC</v>
          </cell>
          <cell r="T759" t="str">
            <v>35mm2</v>
          </cell>
          <cell r="V759" t="str">
            <v>MCB</v>
          </cell>
          <cell r="W759">
            <v>160</v>
          </cell>
          <cell r="X759" t="str">
            <v>GW46-41-2</v>
          </cell>
          <cell r="AF759">
            <v>2005</v>
          </cell>
          <cell r="AH759" t="str">
            <v>Dave Sutton</v>
          </cell>
          <cell r="AI759" t="str">
            <v>WC</v>
          </cell>
          <cell r="AJ759" t="str">
            <v>Genset onsite</v>
          </cell>
        </row>
        <row r="760">
          <cell r="E760" t="str">
            <v>S0030159</v>
          </cell>
          <cell r="F760" t="str">
            <v>SPS HYLAND ST BASSENDEAN</v>
          </cell>
          <cell r="H760" t="str">
            <v>SEC Supply</v>
          </cell>
          <cell r="I760" t="str">
            <v>S0030165</v>
          </cell>
          <cell r="J760" t="str">
            <v>Main SB</v>
          </cell>
          <cell r="K760" t="str">
            <v>06318-40-2</v>
          </cell>
          <cell r="AF760">
            <v>1983</v>
          </cell>
          <cell r="AH760" t="str">
            <v>Dave Sutton</v>
          </cell>
          <cell r="AI760" t="str">
            <v>WC</v>
          </cell>
          <cell r="AJ760"/>
        </row>
        <row r="761">
          <cell r="E761" t="str">
            <v>S0030052</v>
          </cell>
          <cell r="F761" t="str">
            <v>SPS BEST WY BASSENDEAN</v>
          </cell>
          <cell r="H761" t="str">
            <v>Supply Authority</v>
          </cell>
          <cell r="I761" t="str">
            <v>S0030058</v>
          </cell>
          <cell r="J761" t="str">
            <v>Main SB</v>
          </cell>
          <cell r="K761" t="str">
            <v>11516-41-4</v>
          </cell>
          <cell r="M761"/>
          <cell r="V761" t="str">
            <v>MCB</v>
          </cell>
          <cell r="W761">
            <v>100</v>
          </cell>
          <cell r="AF761">
            <v>1975</v>
          </cell>
          <cell r="AH761" t="str">
            <v>Dave Sutton</v>
          </cell>
          <cell r="AI761" t="str">
            <v>WC</v>
          </cell>
          <cell r="AJ761"/>
        </row>
        <row r="762">
          <cell r="E762" t="str">
            <v>S0030127</v>
          </cell>
          <cell r="F762" t="str">
            <v>SPS CULWORTH RD BASSENDEAN</v>
          </cell>
          <cell r="H762" t="str">
            <v>SEC Supply</v>
          </cell>
          <cell r="I762" t="str">
            <v>S0030133</v>
          </cell>
          <cell r="K762" t="str">
            <v>15774-40-3</v>
          </cell>
          <cell r="M762"/>
          <cell r="V762" t="str">
            <v>MCB</v>
          </cell>
          <cell r="W762">
            <v>150</v>
          </cell>
          <cell r="AF762">
            <v>1979</v>
          </cell>
          <cell r="AH762" t="str">
            <v>Dave Sutton</v>
          </cell>
          <cell r="AI762" t="str">
            <v>WC</v>
          </cell>
          <cell r="AJ762"/>
        </row>
        <row r="763">
          <cell r="E763" t="str">
            <v>S0030134</v>
          </cell>
          <cell r="F763" t="str">
            <v>SPS HANWELL WY BASSENDEAN</v>
          </cell>
          <cell r="H763" t="str">
            <v>SEC Supply</v>
          </cell>
          <cell r="I763" t="str">
            <v>S0030137</v>
          </cell>
          <cell r="J763" t="str">
            <v>Main SB</v>
          </cell>
          <cell r="K763" t="str">
            <v>AQ21-41-1</v>
          </cell>
          <cell r="M763"/>
          <cell r="O763">
            <v>440</v>
          </cell>
          <cell r="V763" t="str">
            <v>Fuse</v>
          </cell>
          <cell r="W763">
            <v>35</v>
          </cell>
          <cell r="AF763">
            <v>1986</v>
          </cell>
          <cell r="AH763" t="str">
            <v>Dave Sutton</v>
          </cell>
          <cell r="AI763" t="str">
            <v>WC</v>
          </cell>
          <cell r="AJ763"/>
        </row>
        <row r="764">
          <cell r="E764" t="str">
            <v>S0033781</v>
          </cell>
          <cell r="F764" t="str">
            <v>SPS MARSENGO RD BATEMAN</v>
          </cell>
          <cell r="H764" t="str">
            <v>SEC Supply</v>
          </cell>
          <cell r="I764" t="str">
            <v>S0033787</v>
          </cell>
          <cell r="J764" t="str">
            <v>Main SB</v>
          </cell>
          <cell r="K764" t="str">
            <v>15389-6-13</v>
          </cell>
          <cell r="M764"/>
          <cell r="AF764">
            <v>1976</v>
          </cell>
          <cell r="AH764" t="str">
            <v>Dave Sutton</v>
          </cell>
          <cell r="AI764" t="str">
            <v>WC</v>
          </cell>
          <cell r="AJ764"/>
        </row>
        <row r="765">
          <cell r="E765" t="str">
            <v>S2002889</v>
          </cell>
          <cell r="F765" t="str">
            <v>SPS RUMMER WY BATEMAN</v>
          </cell>
          <cell r="H765" t="str">
            <v>Supply Authority</v>
          </cell>
          <cell r="I765" t="str">
            <v>S2002893</v>
          </cell>
          <cell r="J765" t="str">
            <v>Main SB</v>
          </cell>
          <cell r="K765" t="str">
            <v>EP27-41-5</v>
          </cell>
          <cell r="M765">
            <v>200</v>
          </cell>
          <cell r="O765">
            <v>415</v>
          </cell>
          <cell r="S765" t="str">
            <v>PVC</v>
          </cell>
          <cell r="T765" t="str">
            <v>16mm2</v>
          </cell>
          <cell r="V765" t="str">
            <v>MCB</v>
          </cell>
          <cell r="W765">
            <v>63</v>
          </cell>
          <cell r="AF765">
            <v>1999</v>
          </cell>
          <cell r="AH765" t="str">
            <v>Dave Sutton</v>
          </cell>
          <cell r="AI765" t="str">
            <v>WC</v>
          </cell>
          <cell r="AJ765"/>
        </row>
        <row r="766">
          <cell r="E766" t="str">
            <v>S0030145</v>
          </cell>
          <cell r="F766" t="str">
            <v>SPS HESTER ST BAYSWATER</v>
          </cell>
          <cell r="I766" t="str">
            <v>S0030151</v>
          </cell>
          <cell r="J766" t="str">
            <v>Main SB</v>
          </cell>
          <cell r="K766" t="str">
            <v>13327-40-1</v>
          </cell>
          <cell r="M766"/>
          <cell r="V766" t="str">
            <v>Fuse</v>
          </cell>
          <cell r="W766">
            <v>30</v>
          </cell>
          <cell r="AF766">
            <v>1976</v>
          </cell>
          <cell r="AH766" t="str">
            <v>Dave Sutton</v>
          </cell>
          <cell r="AI766" t="str">
            <v>WC</v>
          </cell>
          <cell r="AJ766"/>
        </row>
        <row r="767">
          <cell r="E767" t="str">
            <v>S0030196</v>
          </cell>
          <cell r="F767" t="str">
            <v>SPS NOLAN PL BAYSWATER</v>
          </cell>
          <cell r="I767" t="str">
            <v>S2003545</v>
          </cell>
          <cell r="K767" t="str">
            <v>CB11-42-2</v>
          </cell>
          <cell r="M767"/>
          <cell r="AF767">
            <v>1993</v>
          </cell>
          <cell r="AH767" t="str">
            <v>Dave Sutton</v>
          </cell>
          <cell r="AI767" t="str">
            <v>WC</v>
          </cell>
          <cell r="AJ767"/>
        </row>
        <row r="768">
          <cell r="E768" t="str">
            <v>S0030173</v>
          </cell>
          <cell r="F768" t="str">
            <v>SPS KATANNING ST BAYSWATER</v>
          </cell>
          <cell r="H768" t="str">
            <v>Supply Authority</v>
          </cell>
          <cell r="I768" t="str">
            <v>S2000000</v>
          </cell>
          <cell r="J768" t="str">
            <v>Main SB</v>
          </cell>
          <cell r="K768" t="str">
            <v>DY36-41-5</v>
          </cell>
          <cell r="M768">
            <v>200</v>
          </cell>
          <cell r="O768">
            <v>415</v>
          </cell>
          <cell r="V768" t="str">
            <v>MCB</v>
          </cell>
          <cell r="W768">
            <v>32</v>
          </cell>
          <cell r="AF768">
            <v>1998</v>
          </cell>
          <cell r="AH768" t="str">
            <v>Dave Sutton</v>
          </cell>
          <cell r="AI768" t="str">
            <v>WC</v>
          </cell>
          <cell r="AJ768"/>
        </row>
        <row r="769">
          <cell r="E769" t="str">
            <v>S2000317</v>
          </cell>
          <cell r="F769" t="str">
            <v>VPS STONE ST BAYSWATER</v>
          </cell>
          <cell r="H769" t="str">
            <v>Supply Authority</v>
          </cell>
          <cell r="I769" t="str">
            <v>S2003478</v>
          </cell>
          <cell r="J769" t="str">
            <v>Main SB</v>
          </cell>
          <cell r="K769" t="str">
            <v>EH71-41-5</v>
          </cell>
          <cell r="M769">
            <v>200</v>
          </cell>
          <cell r="O769">
            <v>415</v>
          </cell>
          <cell r="S769" t="str">
            <v>XLPE</v>
          </cell>
          <cell r="T769" t="str">
            <v>3x1C 10mm2</v>
          </cell>
          <cell r="V769" t="str">
            <v>MCB</v>
          </cell>
          <cell r="W769">
            <v>63</v>
          </cell>
          <cell r="AF769">
            <v>1999</v>
          </cell>
          <cell r="AH769" t="str">
            <v>Dave Sutton</v>
          </cell>
          <cell r="AI769" t="str">
            <v>WC</v>
          </cell>
          <cell r="AJ769" t="str">
            <v>Genset onsite (20kVA)</v>
          </cell>
        </row>
        <row r="770">
          <cell r="E770" t="str">
            <v>S2002461</v>
          </cell>
          <cell r="F770" t="str">
            <v>SPS WYATT RD BAYSWATER</v>
          </cell>
          <cell r="H770" t="str">
            <v>Supply Authority</v>
          </cell>
          <cell r="I770" t="str">
            <v>S2002902</v>
          </cell>
          <cell r="J770" t="str">
            <v>Main SB</v>
          </cell>
          <cell r="K770" t="str">
            <v>FE79-41-5</v>
          </cell>
          <cell r="M770">
            <v>200</v>
          </cell>
          <cell r="O770">
            <v>415</v>
          </cell>
          <cell r="S770" t="str">
            <v>PVC</v>
          </cell>
          <cell r="T770" t="str">
            <v>10mm2</v>
          </cell>
          <cell r="V770" t="str">
            <v>MCB</v>
          </cell>
          <cell r="W770">
            <v>32</v>
          </cell>
          <cell r="AF770">
            <v>1999</v>
          </cell>
          <cell r="AH770" t="str">
            <v>Dave Sutton</v>
          </cell>
          <cell r="AI770" t="str">
            <v>WC</v>
          </cell>
          <cell r="AJ770"/>
        </row>
        <row r="771">
          <cell r="E771" t="str">
            <v>W0034833</v>
          </cell>
          <cell r="F771" t="str">
            <v>WPS BEARD ST BEACONSFIELD</v>
          </cell>
          <cell r="I771" t="str">
            <v>W0034838</v>
          </cell>
          <cell r="K771" t="str">
            <v xml:space="preserve">14259- - </v>
          </cell>
          <cell r="M771"/>
          <cell r="AF771">
            <v>1977</v>
          </cell>
          <cell r="AH771" t="str">
            <v>Dave Sutton</v>
          </cell>
          <cell r="AI771" t="str">
            <v>WC</v>
          </cell>
          <cell r="AJ771"/>
        </row>
        <row r="772">
          <cell r="E772" t="str">
            <v>S2003409</v>
          </cell>
          <cell r="F772" t="str">
            <v>SPS DUFFIELD AV BEACONSFIELD</v>
          </cell>
          <cell r="H772" t="str">
            <v>Supply Authority</v>
          </cell>
          <cell r="I772" t="str">
            <v>S2003413</v>
          </cell>
          <cell r="J772" t="str">
            <v>Main SB</v>
          </cell>
          <cell r="K772" t="str">
            <v>FM15-41-5</v>
          </cell>
          <cell r="M772">
            <v>200</v>
          </cell>
          <cell r="O772">
            <v>415</v>
          </cell>
          <cell r="S772" t="str">
            <v>PVC</v>
          </cell>
          <cell r="T772" t="str">
            <v>16mm2</v>
          </cell>
          <cell r="V772" t="str">
            <v>MCB</v>
          </cell>
          <cell r="W772">
            <v>32</v>
          </cell>
          <cell r="AF772">
            <v>2001</v>
          </cell>
          <cell r="AH772" t="str">
            <v>Dave Sutton</v>
          </cell>
          <cell r="AI772" t="str">
            <v>WC</v>
          </cell>
          <cell r="AJ772"/>
        </row>
        <row r="773">
          <cell r="E773" t="str">
            <v>S0033121</v>
          </cell>
          <cell r="F773" t="str">
            <v>SPS WEIR CR BECKENHAM</v>
          </cell>
          <cell r="I773" t="str">
            <v>S0033127</v>
          </cell>
          <cell r="J773" t="str">
            <v>Main SB</v>
          </cell>
          <cell r="K773" t="str">
            <v>11315-18-1</v>
          </cell>
          <cell r="AF773">
            <v>1973</v>
          </cell>
          <cell r="AH773" t="str">
            <v>Dave Sutton</v>
          </cell>
          <cell r="AI773" t="str">
            <v>WC</v>
          </cell>
          <cell r="AJ773"/>
        </row>
        <row r="774">
          <cell r="E774" t="str">
            <v>S0033092</v>
          </cell>
          <cell r="F774" t="str">
            <v>SPS ROCHESTER AV BECKENHAM</v>
          </cell>
          <cell r="I774" t="str">
            <v>S0033096</v>
          </cell>
          <cell r="K774" t="str">
            <v xml:space="preserve">BH78- - </v>
          </cell>
          <cell r="M774"/>
          <cell r="AF774">
            <v>1991</v>
          </cell>
          <cell r="AH774" t="str">
            <v>Dave Sutton</v>
          </cell>
          <cell r="AI774" t="str">
            <v>WC</v>
          </cell>
          <cell r="AJ774"/>
        </row>
        <row r="775">
          <cell r="E775" t="str">
            <v>S0033061</v>
          </cell>
          <cell r="F775" t="str">
            <v>SPS PACKER ST BECKENHAM</v>
          </cell>
          <cell r="H775" t="str">
            <v>Supply Authority</v>
          </cell>
          <cell r="I775" t="str">
            <v>S0033065</v>
          </cell>
          <cell r="J775" t="str">
            <v>Main SB</v>
          </cell>
          <cell r="K775" t="str">
            <v>DW73-41-5</v>
          </cell>
          <cell r="M775">
            <v>200</v>
          </cell>
          <cell r="O775">
            <v>415</v>
          </cell>
          <cell r="V775" t="str">
            <v>MCB</v>
          </cell>
          <cell r="W775">
            <v>32</v>
          </cell>
          <cell r="AF775">
            <v>1998</v>
          </cell>
          <cell r="AH775" t="str">
            <v>Dave Sutton</v>
          </cell>
          <cell r="AI775" t="str">
            <v>WC</v>
          </cell>
          <cell r="AJ775"/>
        </row>
        <row r="776">
          <cell r="E776" t="str">
            <v>S0033028</v>
          </cell>
          <cell r="F776" t="str">
            <v>SPS LUNAR WY BECKENHAM</v>
          </cell>
          <cell r="I776" t="str">
            <v>S0033034</v>
          </cell>
          <cell r="K776" t="str">
            <v>11200-40-1</v>
          </cell>
          <cell r="M776"/>
          <cell r="AF776">
            <v>1972</v>
          </cell>
          <cell r="AH776" t="str">
            <v>Dave Sutton</v>
          </cell>
          <cell r="AI776" t="str">
            <v>WC</v>
          </cell>
          <cell r="AJ776"/>
        </row>
        <row r="777">
          <cell r="E777" t="str">
            <v>D0036111</v>
          </cell>
          <cell r="F777" t="str">
            <v>DPS SHAFTESBURY AV BEDFORD</v>
          </cell>
          <cell r="I777" t="str">
            <v>D0036115</v>
          </cell>
          <cell r="K777" t="str">
            <v xml:space="preserve">AI39- - </v>
          </cell>
          <cell r="M777"/>
          <cell r="AF777">
            <v>1963</v>
          </cell>
          <cell r="AH777" t="str">
            <v>Dave Sutton</v>
          </cell>
          <cell r="AI777" t="str">
            <v>WC</v>
          </cell>
          <cell r="AJ777"/>
        </row>
        <row r="778">
          <cell r="E778" t="str">
            <v>S0030089</v>
          </cell>
          <cell r="F778" t="str">
            <v>SPS CATHERINE ST BEDFORD</v>
          </cell>
          <cell r="I778" t="str">
            <v>S2003515</v>
          </cell>
          <cell r="K778" t="str">
            <v>DG07-41-5</v>
          </cell>
          <cell r="M778"/>
          <cell r="AF778">
            <v>1995</v>
          </cell>
          <cell r="AH778" t="str">
            <v>Dave Sutton</v>
          </cell>
          <cell r="AI778" t="str">
            <v>WC</v>
          </cell>
          <cell r="AJ778"/>
        </row>
        <row r="779">
          <cell r="E779" t="str">
            <v>S2002874</v>
          </cell>
          <cell r="F779" t="str">
            <v>SPS SHAFTESBURY AVE BEDFORD</v>
          </cell>
          <cell r="I779" t="str">
            <v>S2002878</v>
          </cell>
          <cell r="K779" t="str">
            <v>FF13-41-5</v>
          </cell>
          <cell r="M779"/>
          <cell r="AF779">
            <v>1998</v>
          </cell>
          <cell r="AH779" t="str">
            <v>Dave Sutton</v>
          </cell>
          <cell r="AI779" t="str">
            <v>WC</v>
          </cell>
          <cell r="AJ779"/>
        </row>
        <row r="780">
          <cell r="E780" t="str">
            <v>W2000106</v>
          </cell>
          <cell r="F780" t="str">
            <v>WPS CHURCHMAN BROOK RD BEDFORDALE</v>
          </cell>
          <cell r="I780" t="str">
            <v>W2000249</v>
          </cell>
          <cell r="J780" t="str">
            <v>Pump Station MCC</v>
          </cell>
          <cell r="K780" t="str">
            <v>ER95-11-2</v>
          </cell>
          <cell r="M780">
            <v>315</v>
          </cell>
          <cell r="N780">
            <v>22</v>
          </cell>
          <cell r="O780">
            <v>415</v>
          </cell>
          <cell r="V780" t="str">
            <v>MCB</v>
          </cell>
          <cell r="W780">
            <v>400</v>
          </cell>
          <cell r="AA780">
            <v>415</v>
          </cell>
          <cell r="AB780">
            <v>600</v>
          </cell>
          <cell r="AC780">
            <v>18</v>
          </cell>
          <cell r="AD780">
            <v>1</v>
          </cell>
          <cell r="AF780">
            <v>1999</v>
          </cell>
          <cell r="AH780" t="str">
            <v>Dave Sutton</v>
          </cell>
          <cell r="AI780" t="str">
            <v>WC</v>
          </cell>
          <cell r="AJ780"/>
        </row>
        <row r="781">
          <cell r="E781" t="str">
            <v>S0030035</v>
          </cell>
          <cell r="F781" t="str">
            <v>SPS BENARA RD EAST BEECHBORO</v>
          </cell>
          <cell r="H781" t="str">
            <v>Supply Authority</v>
          </cell>
          <cell r="I781" t="str">
            <v>S0030041</v>
          </cell>
          <cell r="J781" t="str">
            <v>Main SB</v>
          </cell>
          <cell r="K781" t="str">
            <v>FL26-40-1</v>
          </cell>
          <cell r="M781">
            <v>300</v>
          </cell>
          <cell r="N781">
            <v>22</v>
          </cell>
          <cell r="O781">
            <v>440</v>
          </cell>
          <cell r="V781" t="str">
            <v>MCB</v>
          </cell>
          <cell r="W781">
            <v>400</v>
          </cell>
          <cell r="X781" t="str">
            <v>FL26-40-2</v>
          </cell>
          <cell r="AB781">
            <v>400</v>
          </cell>
          <cell r="AC781">
            <v>14</v>
          </cell>
          <cell r="AF781">
            <v>1971</v>
          </cell>
          <cell r="AH781" t="str">
            <v>Dave Sutton</v>
          </cell>
          <cell r="AI781" t="str">
            <v>WC</v>
          </cell>
          <cell r="AJ781"/>
        </row>
        <row r="782">
          <cell r="E782" t="str">
            <v>S0030106</v>
          </cell>
          <cell r="F782" t="str">
            <v>SPS CONIFER PL BEECHBORO</v>
          </cell>
          <cell r="H782" t="str">
            <v>SEC Supply</v>
          </cell>
          <cell r="I782" t="str">
            <v>S0030109</v>
          </cell>
          <cell r="J782" t="str">
            <v>Main SB</v>
          </cell>
          <cell r="K782" t="str">
            <v>BV19-42-2</v>
          </cell>
          <cell r="M782"/>
          <cell r="O782">
            <v>415</v>
          </cell>
          <cell r="V782" t="str">
            <v>Fuse</v>
          </cell>
          <cell r="W782">
            <v>50</v>
          </cell>
          <cell r="AF782">
            <v>1990</v>
          </cell>
          <cell r="AH782" t="str">
            <v>Dave Sutton</v>
          </cell>
          <cell r="AI782" t="str">
            <v>WC</v>
          </cell>
          <cell r="AJ782"/>
        </row>
        <row r="783">
          <cell r="E783" t="str">
            <v>S0030200</v>
          </cell>
          <cell r="F783" t="str">
            <v>SPS ORCHID AV BEECHBORO</v>
          </cell>
          <cell r="I783" t="str">
            <v>S2003550</v>
          </cell>
          <cell r="K783" t="str">
            <v>DV16-41-5</v>
          </cell>
          <cell r="M783"/>
          <cell r="AF783">
            <v>1996</v>
          </cell>
          <cell r="AH783" t="str">
            <v>Dave Sutton</v>
          </cell>
          <cell r="AI783" t="str">
            <v>WC</v>
          </cell>
          <cell r="AJ783"/>
        </row>
        <row r="784">
          <cell r="E784" t="str">
            <v>S0032873</v>
          </cell>
          <cell r="F784" t="str">
            <v>SPS THE GRANGE BEELIAR</v>
          </cell>
          <cell r="H784" t="str">
            <v>SEC Supply</v>
          </cell>
          <cell r="I784" t="str">
            <v>S0032877</v>
          </cell>
          <cell r="J784" t="str">
            <v>Main SB</v>
          </cell>
          <cell r="K784" t="str">
            <v>DJ87-41-5</v>
          </cell>
          <cell r="M784"/>
          <cell r="S784" t="str">
            <v>PYROLEX</v>
          </cell>
          <cell r="T784" t="str">
            <v>10mm2</v>
          </cell>
          <cell r="V784" t="str">
            <v>MCB</v>
          </cell>
          <cell r="W784">
            <v>63</v>
          </cell>
          <cell r="AF784">
            <v>1995</v>
          </cell>
          <cell r="AH784" t="str">
            <v>Dave Sutton</v>
          </cell>
          <cell r="AI784" t="str">
            <v>WC</v>
          </cell>
          <cell r="AJ784"/>
        </row>
        <row r="785">
          <cell r="E785" t="str">
            <v>S0032858</v>
          </cell>
          <cell r="F785" t="str">
            <v>SPS IVANKOVICH AV BEELIAR</v>
          </cell>
          <cell r="H785" t="str">
            <v>SEC Supply</v>
          </cell>
          <cell r="I785" t="str">
            <v>S0032862</v>
          </cell>
          <cell r="J785" t="str">
            <v>Main SB</v>
          </cell>
          <cell r="K785" t="str">
            <v>DI84-41-5</v>
          </cell>
          <cell r="M785"/>
          <cell r="O785">
            <v>415</v>
          </cell>
          <cell r="S785" t="str">
            <v>PVC</v>
          </cell>
          <cell r="T785" t="str">
            <v>10mm2</v>
          </cell>
          <cell r="V785" t="str">
            <v>MCB</v>
          </cell>
          <cell r="W785">
            <v>32</v>
          </cell>
          <cell r="AF785">
            <v>1996</v>
          </cell>
          <cell r="AH785" t="str">
            <v>Dave Sutton</v>
          </cell>
          <cell r="AI785" t="str">
            <v>WC</v>
          </cell>
          <cell r="AJ785"/>
        </row>
        <row r="786">
          <cell r="E786" t="str">
            <v>S0027268</v>
          </cell>
          <cell r="F786" t="str">
            <v>SPS DAYLIGHT CL BELDON</v>
          </cell>
          <cell r="I786" t="str">
            <v>S0027272</v>
          </cell>
          <cell r="K786" t="str">
            <v xml:space="preserve">18192- - </v>
          </cell>
          <cell r="M786"/>
          <cell r="AF786">
            <v>1983</v>
          </cell>
          <cell r="AH786" t="str">
            <v>Dave Sutton</v>
          </cell>
          <cell r="AI786" t="str">
            <v>WC</v>
          </cell>
          <cell r="AJ786"/>
        </row>
        <row r="787">
          <cell r="E787" t="str">
            <v>S0028968</v>
          </cell>
          <cell r="F787" t="str">
            <v>SPS ELDER WY BELLEVUE</v>
          </cell>
          <cell r="I787" t="str">
            <v>S0028974</v>
          </cell>
          <cell r="J787" t="str">
            <v>Main SB</v>
          </cell>
          <cell r="K787" t="str">
            <v>15167-40-1</v>
          </cell>
          <cell r="AA787">
            <v>440</v>
          </cell>
          <cell r="AF787">
            <v>1978</v>
          </cell>
          <cell r="AH787" t="str">
            <v>Dave Sutton</v>
          </cell>
          <cell r="AI787" t="str">
            <v>WC</v>
          </cell>
          <cell r="AJ787"/>
        </row>
        <row r="788">
          <cell r="E788" t="str">
            <v>S0034046</v>
          </cell>
          <cell r="F788" t="str">
            <v>SPS FRANCISCO ST BELMONT</v>
          </cell>
          <cell r="I788" t="str">
            <v>S0034052</v>
          </cell>
          <cell r="K788" t="str">
            <v>08998-10-1</v>
          </cell>
          <cell r="M788"/>
          <cell r="AF788">
            <v>2002</v>
          </cell>
          <cell r="AH788" t="str">
            <v>Dave Sutton</v>
          </cell>
          <cell r="AI788" t="str">
            <v>WC</v>
          </cell>
          <cell r="AJ788"/>
        </row>
        <row r="789">
          <cell r="E789" t="str">
            <v>S0032997</v>
          </cell>
          <cell r="F789" t="str">
            <v>SPS GRANT PL BENTLEY</v>
          </cell>
          <cell r="I789" t="str">
            <v>S0033003</v>
          </cell>
          <cell r="J789" t="str">
            <v>Main SB</v>
          </cell>
          <cell r="K789" t="str">
            <v>12248-40-1</v>
          </cell>
          <cell r="M789"/>
          <cell r="V789" t="str">
            <v>Fuse</v>
          </cell>
          <cell r="W789">
            <v>20</v>
          </cell>
          <cell r="AF789">
            <v>1976</v>
          </cell>
          <cell r="AH789" t="str">
            <v>Dave Sutton</v>
          </cell>
          <cell r="AI789" t="str">
            <v>WC</v>
          </cell>
          <cell r="AJ789"/>
        </row>
        <row r="790">
          <cell r="E790" t="str">
            <v>S0032980</v>
          </cell>
          <cell r="F790" t="str">
            <v>SPS FARNHAM ST BENTLEY</v>
          </cell>
          <cell r="I790" t="str">
            <v>S0032986</v>
          </cell>
          <cell r="J790" t="str">
            <v>Main SB</v>
          </cell>
          <cell r="K790" t="str">
            <v>BI02-41-4</v>
          </cell>
          <cell r="M790"/>
          <cell r="O790">
            <v>415</v>
          </cell>
          <cell r="S790" t="str">
            <v>XLPE/PVC</v>
          </cell>
          <cell r="T790" t="str">
            <v>16mm2</v>
          </cell>
          <cell r="AF790">
            <v>1992</v>
          </cell>
          <cell r="AH790" t="str">
            <v>Dave Sutton</v>
          </cell>
          <cell r="AI790" t="str">
            <v>WC</v>
          </cell>
          <cell r="AJ790"/>
        </row>
        <row r="791">
          <cell r="E791" t="str">
            <v>S0032975</v>
          </cell>
          <cell r="F791" t="str">
            <v>SPS EWING ST BENTLEY</v>
          </cell>
          <cell r="H791" t="str">
            <v>Supply Authority</v>
          </cell>
          <cell r="I791" t="str">
            <v>S0032979</v>
          </cell>
          <cell r="J791" t="str">
            <v>Main SB</v>
          </cell>
          <cell r="K791" t="str">
            <v>DW08-41-5</v>
          </cell>
          <cell r="M791"/>
          <cell r="O791">
            <v>415</v>
          </cell>
          <cell r="V791" t="str">
            <v>MCB</v>
          </cell>
          <cell r="W791">
            <v>32</v>
          </cell>
          <cell r="AF791">
            <v>1997</v>
          </cell>
          <cell r="AH791" t="str">
            <v>Dave Sutton</v>
          </cell>
          <cell r="AI791" t="str">
            <v>WC</v>
          </cell>
          <cell r="AJ791"/>
        </row>
        <row r="792">
          <cell r="E792" t="str">
            <v>S0030266</v>
          </cell>
          <cell r="F792" t="str">
            <v>SPS BERTRAM RD BERTRAM</v>
          </cell>
          <cell r="H792" t="str">
            <v>Supply Authority</v>
          </cell>
          <cell r="I792" t="str">
            <v>S0030270</v>
          </cell>
          <cell r="J792" t="str">
            <v>Main SB</v>
          </cell>
          <cell r="K792" t="str">
            <v>BQ89-42-5</v>
          </cell>
          <cell r="M792">
            <v>200</v>
          </cell>
          <cell r="N792">
            <v>22</v>
          </cell>
          <cell r="O792">
            <v>415</v>
          </cell>
          <cell r="P792">
            <v>0.04</v>
          </cell>
          <cell r="S792" t="str">
            <v>XLPE/PVC</v>
          </cell>
          <cell r="T792" t="str">
            <v>4x1C 150mm2</v>
          </cell>
          <cell r="V792" t="str">
            <v>MCB</v>
          </cell>
          <cell r="W792">
            <v>250</v>
          </cell>
          <cell r="X792" t="str">
            <v>BQ89-40-2</v>
          </cell>
          <cell r="AF792">
            <v>1992</v>
          </cell>
          <cell r="AH792" t="str">
            <v>Dave Sutton</v>
          </cell>
          <cell r="AI792" t="str">
            <v>WC</v>
          </cell>
          <cell r="AJ792"/>
        </row>
        <row r="793">
          <cell r="E793" t="str">
            <v>S0032863</v>
          </cell>
          <cell r="F793" t="str">
            <v>SPS MARLENE WY BIBRA LAKE</v>
          </cell>
          <cell r="H793" t="str">
            <v>SEC Supply</v>
          </cell>
          <cell r="I793" t="str">
            <v>S0032867</v>
          </cell>
          <cell r="J793" t="str">
            <v>Sec DB</v>
          </cell>
          <cell r="K793" t="str">
            <v xml:space="preserve">16471- - </v>
          </cell>
          <cell r="M793"/>
          <cell r="V793" t="str">
            <v>MCB</v>
          </cell>
          <cell r="W793">
            <v>70</v>
          </cell>
          <cell r="AF793">
            <v>1980</v>
          </cell>
          <cell r="AH793" t="str">
            <v>Dave Sutton</v>
          </cell>
          <cell r="AI793" t="str">
            <v>WC</v>
          </cell>
          <cell r="AJ793"/>
        </row>
        <row r="794">
          <cell r="E794" t="str">
            <v>S0033331</v>
          </cell>
          <cell r="F794" t="str">
            <v>SPS SPEARWOOD AV BIBRA LAKE</v>
          </cell>
          <cell r="H794" t="str">
            <v>SEC Supply</v>
          </cell>
          <cell r="I794" t="str">
            <v>S0033335</v>
          </cell>
          <cell r="J794" t="str">
            <v>SB1</v>
          </cell>
          <cell r="K794" t="str">
            <v>17858-40-1</v>
          </cell>
          <cell r="M794"/>
          <cell r="S794" t="str">
            <v>PVC/PVC</v>
          </cell>
          <cell r="T794" t="str">
            <v>4x1C 6mm2</v>
          </cell>
          <cell r="V794" t="str">
            <v>MCB</v>
          </cell>
          <cell r="W794">
            <v>55</v>
          </cell>
          <cell r="AF794">
            <v>1981</v>
          </cell>
          <cell r="AH794" t="str">
            <v>Dave Sutton</v>
          </cell>
          <cell r="AI794" t="str">
            <v>WC</v>
          </cell>
          <cell r="AJ794"/>
        </row>
        <row r="795">
          <cell r="E795" t="str">
            <v>D0036711</v>
          </cell>
          <cell r="F795" t="str">
            <v>DPS PROGRESS DR BIBRA LAKE</v>
          </cell>
          <cell r="I795" t="str">
            <v>D0036715</v>
          </cell>
          <cell r="M795"/>
          <cell r="AF795">
            <v>1993</v>
          </cell>
          <cell r="AH795" t="str">
            <v>Dave Sutton</v>
          </cell>
          <cell r="AI795" t="str">
            <v>WC</v>
          </cell>
          <cell r="AJ795"/>
        </row>
        <row r="796">
          <cell r="E796" t="str">
            <v>S0032868</v>
          </cell>
          <cell r="F796" t="str">
            <v>SPS PHOENIX RD BIBRA LAKE</v>
          </cell>
          <cell r="H796" t="str">
            <v>SEC Supply</v>
          </cell>
          <cell r="I796" t="str">
            <v>S0032872</v>
          </cell>
          <cell r="J796" t="str">
            <v>Main SB</v>
          </cell>
          <cell r="K796" t="str">
            <v>CP43-42-2</v>
          </cell>
          <cell r="M796"/>
          <cell r="O796">
            <v>415</v>
          </cell>
          <cell r="S796" t="str">
            <v>PVC/PVC</v>
          </cell>
          <cell r="T796" t="str">
            <v>4C 10mm2</v>
          </cell>
          <cell r="AF796">
            <v>1993</v>
          </cell>
          <cell r="AH796" t="str">
            <v>Dave Sutton</v>
          </cell>
          <cell r="AI796" t="str">
            <v>WC</v>
          </cell>
          <cell r="AJ796"/>
        </row>
        <row r="797">
          <cell r="E797" t="str">
            <v>S2018323</v>
          </cell>
          <cell r="F797" t="str">
            <v>SPS SOLAR PASS BIBRA LAKE</v>
          </cell>
          <cell r="H797" t="str">
            <v>Supply Authority</v>
          </cell>
          <cell r="I797" t="str">
            <v>S2019795</v>
          </cell>
          <cell r="J797" t="str">
            <v>Main SB</v>
          </cell>
          <cell r="K797" t="str">
            <v>HP11-41-5</v>
          </cell>
          <cell r="M797"/>
          <cell r="N797">
            <v>22</v>
          </cell>
          <cell r="O797">
            <v>415</v>
          </cell>
          <cell r="S797" t="str">
            <v>XLPE/PVC</v>
          </cell>
          <cell r="T797" t="str">
            <v>3x1C 25mm2</v>
          </cell>
          <cell r="V797" t="str">
            <v>Fuse</v>
          </cell>
          <cell r="W797">
            <v>100</v>
          </cell>
          <cell r="X797" t="str">
            <v>HP11-40-2</v>
          </cell>
          <cell r="AF797">
            <v>2007</v>
          </cell>
          <cell r="AH797" t="str">
            <v>Dave Sutton</v>
          </cell>
          <cell r="AI797" t="str">
            <v>WC</v>
          </cell>
          <cell r="AJ797"/>
        </row>
        <row r="798">
          <cell r="E798" t="str">
            <v>S2003389</v>
          </cell>
          <cell r="F798" t="str">
            <v>SPS FORILLION AV BIBRA LAKE</v>
          </cell>
          <cell r="H798" t="str">
            <v>Supply Authority</v>
          </cell>
          <cell r="I798" t="str">
            <v>S2003393</v>
          </cell>
          <cell r="J798" t="str">
            <v>Main SB</v>
          </cell>
          <cell r="K798" t="str">
            <v>FT21-41-5</v>
          </cell>
          <cell r="M798">
            <v>200</v>
          </cell>
          <cell r="O798">
            <v>415</v>
          </cell>
          <cell r="S798" t="str">
            <v>PVC</v>
          </cell>
          <cell r="T798" t="str">
            <v>16mm2</v>
          </cell>
          <cell r="V798" t="str">
            <v>MCB</v>
          </cell>
          <cell r="W798">
            <v>32</v>
          </cell>
          <cell r="AF798">
            <v>2001</v>
          </cell>
          <cell r="AH798" t="str">
            <v>Dave Sutton</v>
          </cell>
          <cell r="AI798" t="str">
            <v>WC</v>
          </cell>
          <cell r="AJ798"/>
        </row>
        <row r="799">
          <cell r="E799" t="str">
            <v>W0035222</v>
          </cell>
          <cell r="F799" t="str">
            <v>WPS WALNUT RD BICKLEY</v>
          </cell>
          <cell r="I799" t="str">
            <v>W0035225</v>
          </cell>
          <cell r="K799" t="str">
            <v>JF40-41-2</v>
          </cell>
          <cell r="M799"/>
          <cell r="V799" t="str">
            <v>MCB</v>
          </cell>
          <cell r="AF799">
            <v>1966</v>
          </cell>
          <cell r="AH799" t="str">
            <v>Dave Sutton</v>
          </cell>
          <cell r="AI799" t="str">
            <v>WC</v>
          </cell>
          <cell r="AJ799"/>
        </row>
        <row r="800">
          <cell r="E800" t="str">
            <v>S0033640</v>
          </cell>
          <cell r="F800" t="str">
            <v>SPS CREWE ST BICTON</v>
          </cell>
          <cell r="I800" t="str">
            <v>S0033646</v>
          </cell>
          <cell r="J800" t="str">
            <v>Main SB</v>
          </cell>
          <cell r="K800" t="str">
            <v>09765-40-1</v>
          </cell>
          <cell r="AA800">
            <v>440</v>
          </cell>
          <cell r="AF800">
            <v>1967</v>
          </cell>
          <cell r="AH800" t="str">
            <v>Dave Sutton</v>
          </cell>
          <cell r="AI800" t="str">
            <v>WC</v>
          </cell>
          <cell r="AJ800"/>
        </row>
        <row r="801">
          <cell r="E801" t="str">
            <v>S0033600</v>
          </cell>
          <cell r="F801" t="str">
            <v>SPS BLACKWALL REACH PDE BICTON</v>
          </cell>
          <cell r="I801" t="str">
            <v>S0033606</v>
          </cell>
          <cell r="J801" t="str">
            <v>Main SB</v>
          </cell>
          <cell r="K801" t="str">
            <v>09614-40-1</v>
          </cell>
          <cell r="M801"/>
          <cell r="V801" t="str">
            <v>Fuse</v>
          </cell>
          <cell r="W801">
            <v>50</v>
          </cell>
          <cell r="AF801">
            <v>1967</v>
          </cell>
          <cell r="AH801" t="str">
            <v>Dave Sutton</v>
          </cell>
          <cell r="AI801" t="str">
            <v>WC</v>
          </cell>
          <cell r="AJ801"/>
        </row>
        <row r="802">
          <cell r="E802" t="str">
            <v>S0033581</v>
          </cell>
          <cell r="F802" t="str">
            <v>SPS ALDRIDGE RD BOORAGOON</v>
          </cell>
          <cell r="I802" t="str">
            <v>S0033587</v>
          </cell>
          <cell r="J802" t="str">
            <v>Main SB</v>
          </cell>
          <cell r="K802" t="str">
            <v>12979-40-1</v>
          </cell>
          <cell r="M802"/>
          <cell r="V802" t="str">
            <v>MCB</v>
          </cell>
          <cell r="W802">
            <v>60</v>
          </cell>
          <cell r="AF802">
            <v>1974</v>
          </cell>
          <cell r="AH802" t="str">
            <v>Dave Sutton</v>
          </cell>
          <cell r="AI802" t="str">
            <v>WC</v>
          </cell>
          <cell r="AJ802"/>
        </row>
        <row r="803">
          <cell r="E803" t="str">
            <v>S0033768</v>
          </cell>
          <cell r="F803" t="str">
            <v>SPS MARMION ST EAST BOORAGOON</v>
          </cell>
          <cell r="I803" t="str">
            <v>S0033774</v>
          </cell>
          <cell r="J803" t="str">
            <v>Main SB</v>
          </cell>
          <cell r="K803" t="str">
            <v>15522-40-5</v>
          </cell>
          <cell r="M803"/>
          <cell r="V803" t="str">
            <v>Fuse</v>
          </cell>
          <cell r="W803">
            <v>30</v>
          </cell>
          <cell r="AF803">
            <v>1978</v>
          </cell>
          <cell r="AH803" t="str">
            <v>Dave Sutton</v>
          </cell>
          <cell r="AI803" t="str">
            <v>WC</v>
          </cell>
          <cell r="AJ803"/>
        </row>
        <row r="804">
          <cell r="E804" t="str">
            <v>W0046182</v>
          </cell>
          <cell r="F804" t="str">
            <v>WPS YALGORUP DR BOUVARD TRANSFER</v>
          </cell>
          <cell r="H804" t="str">
            <v>SEC Supply</v>
          </cell>
          <cell r="I804" t="str">
            <v>W8001043</v>
          </cell>
          <cell r="J804" t="str">
            <v>Main SB</v>
          </cell>
          <cell r="K804" t="str">
            <v>AM06-41-5</v>
          </cell>
          <cell r="M804"/>
          <cell r="V804" t="str">
            <v>Fuse</v>
          </cell>
          <cell r="W804">
            <v>35</v>
          </cell>
          <cell r="AF804">
            <v>1985</v>
          </cell>
          <cell r="AH804" t="str">
            <v>Dave Sutton</v>
          </cell>
          <cell r="AI804" t="str">
            <v>WC</v>
          </cell>
          <cell r="AJ804"/>
        </row>
        <row r="805">
          <cell r="E805" t="str">
            <v>S2030576</v>
          </cell>
          <cell r="F805" t="str">
            <v>SPS PARTRIDGE ST BRABHAM</v>
          </cell>
          <cell r="H805" t="str">
            <v>Supply Authority</v>
          </cell>
          <cell r="I805" t="str">
            <v>S2038239</v>
          </cell>
          <cell r="J805" t="str">
            <v>Main SB</v>
          </cell>
          <cell r="K805" t="str">
            <v>KJ47-41-5</v>
          </cell>
          <cell r="M805"/>
          <cell r="O805">
            <v>415</v>
          </cell>
          <cell r="S805" t="str">
            <v>XLPE</v>
          </cell>
          <cell r="T805" t="str">
            <v>4x1C 25mm2</v>
          </cell>
          <cell r="V805" t="str">
            <v>Fuse</v>
          </cell>
          <cell r="W805">
            <v>80</v>
          </cell>
          <cell r="X805" t="str">
            <v>KJ47-40-2</v>
          </cell>
          <cell r="AF805">
            <v>2013</v>
          </cell>
          <cell r="AH805" t="str">
            <v>Dave Sutton</v>
          </cell>
          <cell r="AI805" t="str">
            <v>WC</v>
          </cell>
          <cell r="AJ805"/>
        </row>
        <row r="806">
          <cell r="E806" t="str">
            <v>S0033735</v>
          </cell>
          <cell r="F806" t="str">
            <v>SPS KAROONDA RD BRENTWOOD</v>
          </cell>
          <cell r="I806" t="str">
            <v>S0033741</v>
          </cell>
          <cell r="J806" t="str">
            <v>Main SB</v>
          </cell>
          <cell r="K806" t="str">
            <v>12538-40-1</v>
          </cell>
          <cell r="AF806">
            <v>1975</v>
          </cell>
          <cell r="AH806" t="str">
            <v>Dave Sutton</v>
          </cell>
          <cell r="AI806" t="str">
            <v>WC</v>
          </cell>
          <cell r="AJ806"/>
        </row>
        <row r="807">
          <cell r="E807" t="str">
            <v>W0035342</v>
          </cell>
          <cell r="F807" t="str">
            <v>WPS CAMPERSIC RD BRIGADOON</v>
          </cell>
          <cell r="I807" t="str">
            <v>W0035347</v>
          </cell>
          <cell r="J807" t="str">
            <v>SB1</v>
          </cell>
          <cell r="K807" t="str">
            <v>CQ92-41-3</v>
          </cell>
          <cell r="M807">
            <v>200</v>
          </cell>
          <cell r="N807">
            <v>22</v>
          </cell>
          <cell r="O807">
            <v>440</v>
          </cell>
          <cell r="V807" t="str">
            <v>MCB</v>
          </cell>
          <cell r="W807">
            <v>300</v>
          </cell>
          <cell r="AF807">
            <v>1986</v>
          </cell>
          <cell r="AH807" t="str">
            <v>Dave Sutton</v>
          </cell>
          <cell r="AI807" t="str">
            <v>WC</v>
          </cell>
          <cell r="AJ807"/>
        </row>
        <row r="808">
          <cell r="E808" t="str">
            <v>W0035360</v>
          </cell>
          <cell r="F808" t="str">
            <v>WPS CATHEDRAL AV BRIGADOON</v>
          </cell>
          <cell r="I808" t="str">
            <v>W0035365</v>
          </cell>
          <cell r="K808" t="str">
            <v xml:space="preserve">CQ91- - </v>
          </cell>
          <cell r="M808">
            <v>200</v>
          </cell>
          <cell r="AF808">
            <v>1986</v>
          </cell>
          <cell r="AH808" t="str">
            <v>Dave Sutton</v>
          </cell>
          <cell r="AI808" t="str">
            <v>WC</v>
          </cell>
          <cell r="AJ808"/>
        </row>
        <row r="809">
          <cell r="E809" t="str">
            <v>S0032781</v>
          </cell>
          <cell r="F809" t="str">
            <v>SPS SITTELLA PLZA BROOKDALE</v>
          </cell>
          <cell r="H809" t="str">
            <v>SEC Supply</v>
          </cell>
          <cell r="I809" t="str">
            <v>S0032785</v>
          </cell>
          <cell r="J809" t="str">
            <v>Main SB</v>
          </cell>
          <cell r="K809" t="str">
            <v>BQ06-508-312</v>
          </cell>
          <cell r="M809"/>
          <cell r="O809">
            <v>415</v>
          </cell>
          <cell r="V809" t="str">
            <v>Fuse</v>
          </cell>
          <cell r="W809">
            <v>63</v>
          </cell>
          <cell r="AF809">
            <v>1992</v>
          </cell>
          <cell r="AH809" t="str">
            <v>Dave Sutton</v>
          </cell>
          <cell r="AI809" t="str">
            <v>WC</v>
          </cell>
          <cell r="AJ809"/>
        </row>
        <row r="810">
          <cell r="E810" t="str">
            <v>S0033593</v>
          </cell>
          <cell r="F810" t="str">
            <v>SPS BENNINGFIELD RD BULL CREEK</v>
          </cell>
          <cell r="I810" t="str">
            <v>S0033599</v>
          </cell>
          <cell r="J810" t="str">
            <v>Main SB</v>
          </cell>
          <cell r="K810" t="str">
            <v>10791-10-1</v>
          </cell>
          <cell r="M810"/>
          <cell r="AF810">
            <v>1971</v>
          </cell>
          <cell r="AH810" t="str">
            <v>Dave Sutton</v>
          </cell>
          <cell r="AI810" t="str">
            <v>WC</v>
          </cell>
          <cell r="AJ810"/>
        </row>
        <row r="811">
          <cell r="E811" t="str">
            <v>S0033819</v>
          </cell>
          <cell r="F811" t="str">
            <v>SPS PARRY AV BULL CREEK</v>
          </cell>
          <cell r="I811" t="str">
            <v>S0033825</v>
          </cell>
          <cell r="J811" t="str">
            <v>Main SB</v>
          </cell>
          <cell r="K811" t="str">
            <v>13338-40-1</v>
          </cell>
          <cell r="M811"/>
          <cell r="AF811">
            <v>1975</v>
          </cell>
          <cell r="AH811" t="str">
            <v>Dave Sutton</v>
          </cell>
          <cell r="AI811" t="str">
            <v>WC</v>
          </cell>
          <cell r="AJ811"/>
        </row>
        <row r="812">
          <cell r="E812" t="str">
            <v>S0033714</v>
          </cell>
          <cell r="F812" t="str">
            <v>SPS HASSELL CR BULL CREEK</v>
          </cell>
          <cell r="I812" t="str">
            <v>S0033720</v>
          </cell>
          <cell r="J812" t="str">
            <v>Main SB</v>
          </cell>
          <cell r="K812" t="str">
            <v>12224-10-1</v>
          </cell>
          <cell r="M812"/>
          <cell r="V812" t="str">
            <v>Fuse</v>
          </cell>
          <cell r="W812">
            <v>20</v>
          </cell>
          <cell r="AF812">
            <v>1974</v>
          </cell>
          <cell r="AH812" t="str">
            <v>Dave Sutton</v>
          </cell>
          <cell r="AI812" t="str">
            <v>WC</v>
          </cell>
          <cell r="AJ812"/>
        </row>
        <row r="813">
          <cell r="E813" t="str">
            <v>S0033647</v>
          </cell>
          <cell r="F813" t="str">
            <v>SPS CUREDALE MEWS BULL CREEK</v>
          </cell>
          <cell r="H813" t="str">
            <v>Supply Authority</v>
          </cell>
          <cell r="I813" t="str">
            <v>S0033651</v>
          </cell>
          <cell r="J813" t="str">
            <v>Main SB</v>
          </cell>
          <cell r="K813" t="str">
            <v>CL51-42-2</v>
          </cell>
          <cell r="M813"/>
          <cell r="O813">
            <v>415</v>
          </cell>
          <cell r="V813" t="str">
            <v>Fuse</v>
          </cell>
          <cell r="W813">
            <v>32</v>
          </cell>
          <cell r="AF813">
            <v>1993</v>
          </cell>
          <cell r="AH813" t="str">
            <v>Dave Sutton</v>
          </cell>
          <cell r="AI813" t="str">
            <v>WC</v>
          </cell>
          <cell r="AJ813"/>
        </row>
        <row r="814">
          <cell r="E814" t="str">
            <v>S0030246</v>
          </cell>
          <cell r="F814" t="str">
            <v>SPS GREAT NORTHERN HWY BULLSBROOK</v>
          </cell>
          <cell r="I814" t="str">
            <v>S0030249</v>
          </cell>
          <cell r="K814" t="str">
            <v>BW26-41-4</v>
          </cell>
          <cell r="M814"/>
          <cell r="AF814">
            <v>1991</v>
          </cell>
          <cell r="AH814" t="str">
            <v>Dave Sutton</v>
          </cell>
          <cell r="AI814" t="str">
            <v>WC</v>
          </cell>
          <cell r="AJ814"/>
        </row>
        <row r="815">
          <cell r="E815" t="str">
            <v>S0030250</v>
          </cell>
          <cell r="F815" t="str">
            <v>SPS NORTH AV BULLSBROOK</v>
          </cell>
          <cell r="I815" t="str">
            <v>S0030253</v>
          </cell>
          <cell r="K815" t="str">
            <v>BU82-41-4</v>
          </cell>
          <cell r="M815"/>
          <cell r="AF815">
            <v>1991</v>
          </cell>
          <cell r="AH815" t="str">
            <v>Dave Sutton</v>
          </cell>
          <cell r="AI815" t="str">
            <v>WC</v>
          </cell>
          <cell r="AJ815"/>
        </row>
        <row r="816">
          <cell r="E816" t="str">
            <v>S2004013</v>
          </cell>
          <cell r="F816" t="str">
            <v>SPS HOPKINSON RD BYFORD</v>
          </cell>
          <cell r="H816" t="str">
            <v>Supply Authority</v>
          </cell>
          <cell r="I816" t="str">
            <v>S2004017</v>
          </cell>
          <cell r="J816" t="str">
            <v>Main SB</v>
          </cell>
          <cell r="K816" t="str">
            <v>FM25-41-5</v>
          </cell>
          <cell r="M816">
            <v>100</v>
          </cell>
          <cell r="N816">
            <v>22</v>
          </cell>
          <cell r="O816">
            <v>415</v>
          </cell>
          <cell r="P816">
            <v>0.04</v>
          </cell>
          <cell r="S816" t="str">
            <v>XLPE/PVC</v>
          </cell>
          <cell r="T816" t="str">
            <v>4x1C 25mm2</v>
          </cell>
          <cell r="V816" t="str">
            <v>Fuse</v>
          </cell>
          <cell r="W816">
            <v>100</v>
          </cell>
          <cell r="X816" t="str">
            <v>FM25-40-2</v>
          </cell>
          <cell r="AF816">
            <v>2001</v>
          </cell>
          <cell r="AH816" t="str">
            <v>Dave Sutton</v>
          </cell>
          <cell r="AI816" t="str">
            <v>WC</v>
          </cell>
          <cell r="AJ816"/>
        </row>
        <row r="817">
          <cell r="E817" t="str">
            <v>S0030257</v>
          </cell>
          <cell r="F817" t="str">
            <v>SPS BARRICK RD CALISTA</v>
          </cell>
          <cell r="I817" t="str">
            <v>S0030263</v>
          </cell>
          <cell r="J817" t="str">
            <v>SB1</v>
          </cell>
          <cell r="K817" t="str">
            <v>10838-10-1</v>
          </cell>
          <cell r="M817"/>
          <cell r="AF817">
            <v>1971</v>
          </cell>
          <cell r="AH817" t="str">
            <v>Dave Sutton</v>
          </cell>
          <cell r="AI817" t="str">
            <v>WC</v>
          </cell>
          <cell r="AJ817"/>
        </row>
        <row r="818">
          <cell r="E818" t="str">
            <v>S0038070</v>
          </cell>
          <cell r="F818" t="str">
            <v>SPS GENTLE RD CALISTA</v>
          </cell>
          <cell r="I818" t="str">
            <v>S0038074</v>
          </cell>
          <cell r="K818" t="str">
            <v>EI02-41-5</v>
          </cell>
          <cell r="M818"/>
          <cell r="AF818">
            <v>1998</v>
          </cell>
          <cell r="AH818" t="str">
            <v>Dave Sutton</v>
          </cell>
          <cell r="AI818" t="str">
            <v>WC</v>
          </cell>
          <cell r="AJ818"/>
        </row>
        <row r="819">
          <cell r="E819" t="str">
            <v>S2018475</v>
          </cell>
          <cell r="F819" t="str">
            <v>SPS RHODES CR CALISTA</v>
          </cell>
          <cell r="H819" t="str">
            <v>Supply Authority</v>
          </cell>
          <cell r="I819" t="str">
            <v>S2037625</v>
          </cell>
          <cell r="J819" t="str">
            <v>Main SB</v>
          </cell>
          <cell r="K819" t="str">
            <v>IC49-41-5</v>
          </cell>
          <cell r="M819"/>
          <cell r="O819">
            <v>415</v>
          </cell>
          <cell r="S819" t="str">
            <v>XLPE/PVC</v>
          </cell>
          <cell r="T819" t="str">
            <v>4x1C 25mm2</v>
          </cell>
          <cell r="V819" t="str">
            <v>MCB</v>
          </cell>
          <cell r="W819">
            <v>100</v>
          </cell>
          <cell r="X819" t="str">
            <v>IC49-40-2</v>
          </cell>
          <cell r="AF819">
            <v>2013</v>
          </cell>
          <cell r="AH819" t="str">
            <v>Dave Sutton</v>
          </cell>
          <cell r="AI819" t="str">
            <v>WC</v>
          </cell>
          <cell r="AJ819"/>
        </row>
        <row r="820">
          <cell r="E820" t="str">
            <v>D0036333</v>
          </cell>
          <cell r="F820" t="str">
            <v>DPS HEMINGWAY DR CAMILLO</v>
          </cell>
          <cell r="I820" t="str">
            <v>D0036337</v>
          </cell>
          <cell r="J820" t="str">
            <v>SB1</v>
          </cell>
          <cell r="K820" t="str">
            <v>AI63-41-4</v>
          </cell>
          <cell r="M820"/>
          <cell r="V820" t="str">
            <v>Fuse</v>
          </cell>
          <cell r="W820">
            <v>100</v>
          </cell>
          <cell r="AA820">
            <v>440</v>
          </cell>
          <cell r="AF820">
            <v>1970</v>
          </cell>
          <cell r="AH820" t="str">
            <v>Dave Sutton</v>
          </cell>
          <cell r="AI820" t="str">
            <v>WC</v>
          </cell>
          <cell r="AJ820"/>
        </row>
        <row r="821">
          <cell r="E821" t="str">
            <v>S0032786</v>
          </cell>
          <cell r="F821" t="str">
            <v>SPS TEWSON RD CAMILLO</v>
          </cell>
          <cell r="I821" t="str">
            <v>S0032792</v>
          </cell>
          <cell r="K821" t="str">
            <v>10545-10-1</v>
          </cell>
          <cell r="M821"/>
          <cell r="AF821">
            <v>1970</v>
          </cell>
          <cell r="AH821" t="str">
            <v>Dave Sutton</v>
          </cell>
          <cell r="AI821" t="str">
            <v>WC</v>
          </cell>
          <cell r="AJ821"/>
        </row>
        <row r="822">
          <cell r="E822" t="str">
            <v>S0032755</v>
          </cell>
          <cell r="F822" t="str">
            <v>SPS HEMINGWAY DR CAMILLO</v>
          </cell>
          <cell r="H822" t="str">
            <v>SEC Supply</v>
          </cell>
          <cell r="I822" t="str">
            <v>S0032761</v>
          </cell>
          <cell r="J822" t="str">
            <v>Main SB</v>
          </cell>
          <cell r="K822" t="str">
            <v>11472-40-1</v>
          </cell>
          <cell r="M822"/>
          <cell r="V822" t="str">
            <v>Fuse</v>
          </cell>
          <cell r="W822">
            <v>200</v>
          </cell>
          <cell r="AF822">
            <v>1975</v>
          </cell>
          <cell r="AH822" t="str">
            <v>Dave Sutton</v>
          </cell>
          <cell r="AI822" t="str">
            <v>WC</v>
          </cell>
          <cell r="AJ822"/>
        </row>
        <row r="823">
          <cell r="E823" t="str">
            <v>S0034438</v>
          </cell>
          <cell r="F823" t="str">
            <v>SPS SHERMAN ST CANNING VALE</v>
          </cell>
          <cell r="H823" t="str">
            <v>SEC Supply</v>
          </cell>
          <cell r="I823" t="str">
            <v>S0034444</v>
          </cell>
          <cell r="J823" t="str">
            <v>Main SB</v>
          </cell>
          <cell r="K823" t="str">
            <v>15981-40-4</v>
          </cell>
          <cell r="M823"/>
          <cell r="AF823">
            <v>1979</v>
          </cell>
          <cell r="AH823" t="str">
            <v>Dave Sutton</v>
          </cell>
          <cell r="AI823" t="str">
            <v>WC</v>
          </cell>
          <cell r="AJ823"/>
        </row>
        <row r="824">
          <cell r="E824" t="str">
            <v>S0034213</v>
          </cell>
          <cell r="F824" t="str">
            <v>SPS BANNISTER RD CANNING VALE</v>
          </cell>
          <cell r="H824" t="str">
            <v>Supply Authority</v>
          </cell>
          <cell r="I824" t="str">
            <v>S0034217</v>
          </cell>
          <cell r="J824" t="str">
            <v>Main SB</v>
          </cell>
          <cell r="K824" t="str">
            <v>AS69-80-2</v>
          </cell>
          <cell r="M824">
            <v>25</v>
          </cell>
          <cell r="V824" t="str">
            <v>Fuse</v>
          </cell>
          <cell r="W824">
            <v>200</v>
          </cell>
          <cell r="AF824">
            <v>1987</v>
          </cell>
          <cell r="AH824" t="str">
            <v>Dave Sutton</v>
          </cell>
          <cell r="AI824" t="str">
            <v>WC</v>
          </cell>
          <cell r="AJ824"/>
        </row>
        <row r="825">
          <cell r="E825" t="str">
            <v>S0034249</v>
          </cell>
          <cell r="F825" t="str">
            <v>SPS CANNING VALE DEPOT CANNING VALE</v>
          </cell>
          <cell r="I825" t="str">
            <v>S0034253</v>
          </cell>
          <cell r="K825" t="str">
            <v xml:space="preserve">AM42- - </v>
          </cell>
          <cell r="M825"/>
          <cell r="AF825">
            <v>1986</v>
          </cell>
          <cell r="AH825" t="str">
            <v>Dave Sutton</v>
          </cell>
          <cell r="AI825" t="str">
            <v>WC</v>
          </cell>
          <cell r="AJ825"/>
        </row>
        <row r="826">
          <cell r="E826" t="str">
            <v>S0034237</v>
          </cell>
          <cell r="F826" t="str">
            <v>SPS CAMPBELL RD CANNING VALE</v>
          </cell>
          <cell r="H826" t="str">
            <v>Supply Authority</v>
          </cell>
          <cell r="I826" t="str">
            <v>S0034241</v>
          </cell>
          <cell r="J826" t="str">
            <v>Main SB</v>
          </cell>
          <cell r="K826" t="str">
            <v>DS42-41-5</v>
          </cell>
          <cell r="M826"/>
          <cell r="O826">
            <v>415</v>
          </cell>
          <cell r="S826" t="str">
            <v>PYROLEX</v>
          </cell>
          <cell r="T826" t="str">
            <v>10mm2</v>
          </cell>
          <cell r="V826" t="str">
            <v>MCB</v>
          </cell>
          <cell r="W826">
            <v>80</v>
          </cell>
          <cell r="AF826">
            <v>1996</v>
          </cell>
          <cell r="AH826" t="str">
            <v>Dave Sutton</v>
          </cell>
          <cell r="AI826" t="str">
            <v>WC</v>
          </cell>
          <cell r="AJ826"/>
        </row>
        <row r="827">
          <cell r="E827" t="str">
            <v>S0034346</v>
          </cell>
          <cell r="F827" t="str">
            <v>SPS PARKLAND TRL CANNING VALE</v>
          </cell>
          <cell r="H827" t="str">
            <v>SEC Supply</v>
          </cell>
          <cell r="I827" t="str">
            <v>S0034350</v>
          </cell>
          <cell r="J827" t="str">
            <v>Main SB</v>
          </cell>
          <cell r="K827" t="str">
            <v>BZ90-41-4</v>
          </cell>
          <cell r="M827"/>
          <cell r="O827">
            <v>415</v>
          </cell>
          <cell r="S827" t="str">
            <v>PVC/PVC</v>
          </cell>
          <cell r="T827" t="str">
            <v>10mm2</v>
          </cell>
          <cell r="AF827">
            <v>1992</v>
          </cell>
          <cell r="AH827" t="str">
            <v>Dave Sutton</v>
          </cell>
          <cell r="AI827" t="str">
            <v>WC</v>
          </cell>
          <cell r="AJ827"/>
        </row>
        <row r="828">
          <cell r="E828" t="str">
            <v>S2015122</v>
          </cell>
          <cell r="F828" t="str">
            <v>SPS SHREEVE RD CANNING VALE</v>
          </cell>
          <cell r="H828" t="str">
            <v>Supply Authority</v>
          </cell>
          <cell r="I828" t="str">
            <v>S2016975</v>
          </cell>
          <cell r="J828" t="str">
            <v>Main SB</v>
          </cell>
          <cell r="K828" t="str">
            <v>GM66-41-5</v>
          </cell>
          <cell r="M828"/>
          <cell r="O828">
            <v>415</v>
          </cell>
          <cell r="S828" t="str">
            <v>PYROLEX</v>
          </cell>
          <cell r="T828" t="str">
            <v>10mm2</v>
          </cell>
          <cell r="V828" t="str">
            <v>MCB</v>
          </cell>
          <cell r="W828">
            <v>63</v>
          </cell>
          <cell r="AF828">
            <v>2004</v>
          </cell>
          <cell r="AH828" t="str">
            <v>Dave Sutton</v>
          </cell>
          <cell r="AI828" t="str">
            <v>WC</v>
          </cell>
          <cell r="AJ828"/>
        </row>
        <row r="829">
          <cell r="E829" t="str">
            <v>S0034254</v>
          </cell>
          <cell r="F829" t="str">
            <v>SPS CANNING VALE PRISON CANNING VALE</v>
          </cell>
          <cell r="I829" t="str">
            <v>S2039506</v>
          </cell>
          <cell r="K829" t="str">
            <v>13265-41-5</v>
          </cell>
          <cell r="M829"/>
          <cell r="O829">
            <v>415</v>
          </cell>
          <cell r="S829" t="str">
            <v>PVC</v>
          </cell>
          <cell r="T829" t="str">
            <v>35mm2</v>
          </cell>
          <cell r="V829" t="str">
            <v>Fuse</v>
          </cell>
          <cell r="W829">
            <v>100</v>
          </cell>
          <cell r="AF829">
            <v>2012</v>
          </cell>
          <cell r="AH829" t="str">
            <v>Dave Sutton</v>
          </cell>
          <cell r="AI829" t="str">
            <v>WC</v>
          </cell>
          <cell r="AJ829"/>
        </row>
        <row r="830">
          <cell r="E830" t="str">
            <v>D0036668</v>
          </cell>
          <cell r="F830" t="str">
            <v>DPS WHARF ST CANNINGTON</v>
          </cell>
          <cell r="H830" t="str">
            <v>SEC Supply</v>
          </cell>
          <cell r="I830" t="str">
            <v>D0036672</v>
          </cell>
          <cell r="J830" t="str">
            <v>Main SB</v>
          </cell>
          <cell r="K830" t="str">
            <v>AI64-41-4</v>
          </cell>
          <cell r="M830"/>
          <cell r="O830">
            <v>415</v>
          </cell>
          <cell r="V830" t="str">
            <v>MCB</v>
          </cell>
          <cell r="W830">
            <v>100</v>
          </cell>
          <cell r="AF830">
            <v>1963</v>
          </cell>
          <cell r="AH830" t="str">
            <v>Dave Sutton</v>
          </cell>
          <cell r="AI830" t="str">
            <v>WC</v>
          </cell>
          <cell r="AJ830"/>
        </row>
        <row r="831">
          <cell r="E831" t="str">
            <v>S0033023</v>
          </cell>
          <cell r="F831" t="str">
            <v>SPS LAKE ST CANNINGTON</v>
          </cell>
          <cell r="H831" t="str">
            <v>SEC Supply</v>
          </cell>
          <cell r="I831" t="str">
            <v>S0033027</v>
          </cell>
          <cell r="J831" t="str">
            <v>Main SB</v>
          </cell>
          <cell r="K831" t="str">
            <v>CD14-41-4</v>
          </cell>
          <cell r="M831"/>
          <cell r="O831">
            <v>415</v>
          </cell>
          <cell r="S831" t="str">
            <v>XLPE/PVC</v>
          </cell>
          <cell r="T831" t="str">
            <v>16mm2</v>
          </cell>
          <cell r="AF831">
            <v>1992</v>
          </cell>
          <cell r="AH831" t="str">
            <v>Dave Sutton</v>
          </cell>
          <cell r="AI831" t="str">
            <v>WC</v>
          </cell>
          <cell r="AJ831"/>
        </row>
        <row r="832">
          <cell r="E832" t="str">
            <v>S0028397</v>
          </cell>
          <cell r="F832" t="str">
            <v>SPS CORANDER GARDENS CARINE</v>
          </cell>
          <cell r="I832" t="str">
            <v>S0028403</v>
          </cell>
          <cell r="J832" t="str">
            <v>Main SB</v>
          </cell>
          <cell r="K832" t="str">
            <v>13527-40-1</v>
          </cell>
          <cell r="M832"/>
          <cell r="AF832">
            <v>1975</v>
          </cell>
          <cell r="AH832" t="str">
            <v>Dave Sutton</v>
          </cell>
          <cell r="AI832" t="str">
            <v>WC</v>
          </cell>
          <cell r="AJ832"/>
        </row>
        <row r="833">
          <cell r="E833" t="str">
            <v>S0028564</v>
          </cell>
          <cell r="F833" t="str">
            <v>SPS MONYASH RD CARINE</v>
          </cell>
          <cell r="I833" t="str">
            <v>S0028570</v>
          </cell>
          <cell r="J833" t="str">
            <v>Main SB</v>
          </cell>
          <cell r="K833" t="str">
            <v>12000-40-1</v>
          </cell>
          <cell r="M833"/>
          <cell r="AF833">
            <v>1975</v>
          </cell>
          <cell r="AH833" t="str">
            <v>Dave Sutton</v>
          </cell>
          <cell r="AI833" t="str">
            <v>WC</v>
          </cell>
          <cell r="AJ833"/>
        </row>
        <row r="834">
          <cell r="E834" t="str">
            <v>S0028390</v>
          </cell>
          <cell r="F834" t="str">
            <v>SPS CRESSBROOK WY CARINE</v>
          </cell>
          <cell r="I834" t="str">
            <v>S0028396</v>
          </cell>
          <cell r="J834" t="str">
            <v>Main SB</v>
          </cell>
          <cell r="K834" t="str">
            <v>14919-40-1</v>
          </cell>
          <cell r="M834"/>
          <cell r="AF834">
            <v>1977</v>
          </cell>
          <cell r="AH834" t="str">
            <v>Dave Sutton</v>
          </cell>
          <cell r="AI834" t="str">
            <v>WC</v>
          </cell>
          <cell r="AJ834"/>
        </row>
        <row r="835">
          <cell r="E835" t="str">
            <v>S0028348</v>
          </cell>
          <cell r="F835" t="str">
            <v>SPS DORIOT WY CARINE</v>
          </cell>
          <cell r="I835" t="str">
            <v>S0028354</v>
          </cell>
          <cell r="J835" t="str">
            <v>Main SB</v>
          </cell>
          <cell r="K835" t="str">
            <v>15254-40-2</v>
          </cell>
          <cell r="M835"/>
          <cell r="AF835">
            <v>1977</v>
          </cell>
          <cell r="AH835" t="str">
            <v>Dave Sutton</v>
          </cell>
          <cell r="AI835" t="str">
            <v>WC</v>
          </cell>
          <cell r="AJ835"/>
        </row>
        <row r="836">
          <cell r="E836" t="str">
            <v>D0036445</v>
          </cell>
          <cell r="F836" t="str">
            <v>DPS BISHOPSGATE ST CARLISLE</v>
          </cell>
          <cell r="I836" t="str">
            <v>D0036449</v>
          </cell>
          <cell r="K836" t="str">
            <v xml:space="preserve">AI52- - </v>
          </cell>
          <cell r="M836"/>
          <cell r="AF836">
            <v>1958</v>
          </cell>
          <cell r="AH836" t="str">
            <v>Dave Sutton</v>
          </cell>
          <cell r="AI836" t="str">
            <v>WC</v>
          </cell>
          <cell r="AJ836"/>
        </row>
        <row r="837">
          <cell r="E837" t="str">
            <v>S0034118</v>
          </cell>
          <cell r="F837" t="str">
            <v>SPS MARCHAMLEY ST CARLISLE</v>
          </cell>
          <cell r="I837" t="str">
            <v>S0034124</v>
          </cell>
          <cell r="J837" t="str">
            <v>Main SB</v>
          </cell>
          <cell r="K837" t="str">
            <v>12632-40-1</v>
          </cell>
          <cell r="M837"/>
          <cell r="V837" t="str">
            <v>Fuse</v>
          </cell>
          <cell r="W837">
            <v>20</v>
          </cell>
          <cell r="AF837">
            <v>1970</v>
          </cell>
          <cell r="AH837" t="str">
            <v>Dave Sutton</v>
          </cell>
          <cell r="AI837" t="str">
            <v>WC</v>
          </cell>
          <cell r="AJ837"/>
        </row>
        <row r="838">
          <cell r="E838" t="str">
            <v>S0033994</v>
          </cell>
          <cell r="F838" t="str">
            <v>SPS BISHOPSGATE ST CARLISLE</v>
          </cell>
          <cell r="I838" t="str">
            <v>S0034000</v>
          </cell>
          <cell r="K838" t="str">
            <v xml:space="preserve">07740- - </v>
          </cell>
          <cell r="M838"/>
          <cell r="AF838">
            <v>1981</v>
          </cell>
          <cell r="AH838" t="str">
            <v>Dave Sutton</v>
          </cell>
          <cell r="AI838" t="str">
            <v>WC</v>
          </cell>
          <cell r="AJ838"/>
        </row>
        <row r="839">
          <cell r="E839" t="str">
            <v>D0036437</v>
          </cell>
          <cell r="F839" t="str">
            <v>DPS STAR ST CARLISLE</v>
          </cell>
          <cell r="H839" t="str">
            <v>SEC Supply</v>
          </cell>
          <cell r="I839" t="str">
            <v>D0036441</v>
          </cell>
          <cell r="J839" t="str">
            <v>Main SB</v>
          </cell>
          <cell r="K839" t="str">
            <v>AR53-41-4</v>
          </cell>
          <cell r="M839"/>
          <cell r="O839">
            <v>440</v>
          </cell>
          <cell r="V839" t="str">
            <v>MCB</v>
          </cell>
          <cell r="W839">
            <v>100</v>
          </cell>
          <cell r="AF839">
            <v>1987</v>
          </cell>
          <cell r="AH839" t="str">
            <v>Dave Sutton</v>
          </cell>
          <cell r="AI839" t="str">
            <v>WC</v>
          </cell>
          <cell r="AJ839"/>
        </row>
        <row r="840">
          <cell r="E840" t="str">
            <v>S0029149</v>
          </cell>
          <cell r="F840" t="str">
            <v>SPS WANNEROO RD CARRAMAR</v>
          </cell>
          <cell r="H840" t="str">
            <v>SEC Supply</v>
          </cell>
          <cell r="I840" t="str">
            <v>S2003566</v>
          </cell>
          <cell r="J840" t="str">
            <v>Main SB</v>
          </cell>
          <cell r="K840" t="str">
            <v>CS30-41-5</v>
          </cell>
          <cell r="M840"/>
          <cell r="O840">
            <v>415</v>
          </cell>
          <cell r="S840" t="str">
            <v>PVC/PVC</v>
          </cell>
          <cell r="T840" t="str">
            <v>3x1C 25mm2</v>
          </cell>
          <cell r="V840" t="str">
            <v>MCB</v>
          </cell>
          <cell r="W840">
            <v>80</v>
          </cell>
          <cell r="AF840">
            <v>1994</v>
          </cell>
          <cell r="AH840" t="str">
            <v>Dave Sutton</v>
          </cell>
          <cell r="AI840" t="str">
            <v>WC</v>
          </cell>
          <cell r="AJ840"/>
        </row>
        <row r="841">
          <cell r="E841" t="str">
            <v>S2023412</v>
          </cell>
          <cell r="F841" t="str">
            <v>SPS REDHEART RD CARRAMAR</v>
          </cell>
          <cell r="H841" t="str">
            <v>Supply Authority</v>
          </cell>
          <cell r="I841" t="str">
            <v>S2036203</v>
          </cell>
          <cell r="J841" t="str">
            <v>Main SB</v>
          </cell>
          <cell r="K841" t="str">
            <v>KI40-41-5</v>
          </cell>
          <cell r="M841"/>
          <cell r="N841">
            <v>22</v>
          </cell>
          <cell r="O841">
            <v>415</v>
          </cell>
          <cell r="S841" t="str">
            <v>XLPE/PVC</v>
          </cell>
          <cell r="T841" t="str">
            <v>1x4C 25mm2</v>
          </cell>
          <cell r="V841" t="str">
            <v>Fuse</v>
          </cell>
          <cell r="W841">
            <v>100</v>
          </cell>
          <cell r="X841" t="str">
            <v>KI40-40-2</v>
          </cell>
          <cell r="AF841">
            <v>2012</v>
          </cell>
          <cell r="AH841" t="str">
            <v>Dave Sutton</v>
          </cell>
          <cell r="AI841" t="str">
            <v>WC</v>
          </cell>
          <cell r="AJ841"/>
        </row>
        <row r="842">
          <cell r="E842" t="str">
            <v>S0030278</v>
          </cell>
          <cell r="F842" t="str">
            <v>SPS CASUARINA PRISON CASUARINA</v>
          </cell>
          <cell r="I842" t="str">
            <v>S2003513</v>
          </cell>
          <cell r="K842" t="str">
            <v>BC02-41-2</v>
          </cell>
          <cell r="M842"/>
          <cell r="AF842">
            <v>1991</v>
          </cell>
          <cell r="AH842" t="str">
            <v>Dave Sutton</v>
          </cell>
          <cell r="AI842" t="str">
            <v>WC</v>
          </cell>
          <cell r="AJ842"/>
        </row>
        <row r="843">
          <cell r="E843" t="str">
            <v>S0030086</v>
          </cell>
          <cell r="F843" t="str">
            <v>SPS BROOKSIDE GDNS CAVERSHAM</v>
          </cell>
          <cell r="I843" t="str">
            <v>S2003509</v>
          </cell>
          <cell r="K843" t="str">
            <v>DG37-41-2</v>
          </cell>
          <cell r="M843"/>
          <cell r="AF843">
            <v>1995</v>
          </cell>
          <cell r="AH843" t="str">
            <v>Dave Sutton</v>
          </cell>
          <cell r="AI843" t="str">
            <v>WC</v>
          </cell>
          <cell r="AJ843"/>
        </row>
        <row r="844">
          <cell r="E844" t="str">
            <v>S0030049</v>
          </cell>
          <cell r="F844" t="str">
            <v>SPS TEMP BENNETT ST CAVERSHAM</v>
          </cell>
          <cell r="H844" t="str">
            <v>Supply Authority</v>
          </cell>
          <cell r="I844" t="str">
            <v>S2003506</v>
          </cell>
          <cell r="J844" t="str">
            <v>Main SB</v>
          </cell>
          <cell r="K844" t="str">
            <v>DH60-41-5</v>
          </cell>
          <cell r="M844">
            <v>200</v>
          </cell>
          <cell r="O844">
            <v>415</v>
          </cell>
          <cell r="S844" t="str">
            <v>PYROLEX</v>
          </cell>
          <cell r="T844" t="str">
            <v>10mm2</v>
          </cell>
          <cell r="V844" t="str">
            <v>MCB</v>
          </cell>
          <cell r="W844">
            <v>63</v>
          </cell>
          <cell r="AF844">
            <v>1997</v>
          </cell>
          <cell r="AH844" t="str">
            <v>Dave Sutton</v>
          </cell>
          <cell r="AI844" t="str">
            <v>WC</v>
          </cell>
          <cell r="AJ844"/>
        </row>
        <row r="845">
          <cell r="E845" t="str">
            <v>S2023152</v>
          </cell>
          <cell r="F845" t="str">
            <v>SPS PATRICIA ST CAVERSHAM</v>
          </cell>
          <cell r="H845" t="str">
            <v>Supply Authority</v>
          </cell>
          <cell r="I845" t="str">
            <v>S2029745</v>
          </cell>
          <cell r="J845" t="str">
            <v>Main SB</v>
          </cell>
          <cell r="K845" t="str">
            <v>JS60-41-5</v>
          </cell>
          <cell r="M845"/>
          <cell r="N845">
            <v>22</v>
          </cell>
          <cell r="O845">
            <v>415</v>
          </cell>
          <cell r="S845" t="str">
            <v>PVC/PVC</v>
          </cell>
          <cell r="T845" t="str">
            <v>25mm2</v>
          </cell>
          <cell r="V845" t="str">
            <v>Fuse</v>
          </cell>
          <cell r="W845">
            <v>100</v>
          </cell>
          <cell r="X845" t="str">
            <v>JS60-40-2</v>
          </cell>
          <cell r="AF845">
            <v>2010</v>
          </cell>
          <cell r="AH845" t="str">
            <v>Dave Sutton</v>
          </cell>
          <cell r="AI845" t="str">
            <v>WC</v>
          </cell>
          <cell r="AJ845"/>
        </row>
        <row r="846">
          <cell r="E846" t="str">
            <v>S2019225</v>
          </cell>
          <cell r="F846" t="str">
            <v>SPS DORNEY ESP CHAMPION LAKES</v>
          </cell>
          <cell r="H846" t="str">
            <v>Supply Authority</v>
          </cell>
          <cell r="I846" t="str">
            <v>S2022074</v>
          </cell>
          <cell r="J846" t="str">
            <v>Main SB</v>
          </cell>
          <cell r="K846" t="str">
            <v>IU50-41-5</v>
          </cell>
          <cell r="M846">
            <v>200</v>
          </cell>
          <cell r="O846">
            <v>415</v>
          </cell>
          <cell r="S846" t="str">
            <v>XLPE</v>
          </cell>
          <cell r="T846" t="str">
            <v>25mm2</v>
          </cell>
          <cell r="V846" t="str">
            <v>Fuse</v>
          </cell>
          <cell r="W846">
            <v>100</v>
          </cell>
          <cell r="X846" t="str">
            <v>IU50-40-3</v>
          </cell>
          <cell r="AF846">
            <v>2008</v>
          </cell>
          <cell r="AH846" t="str">
            <v>Dave Sutton</v>
          </cell>
          <cell r="AI846" t="str">
            <v>WC</v>
          </cell>
          <cell r="AJ846"/>
        </row>
        <row r="847">
          <cell r="E847" t="str">
            <v>S2003414</v>
          </cell>
          <cell r="F847" t="str">
            <v>SPS MCNEILL RD CHAMPION LAKES</v>
          </cell>
          <cell r="H847" t="str">
            <v>Supply Authority</v>
          </cell>
          <cell r="I847" t="str">
            <v>S2003418</v>
          </cell>
          <cell r="J847" t="str">
            <v>Main SB</v>
          </cell>
          <cell r="K847" t="str">
            <v>FG94-41-5</v>
          </cell>
          <cell r="M847">
            <v>200</v>
          </cell>
          <cell r="O847">
            <v>415</v>
          </cell>
          <cell r="S847" t="str">
            <v>PVC/PVC</v>
          </cell>
          <cell r="T847" t="str">
            <v>16mm2</v>
          </cell>
          <cell r="V847" t="str">
            <v>Fuse</v>
          </cell>
          <cell r="W847">
            <v>60</v>
          </cell>
          <cell r="AF847">
            <v>2008</v>
          </cell>
          <cell r="AH847" t="str">
            <v>Dave Sutton</v>
          </cell>
          <cell r="AI847" t="str">
            <v>WC</v>
          </cell>
          <cell r="AJ847"/>
        </row>
        <row r="848">
          <cell r="E848" t="str">
            <v>S0031690</v>
          </cell>
          <cell r="F848" t="str">
            <v>SPS FLYNN ST CHURCHLANDS</v>
          </cell>
          <cell r="I848" t="str">
            <v>S0031696</v>
          </cell>
          <cell r="J848" t="str">
            <v>Main SB</v>
          </cell>
          <cell r="K848" t="str">
            <v>12429-40-1</v>
          </cell>
          <cell r="M848"/>
          <cell r="AF848">
            <v>1975</v>
          </cell>
          <cell r="AH848" t="str">
            <v>Dave Sutton</v>
          </cell>
          <cell r="AI848" t="str">
            <v>WC</v>
          </cell>
          <cell r="AJ848"/>
        </row>
        <row r="849">
          <cell r="E849" t="str">
            <v>S0032016</v>
          </cell>
          <cell r="F849" t="str">
            <v>SPS PEARSON ST CHURCHLANDS</v>
          </cell>
          <cell r="H849" t="str">
            <v>SEC Supply</v>
          </cell>
          <cell r="I849" t="str">
            <v>S0032020</v>
          </cell>
          <cell r="J849" t="str">
            <v>SB1</v>
          </cell>
          <cell r="K849" t="str">
            <v>18647-5-1</v>
          </cell>
          <cell r="M849"/>
          <cell r="V849" t="str">
            <v>MCB</v>
          </cell>
          <cell r="W849">
            <v>80</v>
          </cell>
          <cell r="AF849">
            <v>1984</v>
          </cell>
          <cell r="AH849" t="str">
            <v>Dave Sutton</v>
          </cell>
          <cell r="AI849" t="str">
            <v>WC</v>
          </cell>
          <cell r="AJ849"/>
        </row>
        <row r="850">
          <cell r="E850" t="str">
            <v>S0031982</v>
          </cell>
          <cell r="F850" t="str">
            <v>SPS BISHOP RILEY WY CHURCHLANDS</v>
          </cell>
          <cell r="H850" t="str">
            <v>SEC Supply</v>
          </cell>
          <cell r="I850" t="str">
            <v>S0031985</v>
          </cell>
          <cell r="J850" t="str">
            <v>Main SB</v>
          </cell>
          <cell r="K850" t="str">
            <v>CC87-41-5</v>
          </cell>
          <cell r="M850"/>
          <cell r="O850">
            <v>415</v>
          </cell>
          <cell r="S850" t="str">
            <v>XLPE/PVC</v>
          </cell>
          <cell r="T850" t="str">
            <v>3x1C 16mm2</v>
          </cell>
          <cell r="V850" t="str">
            <v>MCB</v>
          </cell>
          <cell r="W850">
            <v>63</v>
          </cell>
          <cell r="AF850">
            <v>1992</v>
          </cell>
          <cell r="AH850" t="str">
            <v>Dave Sutton</v>
          </cell>
          <cell r="AI850" t="str">
            <v>WC</v>
          </cell>
          <cell r="AJ850"/>
        </row>
        <row r="851">
          <cell r="E851" t="str">
            <v>S2003258</v>
          </cell>
          <cell r="F851" t="str">
            <v>SPS THE LANE CHURCHLANDS</v>
          </cell>
          <cell r="H851" t="str">
            <v>Supply Authority</v>
          </cell>
          <cell r="I851" t="str">
            <v>S2003262</v>
          </cell>
          <cell r="J851" t="str">
            <v>Main SB</v>
          </cell>
          <cell r="K851" t="str">
            <v>EZ95-41-5</v>
          </cell>
          <cell r="M851"/>
          <cell r="O851">
            <v>415</v>
          </cell>
          <cell r="S851" t="str">
            <v>PYROLEX</v>
          </cell>
          <cell r="T851" t="str">
            <v>10mm2</v>
          </cell>
          <cell r="V851" t="str">
            <v>MCB</v>
          </cell>
          <cell r="W851">
            <v>32</v>
          </cell>
          <cell r="AF851">
            <v>2000</v>
          </cell>
          <cell r="AH851" t="str">
            <v>Dave Sutton</v>
          </cell>
          <cell r="AI851" t="str">
            <v>WC</v>
          </cell>
          <cell r="AJ851"/>
        </row>
        <row r="852">
          <cell r="E852" t="str">
            <v>S0031993</v>
          </cell>
          <cell r="F852" t="str">
            <v>SPS HELSTON AV CITY BEACH</v>
          </cell>
          <cell r="H852" t="str">
            <v>Suppliy Authority</v>
          </cell>
          <cell r="I852" t="str">
            <v>S0031997</v>
          </cell>
          <cell r="J852" t="str">
            <v>Main SB</v>
          </cell>
          <cell r="K852" t="str">
            <v>AL20-42-5</v>
          </cell>
          <cell r="M852">
            <v>300</v>
          </cell>
          <cell r="V852" t="str">
            <v>MCB</v>
          </cell>
          <cell r="W852">
            <v>150</v>
          </cell>
          <cell r="AA852">
            <v>415</v>
          </cell>
          <cell r="AF852">
            <v>1999</v>
          </cell>
          <cell r="AH852" t="str">
            <v>Dave Sutton</v>
          </cell>
          <cell r="AI852" t="str">
            <v>WC</v>
          </cell>
          <cell r="AJ852"/>
        </row>
        <row r="853">
          <cell r="E853" t="str">
            <v>S0032009</v>
          </cell>
          <cell r="F853" t="str">
            <v>SPS OBAN RD CITY BEACH</v>
          </cell>
          <cell r="I853" t="str">
            <v>S0032015</v>
          </cell>
          <cell r="K853" t="str">
            <v xml:space="preserve">08710- - </v>
          </cell>
          <cell r="M853"/>
          <cell r="AF853">
            <v>1962</v>
          </cell>
          <cell r="AH853" t="str">
            <v>Dave Sutton</v>
          </cell>
          <cell r="AI853" t="str">
            <v>WC</v>
          </cell>
          <cell r="AJ853"/>
        </row>
        <row r="854">
          <cell r="E854" t="str">
            <v>S0032053</v>
          </cell>
          <cell r="F854" t="str">
            <v>SPS YALTARA RD CITY BEACH</v>
          </cell>
          <cell r="H854" t="str">
            <v>Supply Authority</v>
          </cell>
          <cell r="I854" t="str">
            <v>S0032059</v>
          </cell>
          <cell r="J854" t="str">
            <v>Main SB</v>
          </cell>
          <cell r="K854" t="str">
            <v>11332-41-5</v>
          </cell>
          <cell r="M854"/>
          <cell r="S854" t="str">
            <v>XLPE</v>
          </cell>
          <cell r="T854" t="str">
            <v>25mm2</v>
          </cell>
          <cell r="V854" t="str">
            <v>Fuse</v>
          </cell>
          <cell r="W854">
            <v>100</v>
          </cell>
          <cell r="AF854">
            <v>1972</v>
          </cell>
          <cell r="AH854" t="str">
            <v>Dave Sutton</v>
          </cell>
          <cell r="AI854" t="str">
            <v>WC</v>
          </cell>
          <cell r="AJ854"/>
        </row>
        <row r="855">
          <cell r="E855" t="str">
            <v>W0034505</v>
          </cell>
          <cell r="F855" t="str">
            <v>WPS KALINDA DR CITY BEACH</v>
          </cell>
          <cell r="I855" t="str">
            <v>W0034510</v>
          </cell>
          <cell r="J855" t="str">
            <v>Main Incoming and Metering Cubicle</v>
          </cell>
          <cell r="K855" t="str">
            <v>09395-41-5</v>
          </cell>
          <cell r="M855">
            <v>200</v>
          </cell>
          <cell r="O855">
            <v>415</v>
          </cell>
          <cell r="S855" t="str">
            <v>XLPE/PVC</v>
          </cell>
          <cell r="T855" t="str">
            <v>4C 150mm2</v>
          </cell>
          <cell r="V855" t="str">
            <v>Fuse</v>
          </cell>
          <cell r="AF855">
            <v>1972</v>
          </cell>
          <cell r="AH855" t="str">
            <v>Dave Sutton</v>
          </cell>
          <cell r="AI855" t="str">
            <v>WC</v>
          </cell>
          <cell r="AJ855"/>
        </row>
        <row r="856">
          <cell r="E856" t="str">
            <v>W0034505</v>
          </cell>
          <cell r="F856" t="str">
            <v>WPS KALINDA DR CITY BEACH</v>
          </cell>
          <cell r="H856" t="str">
            <v>Main Incoming and Metering Cubicle</v>
          </cell>
          <cell r="J856" t="str">
            <v>TPS Main SB</v>
          </cell>
          <cell r="K856" t="str">
            <v>09395-42-5</v>
          </cell>
          <cell r="S856" t="str">
            <v>PVC/PVC</v>
          </cell>
          <cell r="T856" t="str">
            <v>120mm2</v>
          </cell>
          <cell r="V856" t="str">
            <v>MCB</v>
          </cell>
          <cell r="W856">
            <v>400</v>
          </cell>
          <cell r="AF856">
            <v>1972</v>
          </cell>
          <cell r="AH856" t="str">
            <v>Dave Sutton</v>
          </cell>
          <cell r="AI856" t="str">
            <v>WC</v>
          </cell>
          <cell r="AJ856"/>
        </row>
        <row r="857">
          <cell r="E857" t="str">
            <v>W0034505</v>
          </cell>
          <cell r="F857" t="str">
            <v>WPS KALINDA DR CITY BEACH</v>
          </cell>
          <cell r="H857" t="str">
            <v>TPS Main SB</v>
          </cell>
          <cell r="J857" t="str">
            <v>No.2 Starter Cubicle</v>
          </cell>
          <cell r="K857" t="str">
            <v>09395-42-5</v>
          </cell>
          <cell r="S857" t="str">
            <v>LSFLEX</v>
          </cell>
          <cell r="T857" t="str">
            <v>50mm2</v>
          </cell>
          <cell r="V857" t="str">
            <v>MCB</v>
          </cell>
          <cell r="W857">
            <v>250</v>
          </cell>
          <cell r="AF857">
            <v>1972</v>
          </cell>
          <cell r="AH857" t="str">
            <v>Dave Sutton</v>
          </cell>
          <cell r="AI857" t="str">
            <v>WC</v>
          </cell>
          <cell r="AJ857"/>
        </row>
        <row r="858">
          <cell r="E858" t="str">
            <v>W0034505</v>
          </cell>
          <cell r="F858" t="str">
            <v>WPS KALINDA DR CITY BEACH</v>
          </cell>
          <cell r="H858" t="str">
            <v>TPS Main SB</v>
          </cell>
          <cell r="J858" t="str">
            <v>No.1 Starter Cubicle</v>
          </cell>
          <cell r="K858" t="str">
            <v>09395-42-5</v>
          </cell>
          <cell r="S858" t="str">
            <v>LSFLEX</v>
          </cell>
          <cell r="T858" t="str">
            <v>50mm2</v>
          </cell>
          <cell r="V858" t="str">
            <v>MCB</v>
          </cell>
          <cell r="W858">
            <v>250</v>
          </cell>
          <cell r="AF858">
            <v>1972</v>
          </cell>
          <cell r="AH858" t="str">
            <v>Dave Sutton</v>
          </cell>
          <cell r="AI858" t="str">
            <v>WC</v>
          </cell>
          <cell r="AJ858"/>
        </row>
        <row r="859">
          <cell r="E859" t="str">
            <v>W0034505</v>
          </cell>
          <cell r="F859" t="str">
            <v>WPS KALINDA DR CITY BEACH</v>
          </cell>
          <cell r="H859" t="str">
            <v>TPS Main SB</v>
          </cell>
          <cell r="J859" t="str">
            <v>Power DB</v>
          </cell>
          <cell r="K859" t="str">
            <v>09395-42-5</v>
          </cell>
          <cell r="S859" t="str">
            <v>LSFLEX</v>
          </cell>
          <cell r="T859" t="str">
            <v>16mm2</v>
          </cell>
          <cell r="V859" t="str">
            <v>MCB</v>
          </cell>
          <cell r="W859">
            <v>50</v>
          </cell>
          <cell r="AF859">
            <v>1972</v>
          </cell>
          <cell r="AH859" t="str">
            <v>Dave Sutton</v>
          </cell>
          <cell r="AI859" t="str">
            <v>WC</v>
          </cell>
          <cell r="AJ859"/>
        </row>
        <row r="860">
          <cell r="E860" t="str">
            <v>W0034505</v>
          </cell>
          <cell r="F860" t="str">
            <v>WPS KALINDA DR CITY BEACH</v>
          </cell>
          <cell r="H860" t="str">
            <v>TPS Main SB</v>
          </cell>
          <cell r="J860" t="str">
            <v>Control &amp; Termination Cubicle</v>
          </cell>
          <cell r="K860" t="str">
            <v>09395-42-5</v>
          </cell>
          <cell r="O860">
            <v>240</v>
          </cell>
          <cell r="S860" t="str">
            <v>LSFLEX</v>
          </cell>
          <cell r="T860" t="str">
            <v>6mm2</v>
          </cell>
          <cell r="V860" t="str">
            <v>Fuse</v>
          </cell>
          <cell r="W860">
            <v>32</v>
          </cell>
          <cell r="AF860">
            <v>1972</v>
          </cell>
          <cell r="AH860" t="str">
            <v>Dave Sutton</v>
          </cell>
          <cell r="AI860" t="str">
            <v>WC</v>
          </cell>
          <cell r="AJ860"/>
        </row>
        <row r="861">
          <cell r="E861" t="str">
            <v>W0034607</v>
          </cell>
          <cell r="F861" t="str">
            <v>WPS GRANT ST CLAREMONT</v>
          </cell>
          <cell r="I861" t="str">
            <v>W0034612</v>
          </cell>
          <cell r="J861" t="str">
            <v>Main SB</v>
          </cell>
          <cell r="K861" t="str">
            <v>CL36-41-2</v>
          </cell>
          <cell r="M861"/>
          <cell r="AF861">
            <v>1965</v>
          </cell>
          <cell r="AH861" t="str">
            <v>Dave Sutton</v>
          </cell>
          <cell r="AI861" t="str">
            <v>WC</v>
          </cell>
          <cell r="AJ861"/>
        </row>
        <row r="862">
          <cell r="E862" t="str">
            <v>S0032647</v>
          </cell>
          <cell r="F862" t="str">
            <v>SPS LAKEWAY ST CLAREMONT</v>
          </cell>
          <cell r="I862" t="str">
            <v>S0032653</v>
          </cell>
          <cell r="J862" t="str">
            <v>Main SB</v>
          </cell>
          <cell r="K862" t="str">
            <v>11413-10-1</v>
          </cell>
          <cell r="M862"/>
          <cell r="AF862">
            <v>1973</v>
          </cell>
          <cell r="AH862" t="str">
            <v>Dave Sutton</v>
          </cell>
          <cell r="AI862" t="str">
            <v>WC</v>
          </cell>
          <cell r="AJ862"/>
        </row>
        <row r="863">
          <cell r="E863" t="str">
            <v>S0032637</v>
          </cell>
          <cell r="F863" t="str">
            <v>SPS JETTY RD CLAREMONT</v>
          </cell>
          <cell r="H863" t="str">
            <v>SEC Supply</v>
          </cell>
          <cell r="I863" t="str">
            <v>S0032641</v>
          </cell>
          <cell r="J863" t="str">
            <v>Main SB</v>
          </cell>
          <cell r="K863" t="str">
            <v>06749-40-2</v>
          </cell>
          <cell r="M863"/>
          <cell r="AF863">
            <v>1978</v>
          </cell>
          <cell r="AH863" t="str">
            <v>Dave Sutton</v>
          </cell>
          <cell r="AI863" t="str">
            <v>WC</v>
          </cell>
          <cell r="AJ863"/>
        </row>
        <row r="864">
          <cell r="E864" t="str">
            <v>S0032668</v>
          </cell>
          <cell r="F864" t="str">
            <v>SPS PARK LANE CLAREMONT</v>
          </cell>
          <cell r="H864" t="str">
            <v>SEC Supply</v>
          </cell>
          <cell r="I864" t="str">
            <v>S0032674</v>
          </cell>
          <cell r="J864" t="str">
            <v>Main SB</v>
          </cell>
          <cell r="K864" t="str">
            <v>DB95-41-5</v>
          </cell>
          <cell r="M864"/>
          <cell r="O864">
            <v>415</v>
          </cell>
          <cell r="S864" t="str">
            <v>PVC/PVC</v>
          </cell>
          <cell r="T864" t="str">
            <v>4x1C 16mm2</v>
          </cell>
          <cell r="V864" t="str">
            <v>MCB</v>
          </cell>
          <cell r="W864">
            <v>32</v>
          </cell>
          <cell r="AF864">
            <v>1994</v>
          </cell>
          <cell r="AH864" t="str">
            <v>Dave Sutton</v>
          </cell>
          <cell r="AI864" t="str">
            <v>WC</v>
          </cell>
          <cell r="AJ864"/>
        </row>
        <row r="865">
          <cell r="E865" t="str">
            <v>D0036412</v>
          </cell>
          <cell r="F865" t="str">
            <v>DPS KEANE ST CLOVERDALE</v>
          </cell>
          <cell r="H865" t="str">
            <v>SEC Supply</v>
          </cell>
          <cell r="I865" t="str">
            <v>D0036416</v>
          </cell>
          <cell r="J865" t="str">
            <v>Main SB</v>
          </cell>
          <cell r="K865" t="str">
            <v>AH59-41-5</v>
          </cell>
          <cell r="M865"/>
          <cell r="V865" t="str">
            <v>Fuse</v>
          </cell>
          <cell r="W865">
            <v>100</v>
          </cell>
          <cell r="AF865">
            <v>1965</v>
          </cell>
          <cell r="AH865" t="str">
            <v>Dave Sutton</v>
          </cell>
          <cell r="AI865" t="str">
            <v>WC</v>
          </cell>
          <cell r="AJ865"/>
        </row>
        <row r="866">
          <cell r="E866" t="str">
            <v>D0036425</v>
          </cell>
          <cell r="F866" t="str">
            <v>DPS DALY ST CLOVERDALE</v>
          </cell>
          <cell r="I866" t="str">
            <v>D0036429</v>
          </cell>
          <cell r="K866" t="str">
            <v xml:space="preserve">AH74- - </v>
          </cell>
          <cell r="M866"/>
          <cell r="AF866">
            <v>1966</v>
          </cell>
          <cell r="AH866" t="str">
            <v>Dave Sutton</v>
          </cell>
          <cell r="AI866" t="str">
            <v>WC</v>
          </cell>
          <cell r="AJ866"/>
        </row>
        <row r="867">
          <cell r="E867" t="str">
            <v>S0034193</v>
          </cell>
          <cell r="F867" t="str">
            <v>SPS WRIGHT ST CLOVERDALE</v>
          </cell>
          <cell r="H867" t="str">
            <v>SEC Supply</v>
          </cell>
          <cell r="I867" t="str">
            <v>S0034197</v>
          </cell>
          <cell r="J867" t="str">
            <v>SB1</v>
          </cell>
          <cell r="K867" t="str">
            <v>18025-40-1</v>
          </cell>
          <cell r="M867">
            <v>300</v>
          </cell>
          <cell r="V867" t="str">
            <v>MCB</v>
          </cell>
          <cell r="W867">
            <v>80</v>
          </cell>
          <cell r="AF867">
            <v>1983</v>
          </cell>
          <cell r="AH867" t="str">
            <v>Dave Sutton</v>
          </cell>
          <cell r="AI867" t="str">
            <v>WC</v>
          </cell>
          <cell r="AJ867"/>
        </row>
        <row r="868">
          <cell r="E868" t="str">
            <v>S0034155</v>
          </cell>
          <cell r="F868" t="str">
            <v>SPS ROBINSON AV CLOVERDALE</v>
          </cell>
          <cell r="H868" t="str">
            <v>SEC Supply</v>
          </cell>
          <cell r="I868" t="str">
            <v>S0034159</v>
          </cell>
          <cell r="J868" t="str">
            <v>Main SB</v>
          </cell>
          <cell r="K868" t="str">
            <v>BQ80-41-3</v>
          </cell>
          <cell r="M868"/>
          <cell r="O868">
            <v>415</v>
          </cell>
          <cell r="V868" t="str">
            <v>Fuse</v>
          </cell>
          <cell r="W868">
            <v>50</v>
          </cell>
          <cell r="AF868">
            <v>1991</v>
          </cell>
          <cell r="AH868" t="str">
            <v>Dave Sutton</v>
          </cell>
          <cell r="AI868" t="str">
            <v>WC</v>
          </cell>
          <cell r="AJ868"/>
        </row>
        <row r="869">
          <cell r="E869" t="str">
            <v>S0034034</v>
          </cell>
          <cell r="F869" t="str">
            <v>SPS EPSOM AV CLOVERDALE</v>
          </cell>
          <cell r="I869" t="str">
            <v>S0034038</v>
          </cell>
          <cell r="K869" t="str">
            <v>EO70-41-5</v>
          </cell>
          <cell r="M869"/>
          <cell r="AF869">
            <v>1998</v>
          </cell>
          <cell r="AH869" t="str">
            <v>Dave Sutton</v>
          </cell>
          <cell r="AI869" t="str">
            <v>WC</v>
          </cell>
          <cell r="AJ869"/>
        </row>
        <row r="870">
          <cell r="E870" t="str">
            <v>S0034017</v>
          </cell>
          <cell r="F870" t="str">
            <v>SPS CLYDESDALE ST COMO</v>
          </cell>
          <cell r="I870" t="str">
            <v>S0034023</v>
          </cell>
          <cell r="J870" t="str">
            <v>Main SB</v>
          </cell>
          <cell r="K870" t="str">
            <v>10990-40-1</v>
          </cell>
          <cell r="M870"/>
          <cell r="V870" t="str">
            <v>Fuse</v>
          </cell>
          <cell r="W870">
            <v>20</v>
          </cell>
          <cell r="AF870">
            <v>1970</v>
          </cell>
          <cell r="AH870" t="str">
            <v>Dave Sutton</v>
          </cell>
          <cell r="AI870" t="str">
            <v>WC</v>
          </cell>
          <cell r="AJ870"/>
        </row>
        <row r="871">
          <cell r="E871" t="str">
            <v>S0034167</v>
          </cell>
          <cell r="F871" t="str">
            <v>SPS SAUNDERS ST COMO</v>
          </cell>
          <cell r="I871" t="str">
            <v>S0034173</v>
          </cell>
          <cell r="J871" t="str">
            <v>Main SB</v>
          </cell>
          <cell r="K871" t="str">
            <v>11805-10-1</v>
          </cell>
          <cell r="M871"/>
          <cell r="V871" t="str">
            <v>Fuse</v>
          </cell>
          <cell r="W871">
            <v>20</v>
          </cell>
          <cell r="AF871">
            <v>1973</v>
          </cell>
          <cell r="AH871" t="str">
            <v>Dave Sutton</v>
          </cell>
          <cell r="AI871" t="str">
            <v>WC</v>
          </cell>
          <cell r="AJ871"/>
        </row>
        <row r="872">
          <cell r="E872" t="str">
            <v>S0033987</v>
          </cell>
          <cell r="F872" t="str">
            <v>SPS BICKLEY ST COMO</v>
          </cell>
          <cell r="I872" t="str">
            <v>S0033993</v>
          </cell>
          <cell r="K872" t="str">
            <v xml:space="preserve">09640- - </v>
          </cell>
          <cell r="M872"/>
          <cell r="AF872">
            <v>1965</v>
          </cell>
          <cell r="AH872" t="str">
            <v>Dave Sutton</v>
          </cell>
          <cell r="AI872" t="str">
            <v>WC</v>
          </cell>
          <cell r="AJ872"/>
        </row>
        <row r="873">
          <cell r="E873" t="str">
            <v>S0033982</v>
          </cell>
          <cell r="F873" t="str">
            <v>SPS BESSELL AV COMO</v>
          </cell>
          <cell r="H873" t="str">
            <v>SEC Supply</v>
          </cell>
          <cell r="I873" t="str">
            <v>S0033986</v>
          </cell>
          <cell r="J873" t="str">
            <v>SB1</v>
          </cell>
          <cell r="K873" t="str">
            <v>07210-40-2</v>
          </cell>
          <cell r="M873"/>
          <cell r="AF873">
            <v>1979</v>
          </cell>
          <cell r="AH873" t="str">
            <v>Dave Sutton</v>
          </cell>
          <cell r="AI873" t="str">
            <v>WC</v>
          </cell>
          <cell r="AJ873"/>
        </row>
        <row r="874">
          <cell r="E874" t="str">
            <v>S0034150</v>
          </cell>
          <cell r="F874" t="str">
            <v>SPS ROBERT ST COMO</v>
          </cell>
          <cell r="H874" t="str">
            <v>SEC Supply</v>
          </cell>
          <cell r="I874" t="str">
            <v>S0034154</v>
          </cell>
          <cell r="J874" t="str">
            <v>Main SB</v>
          </cell>
          <cell r="K874" t="str">
            <v>15326-40-2</v>
          </cell>
          <cell r="M874"/>
          <cell r="V874" t="str">
            <v>MCB</v>
          </cell>
          <cell r="W874">
            <v>55</v>
          </cell>
          <cell r="AF874">
            <v>1979</v>
          </cell>
          <cell r="AH874" t="str">
            <v>Dave Sutton</v>
          </cell>
          <cell r="AI874" t="str">
            <v>WC</v>
          </cell>
          <cell r="AJ874"/>
        </row>
        <row r="875">
          <cell r="E875" t="str">
            <v>S0044692</v>
          </cell>
          <cell r="F875" t="str">
            <v>SPS BEACHAM ST COODANUP</v>
          </cell>
          <cell r="I875" t="str">
            <v>S8003523</v>
          </cell>
          <cell r="J875" t="str">
            <v>Main SB</v>
          </cell>
          <cell r="K875" t="str">
            <v>AS61-41-4</v>
          </cell>
          <cell r="M875"/>
          <cell r="O875">
            <v>440</v>
          </cell>
          <cell r="V875" t="str">
            <v>MCB</v>
          </cell>
          <cell r="W875">
            <v>100</v>
          </cell>
          <cell r="AF875">
            <v>1987</v>
          </cell>
          <cell r="AH875" t="str">
            <v>Dave Sutton</v>
          </cell>
          <cell r="AI875" t="str">
            <v>WC</v>
          </cell>
          <cell r="AJ875"/>
        </row>
        <row r="876">
          <cell r="E876" t="str">
            <v>S0044746</v>
          </cell>
          <cell r="F876" t="str">
            <v>SPS NAIRN RD COODANUP</v>
          </cell>
          <cell r="H876" t="str">
            <v>SEC Supply</v>
          </cell>
          <cell r="I876" t="str">
            <v>S8003533</v>
          </cell>
          <cell r="J876" t="str">
            <v>Main SB</v>
          </cell>
          <cell r="K876" t="str">
            <v>AW95-41-5</v>
          </cell>
          <cell r="M876"/>
          <cell r="V876" t="str">
            <v>Fuse</v>
          </cell>
          <cell r="W876">
            <v>32</v>
          </cell>
          <cell r="AF876">
            <v>1987</v>
          </cell>
          <cell r="AH876" t="str">
            <v>Dave Sutton</v>
          </cell>
          <cell r="AI876" t="str">
            <v>WC</v>
          </cell>
          <cell r="AJ876"/>
        </row>
        <row r="877">
          <cell r="E877" t="str">
            <v>S0033300</v>
          </cell>
          <cell r="F877" t="str">
            <v>SPS PARAKEET WY COOGEE</v>
          </cell>
          <cell r="I877" t="str">
            <v>S0033304</v>
          </cell>
          <cell r="K877" t="str">
            <v xml:space="preserve">18002- - </v>
          </cell>
          <cell r="M877"/>
          <cell r="AF877">
            <v>1983</v>
          </cell>
          <cell r="AH877" t="str">
            <v>Dave Sutton</v>
          </cell>
          <cell r="AI877" t="str">
            <v>WC</v>
          </cell>
          <cell r="AJ877"/>
        </row>
        <row r="878">
          <cell r="E878" t="str">
            <v>S2003193</v>
          </cell>
          <cell r="F878" t="str">
            <v>SPS RADNOR WY COOLBELLUP</v>
          </cell>
          <cell r="H878" t="str">
            <v>Supply Authority</v>
          </cell>
          <cell r="I878" t="str">
            <v>S2003197</v>
          </cell>
          <cell r="J878" t="str">
            <v>Main SB</v>
          </cell>
          <cell r="K878" t="str">
            <v>FD99-41-5</v>
          </cell>
          <cell r="M878"/>
          <cell r="O878">
            <v>415</v>
          </cell>
          <cell r="S878" t="str">
            <v>XLPE/PVC</v>
          </cell>
          <cell r="T878" t="str">
            <v>3x1C 25mm2</v>
          </cell>
          <cell r="V878" t="str">
            <v>MCB</v>
          </cell>
          <cell r="W878">
            <v>80</v>
          </cell>
          <cell r="AF878">
            <v>2000</v>
          </cell>
          <cell r="AH878" t="str">
            <v>Dave Sutton</v>
          </cell>
          <cell r="AI878" t="str">
            <v>WC</v>
          </cell>
          <cell r="AJ878"/>
        </row>
        <row r="879">
          <cell r="E879" t="str">
            <v>S2003676</v>
          </cell>
          <cell r="F879" t="str">
            <v>SPS DORCAS WY COOLBELLUP</v>
          </cell>
          <cell r="H879" t="str">
            <v>Supply Authority</v>
          </cell>
          <cell r="I879" t="str">
            <v>S2003680</v>
          </cell>
          <cell r="J879" t="str">
            <v>Main SB</v>
          </cell>
          <cell r="K879" t="str">
            <v>FR14-41-5</v>
          </cell>
          <cell r="M879">
            <v>200</v>
          </cell>
          <cell r="O879">
            <v>415</v>
          </cell>
          <cell r="S879" t="str">
            <v>PVC</v>
          </cell>
          <cell r="T879" t="str">
            <v>16mm2</v>
          </cell>
          <cell r="V879" t="str">
            <v>MCB</v>
          </cell>
          <cell r="W879">
            <v>32</v>
          </cell>
          <cell r="AF879">
            <v>2001</v>
          </cell>
          <cell r="AH879" t="str">
            <v>Dave Sutton</v>
          </cell>
          <cell r="AI879" t="str">
            <v>WC</v>
          </cell>
          <cell r="AJ879"/>
        </row>
        <row r="880">
          <cell r="E880" t="str">
            <v>S2008275</v>
          </cell>
          <cell r="F880" t="str">
            <v>SPS SEBASTIAN CR COOLBELLUP</v>
          </cell>
          <cell r="H880" t="str">
            <v>Supply Authority</v>
          </cell>
          <cell r="I880" t="str">
            <v>S2008279</v>
          </cell>
          <cell r="J880" t="str">
            <v>Main SB</v>
          </cell>
          <cell r="K880" t="str">
            <v>FJ44-41-5</v>
          </cell>
          <cell r="M880">
            <v>200</v>
          </cell>
          <cell r="O880">
            <v>415</v>
          </cell>
          <cell r="S880" t="str">
            <v>PVC</v>
          </cell>
          <cell r="T880" t="str">
            <v>16mm2</v>
          </cell>
          <cell r="V880" t="str">
            <v>MCB</v>
          </cell>
          <cell r="W880">
            <v>32</v>
          </cell>
          <cell r="AF880">
            <v>2002</v>
          </cell>
          <cell r="AH880" t="str">
            <v>Dave Sutton</v>
          </cell>
          <cell r="AI880" t="str">
            <v>WC</v>
          </cell>
          <cell r="AJ880"/>
        </row>
        <row r="881">
          <cell r="E881" t="str">
            <v>S0030448</v>
          </cell>
          <cell r="F881" t="str">
            <v>SPS NORRING ST COOLOONGUP</v>
          </cell>
          <cell r="I881" t="str">
            <v>S0030454</v>
          </cell>
          <cell r="J881" t="str">
            <v>Main SB</v>
          </cell>
          <cell r="K881" t="str">
            <v>15054-40-1</v>
          </cell>
          <cell r="M881"/>
          <cell r="AF881">
            <v>1977</v>
          </cell>
          <cell r="AH881" t="str">
            <v>Dave Sutton</v>
          </cell>
          <cell r="AI881" t="str">
            <v>WC</v>
          </cell>
          <cell r="AJ881"/>
        </row>
        <row r="882">
          <cell r="E882" t="str">
            <v>S0030419</v>
          </cell>
          <cell r="F882" t="str">
            <v>SPS ELANORA DR COOLOONGUP</v>
          </cell>
          <cell r="H882" t="str">
            <v>Supply Authority</v>
          </cell>
          <cell r="I882" t="str">
            <v>S2023285</v>
          </cell>
          <cell r="J882" t="str">
            <v>Main SB</v>
          </cell>
          <cell r="K882" t="str">
            <v>14519-41-5</v>
          </cell>
          <cell r="M882"/>
          <cell r="N882">
            <v>22</v>
          </cell>
          <cell r="O882">
            <v>415</v>
          </cell>
          <cell r="V882" t="str">
            <v>MCB</v>
          </cell>
          <cell r="W882">
            <v>100</v>
          </cell>
          <cell r="X882" t="str">
            <v>14519-40-2</v>
          </cell>
          <cell r="AF882">
            <v>2009</v>
          </cell>
          <cell r="AH882" t="str">
            <v>Dave Sutton</v>
          </cell>
          <cell r="AI882" t="str">
            <v>WC</v>
          </cell>
          <cell r="AJ882"/>
        </row>
        <row r="883">
          <cell r="E883" t="str">
            <v>S0032586</v>
          </cell>
          <cell r="F883" t="str">
            <v>SPS ACKLAND WY COTTESLOE</v>
          </cell>
          <cell r="H883" t="str">
            <v>SEC Supply</v>
          </cell>
          <cell r="I883" t="str">
            <v>S0032590</v>
          </cell>
          <cell r="J883" t="str">
            <v>SB1</v>
          </cell>
          <cell r="K883" t="str">
            <v>07212-40-1</v>
          </cell>
          <cell r="M883"/>
          <cell r="V883" t="str">
            <v>MCB</v>
          </cell>
          <cell r="W883">
            <v>80</v>
          </cell>
          <cell r="AF883">
            <v>1985</v>
          </cell>
          <cell r="AH883" t="str">
            <v>Dave Sutton</v>
          </cell>
          <cell r="AI883" t="str">
            <v>WC</v>
          </cell>
          <cell r="AJ883"/>
        </row>
        <row r="884">
          <cell r="E884" t="str">
            <v>S0032675</v>
          </cell>
          <cell r="F884" t="str">
            <v>SPS STATION ST COTTESLOE</v>
          </cell>
          <cell r="H884" t="str">
            <v>Supply Authority</v>
          </cell>
          <cell r="I884" t="str">
            <v>S0032681</v>
          </cell>
          <cell r="J884" t="str">
            <v>Main SB</v>
          </cell>
          <cell r="K884" t="str">
            <v>05598-41-5</v>
          </cell>
          <cell r="M884">
            <v>200</v>
          </cell>
          <cell r="O884">
            <v>415</v>
          </cell>
          <cell r="V884" t="str">
            <v>MCB</v>
          </cell>
          <cell r="W884">
            <v>63</v>
          </cell>
          <cell r="AF884">
            <v>1995</v>
          </cell>
          <cell r="AH884" t="str">
            <v>Dave Sutton</v>
          </cell>
          <cell r="AI884" t="str">
            <v>WC</v>
          </cell>
          <cell r="AJ884"/>
        </row>
        <row r="885">
          <cell r="E885" t="str">
            <v>S0027282</v>
          </cell>
          <cell r="F885" t="str">
            <v>SPS JOONDALUP GOLF COURSE</v>
          </cell>
          <cell r="H885" t="str">
            <v>SEC Supply</v>
          </cell>
          <cell r="I885" t="str">
            <v>S0027288</v>
          </cell>
          <cell r="J885" t="str">
            <v>Main SB</v>
          </cell>
          <cell r="K885" t="str">
            <v>17115-40-2</v>
          </cell>
          <cell r="M885"/>
          <cell r="V885" t="str">
            <v>Fuse</v>
          </cell>
          <cell r="AF885">
            <v>1980</v>
          </cell>
          <cell r="AH885" t="str">
            <v>Dave Sutton</v>
          </cell>
          <cell r="AI885" t="str">
            <v>WC</v>
          </cell>
          <cell r="AJ885"/>
        </row>
        <row r="886">
          <cell r="E886" t="str">
            <v>S0028404</v>
          </cell>
          <cell r="F886" t="str">
            <v>SPS FENELLIA CR CRAIGIE</v>
          </cell>
          <cell r="I886" t="str">
            <v>S0028410</v>
          </cell>
          <cell r="J886" t="str">
            <v>Main SB</v>
          </cell>
          <cell r="K886" t="str">
            <v>11473-10-1</v>
          </cell>
          <cell r="M886"/>
          <cell r="AF886">
            <v>1972</v>
          </cell>
          <cell r="AH886" t="str">
            <v>Dave Sutton</v>
          </cell>
          <cell r="AI886" t="str">
            <v>WC</v>
          </cell>
          <cell r="AJ886"/>
        </row>
        <row r="887">
          <cell r="E887" t="str">
            <v>S0028622</v>
          </cell>
          <cell r="F887" t="str">
            <v>SPS ROSETTE CL CRAIGIE</v>
          </cell>
          <cell r="I887" t="str">
            <v>S0028628</v>
          </cell>
          <cell r="K887" t="str">
            <v xml:space="preserve">10801- - </v>
          </cell>
          <cell r="M887"/>
          <cell r="AF887">
            <v>1972</v>
          </cell>
          <cell r="AH887" t="str">
            <v>Dave Sutton</v>
          </cell>
          <cell r="AI887" t="str">
            <v>WC</v>
          </cell>
          <cell r="AJ887"/>
        </row>
        <row r="888">
          <cell r="E888" t="str">
            <v>S0028281</v>
          </cell>
          <cell r="F888" t="str">
            <v>SPS CAMBERWARRA DR CRAIGIE</v>
          </cell>
          <cell r="I888" t="str">
            <v>S0028287</v>
          </cell>
          <cell r="J888" t="str">
            <v>Main SB</v>
          </cell>
          <cell r="K888" t="str">
            <v>11419-10-1</v>
          </cell>
          <cell r="M888"/>
          <cell r="AF888">
            <v>1972</v>
          </cell>
          <cell r="AH888" t="str">
            <v>Dave Sutton</v>
          </cell>
          <cell r="AI888" t="str">
            <v>WC</v>
          </cell>
          <cell r="AJ888"/>
        </row>
        <row r="889">
          <cell r="E889" t="str">
            <v>S0028260</v>
          </cell>
          <cell r="F889" t="str">
            <v>SPS BARWON RD CRAIGIE</v>
          </cell>
          <cell r="I889" t="str">
            <v>S0028266</v>
          </cell>
          <cell r="J889" t="str">
            <v>Main SB</v>
          </cell>
          <cell r="K889" t="str">
            <v>11676-10-1</v>
          </cell>
          <cell r="M889"/>
          <cell r="AF889">
            <v>1973</v>
          </cell>
          <cell r="AH889" t="str">
            <v>Dave Sutton</v>
          </cell>
          <cell r="AI889" t="str">
            <v>WC</v>
          </cell>
          <cell r="AJ889"/>
        </row>
        <row r="890">
          <cell r="E890" t="str">
            <v>S0032256</v>
          </cell>
          <cell r="F890" t="str">
            <v>SPS HACKETT DR CRAWLEY</v>
          </cell>
          <cell r="I890" t="str">
            <v>S0032262</v>
          </cell>
          <cell r="K890" t="str">
            <v>05188-10-1</v>
          </cell>
          <cell r="M890"/>
          <cell r="AF890">
            <v>1976</v>
          </cell>
          <cell r="AH890" t="str">
            <v>Dave Sutton</v>
          </cell>
          <cell r="AI890" t="str">
            <v>WC</v>
          </cell>
          <cell r="AJ890"/>
        </row>
        <row r="891">
          <cell r="E891" t="str">
            <v>S0032289</v>
          </cell>
          <cell r="F891" t="str">
            <v>SPS PELICAN PT MATILDA BAY CRAWLEY</v>
          </cell>
          <cell r="I891" t="str">
            <v>S2003529</v>
          </cell>
          <cell r="M891"/>
          <cell r="AF891">
            <v>1984</v>
          </cell>
          <cell r="AH891" t="str">
            <v>Dave Sutton</v>
          </cell>
          <cell r="AI891" t="str">
            <v>WC</v>
          </cell>
          <cell r="AJ891"/>
        </row>
        <row r="892">
          <cell r="E892" t="str">
            <v>S2016008</v>
          </cell>
          <cell r="F892" t="str">
            <v>SPS PELICAN PT SAIL CLUB CRAWLEY</v>
          </cell>
          <cell r="I892" t="str">
            <v>S0032297</v>
          </cell>
          <cell r="M892"/>
          <cell r="AF892">
            <v>1984</v>
          </cell>
          <cell r="AH892" t="str">
            <v>Dave Sutton</v>
          </cell>
          <cell r="AI892" t="str">
            <v>WC</v>
          </cell>
          <cell r="AJ892"/>
        </row>
        <row r="893">
          <cell r="E893" t="str">
            <v>S2016009</v>
          </cell>
          <cell r="F893" t="str">
            <v>SPS PELICAN PT RPYC CRAWLEY</v>
          </cell>
          <cell r="I893" t="str">
            <v>S2003526</v>
          </cell>
          <cell r="M893"/>
          <cell r="AF893">
            <v>1984</v>
          </cell>
          <cell r="AH893" t="str">
            <v>Dave Sutton</v>
          </cell>
          <cell r="AI893" t="str">
            <v>WC</v>
          </cell>
          <cell r="AJ893"/>
        </row>
        <row r="894">
          <cell r="E894" t="str">
            <v>S2016010</v>
          </cell>
          <cell r="F894" t="str">
            <v>SPS PELICAN PT RPYC JR CRAWLEY</v>
          </cell>
          <cell r="I894" t="str">
            <v>S2003527</v>
          </cell>
          <cell r="M894"/>
          <cell r="AF894">
            <v>1984</v>
          </cell>
          <cell r="AH894" t="str">
            <v>Dave Sutton</v>
          </cell>
          <cell r="AI894" t="str">
            <v>WC</v>
          </cell>
          <cell r="AJ894"/>
        </row>
        <row r="895">
          <cell r="E895" t="str">
            <v>S2016011</v>
          </cell>
          <cell r="F895" t="str">
            <v>SPS PELICAN PT NAT PARKS CRAWLEY</v>
          </cell>
          <cell r="I895" t="str">
            <v>S2003528</v>
          </cell>
          <cell r="M895"/>
          <cell r="AF895">
            <v>1984</v>
          </cell>
          <cell r="AH895" t="str">
            <v>Dave Sutton</v>
          </cell>
          <cell r="AI895" t="str">
            <v>WC</v>
          </cell>
          <cell r="AJ895"/>
        </row>
        <row r="896">
          <cell r="E896" t="str">
            <v>S2016012</v>
          </cell>
          <cell r="F896" t="str">
            <v>SPS PELICAN PT TOILETS CRAWLEY</v>
          </cell>
          <cell r="I896" t="str">
            <v>S2003530</v>
          </cell>
          <cell r="M896"/>
          <cell r="AF896">
            <v>1984</v>
          </cell>
          <cell r="AH896" t="str">
            <v>Dave Sutton</v>
          </cell>
          <cell r="AI896" t="str">
            <v>WC</v>
          </cell>
          <cell r="AJ896"/>
        </row>
        <row r="897">
          <cell r="E897" t="str">
            <v>S2016013</v>
          </cell>
          <cell r="F897" t="str">
            <v>SPS PELICAN PT KIOSK CRAWLEY</v>
          </cell>
          <cell r="I897" t="str">
            <v>S2003531</v>
          </cell>
          <cell r="M897"/>
          <cell r="AF897">
            <v>1984</v>
          </cell>
          <cell r="AH897" t="str">
            <v>Dave Sutton</v>
          </cell>
          <cell r="AI897" t="str">
            <v>WC</v>
          </cell>
          <cell r="AJ897"/>
        </row>
        <row r="898">
          <cell r="E898" t="str">
            <v>S0032284</v>
          </cell>
          <cell r="F898" t="str">
            <v>SPS PARKWAY ST CRAWLEY</v>
          </cell>
          <cell r="I898" t="str">
            <v>S0032288</v>
          </cell>
          <cell r="K898" t="str">
            <v>05127-10-1</v>
          </cell>
          <cell r="M898"/>
          <cell r="AF898">
            <v>1991</v>
          </cell>
          <cell r="AH898" t="str">
            <v>Dave Sutton</v>
          </cell>
          <cell r="AI898" t="str">
            <v>WC</v>
          </cell>
          <cell r="AJ898"/>
        </row>
        <row r="899">
          <cell r="E899" t="str">
            <v>S0028320</v>
          </cell>
          <cell r="F899" t="str">
            <v>SPS CULLACABARDEE</v>
          </cell>
          <cell r="H899" t="str">
            <v>SEC Supply</v>
          </cell>
          <cell r="I899" t="str">
            <v>S0028324</v>
          </cell>
          <cell r="J899" t="str">
            <v>Main SB</v>
          </cell>
          <cell r="K899" t="str">
            <v>16960-40-1</v>
          </cell>
          <cell r="M899"/>
          <cell r="V899" t="str">
            <v>MCB</v>
          </cell>
          <cell r="W899">
            <v>100</v>
          </cell>
          <cell r="AF899">
            <v>1981</v>
          </cell>
          <cell r="AH899" t="str">
            <v>Dave Sutton</v>
          </cell>
          <cell r="AI899" t="str">
            <v>WC</v>
          </cell>
          <cell r="AJ899"/>
        </row>
        <row r="900">
          <cell r="E900" t="str">
            <v>S0027313</v>
          </cell>
          <cell r="F900" t="str">
            <v>SPS TYNESIDE GDNS CURRAMBINE</v>
          </cell>
          <cell r="H900" t="str">
            <v>Supply Authority</v>
          </cell>
          <cell r="I900" t="str">
            <v>S2003562</v>
          </cell>
          <cell r="J900" t="str">
            <v>Main SB</v>
          </cell>
          <cell r="K900" t="str">
            <v>BU57-41-5</v>
          </cell>
          <cell r="M900"/>
          <cell r="O900">
            <v>415</v>
          </cell>
          <cell r="V900" t="str">
            <v>MCB</v>
          </cell>
          <cell r="W900">
            <v>32</v>
          </cell>
          <cell r="AF900">
            <v>1996</v>
          </cell>
          <cell r="AH900" t="str">
            <v>Dave Sutton</v>
          </cell>
          <cell r="AI900" t="str">
            <v>WC</v>
          </cell>
          <cell r="AJ900"/>
        </row>
        <row r="901">
          <cell r="E901" t="str">
            <v>S2037673</v>
          </cell>
          <cell r="F901" t="str">
            <v>SPS STOKES LA DAGLISH</v>
          </cell>
          <cell r="H901" t="str">
            <v>Supply Authority</v>
          </cell>
          <cell r="I901" t="str">
            <v>S2038344</v>
          </cell>
          <cell r="J901" t="str">
            <v>Main SB</v>
          </cell>
          <cell r="K901" t="str">
            <v>LE22-41-5</v>
          </cell>
          <cell r="M901"/>
          <cell r="O901">
            <v>240</v>
          </cell>
          <cell r="S901" t="str">
            <v>XLPE</v>
          </cell>
          <cell r="T901" t="str">
            <v>16mm2</v>
          </cell>
          <cell r="V901" t="str">
            <v>Fuse</v>
          </cell>
          <cell r="W901">
            <v>32</v>
          </cell>
          <cell r="AF901">
            <v>2014</v>
          </cell>
          <cell r="AH901" t="str">
            <v>Dave Sutton</v>
          </cell>
          <cell r="AI901" t="str">
            <v>WC</v>
          </cell>
          <cell r="AJ901"/>
        </row>
        <row r="902">
          <cell r="E902" t="str">
            <v>S0032632</v>
          </cell>
          <cell r="F902" t="str">
            <v>SPS HACKETT RD DALKEITH</v>
          </cell>
          <cell r="H902" t="str">
            <v>SEC Supply</v>
          </cell>
          <cell r="I902" t="str">
            <v>S0032636</v>
          </cell>
          <cell r="J902" t="str">
            <v>Main SB</v>
          </cell>
          <cell r="K902" t="str">
            <v>07408-40-2</v>
          </cell>
          <cell r="M902"/>
          <cell r="V902" t="str">
            <v>MCB</v>
          </cell>
          <cell r="W902">
            <v>150</v>
          </cell>
          <cell r="AF902">
            <v>1978</v>
          </cell>
          <cell r="AH902" t="str">
            <v>Dave Sutton</v>
          </cell>
          <cell r="AI902" t="str">
            <v>WC</v>
          </cell>
          <cell r="AJ902"/>
        </row>
        <row r="903">
          <cell r="E903" t="str">
            <v>S0032718</v>
          </cell>
          <cell r="F903" t="str">
            <v>SPS WATTLE AV DALKEITH</v>
          </cell>
          <cell r="H903" t="str">
            <v>SEC Supply</v>
          </cell>
          <cell r="I903" t="str">
            <v>S0032722</v>
          </cell>
          <cell r="J903" t="str">
            <v>Main SB</v>
          </cell>
          <cell r="K903" t="str">
            <v>07315-40-1</v>
          </cell>
          <cell r="M903"/>
          <cell r="V903" t="str">
            <v>MCB</v>
          </cell>
          <cell r="W903">
            <v>75</v>
          </cell>
          <cell r="AF903">
            <v>1981</v>
          </cell>
          <cell r="AH903" t="str">
            <v>Dave Sutton</v>
          </cell>
          <cell r="AI903" t="str">
            <v>WC</v>
          </cell>
          <cell r="AJ903"/>
        </row>
        <row r="904">
          <cell r="E904" t="str">
            <v>S0032591</v>
          </cell>
          <cell r="F904" t="str">
            <v>SPS ADELMA RD DALKEITH</v>
          </cell>
          <cell r="H904" t="str">
            <v>SEC Supply</v>
          </cell>
          <cell r="I904" t="str">
            <v>S0032595</v>
          </cell>
          <cell r="J904" t="str">
            <v>Main SB</v>
          </cell>
          <cell r="K904" t="str">
            <v>07225-40-1</v>
          </cell>
          <cell r="M904"/>
          <cell r="V904" t="str">
            <v>MCB</v>
          </cell>
          <cell r="W904">
            <v>75</v>
          </cell>
          <cell r="AF904">
            <v>1982</v>
          </cell>
          <cell r="AH904" t="str">
            <v>Dave Sutton</v>
          </cell>
          <cell r="AI904" t="str">
            <v>WC</v>
          </cell>
          <cell r="AJ904"/>
        </row>
        <row r="905">
          <cell r="E905" t="str">
            <v>S0032661</v>
          </cell>
          <cell r="F905" t="str">
            <v>SPS MINORA RD DALKEITH</v>
          </cell>
          <cell r="I905" t="str">
            <v>S0032667</v>
          </cell>
          <cell r="K905" t="str">
            <v>06385-10-1</v>
          </cell>
          <cell r="M905"/>
          <cell r="AF905">
            <v>1995</v>
          </cell>
          <cell r="AH905" t="str">
            <v>Dave Sutton</v>
          </cell>
          <cell r="AI905" t="str">
            <v>WC</v>
          </cell>
          <cell r="AJ905"/>
        </row>
        <row r="906">
          <cell r="E906" t="str">
            <v>S0032702</v>
          </cell>
          <cell r="F906" t="str">
            <v>SPS VIKING RD DALKEITH</v>
          </cell>
          <cell r="H906" t="str">
            <v>Supply Authority</v>
          </cell>
          <cell r="I906" t="str">
            <v>S0032710</v>
          </cell>
          <cell r="J906" t="str">
            <v>Main SB</v>
          </cell>
          <cell r="K906" t="str">
            <v>06658-41-5</v>
          </cell>
          <cell r="M906">
            <v>200</v>
          </cell>
          <cell r="O906">
            <v>415</v>
          </cell>
          <cell r="V906" t="str">
            <v>MCB</v>
          </cell>
          <cell r="W906">
            <v>63</v>
          </cell>
          <cell r="AF906">
            <v>1996</v>
          </cell>
          <cell r="AH906" t="str">
            <v>Dave Sutton</v>
          </cell>
          <cell r="AI906" t="str">
            <v>WC</v>
          </cell>
          <cell r="AJ906"/>
        </row>
        <row r="907">
          <cell r="E907" t="str">
            <v>S2005320</v>
          </cell>
          <cell r="F907" t="str">
            <v>SPS DRIVER RD DARCH</v>
          </cell>
          <cell r="H907" t="str">
            <v>Supply Authority</v>
          </cell>
          <cell r="I907" t="str">
            <v>S2005324</v>
          </cell>
          <cell r="J907" t="str">
            <v>Main SB</v>
          </cell>
          <cell r="K907" t="str">
            <v>FX55-41-5</v>
          </cell>
          <cell r="M907">
            <v>630</v>
          </cell>
          <cell r="N907">
            <v>22</v>
          </cell>
          <cell r="O907">
            <v>415</v>
          </cell>
          <cell r="S907" t="str">
            <v>XLPE/PVC</v>
          </cell>
          <cell r="T907" t="str">
            <v>3x1C 50mm2</v>
          </cell>
          <cell r="V907" t="str">
            <v>MCB</v>
          </cell>
          <cell r="W907">
            <v>400</v>
          </cell>
          <cell r="X907" t="str">
            <v>FX55-40-2</v>
          </cell>
          <cell r="AF907">
            <v>2003</v>
          </cell>
          <cell r="AH907" t="str">
            <v>Dave Sutton</v>
          </cell>
          <cell r="AI907" t="str">
            <v>WC</v>
          </cell>
          <cell r="AJ907"/>
        </row>
        <row r="908">
          <cell r="E908" t="str">
            <v>S0045003</v>
          </cell>
          <cell r="F908" t="str">
            <v>SPS MELROS BEACH RD DAWESVILLE</v>
          </cell>
          <cell r="H908" t="str">
            <v>Supply Authority</v>
          </cell>
          <cell r="I908" t="str">
            <v>S8004202</v>
          </cell>
          <cell r="J908" t="str">
            <v>Main SB</v>
          </cell>
          <cell r="K908" t="str">
            <v>EO56-41-5</v>
          </cell>
          <cell r="M908"/>
          <cell r="O908">
            <v>415</v>
          </cell>
          <cell r="V908" t="str">
            <v>MCB</v>
          </cell>
          <cell r="W908">
            <v>80</v>
          </cell>
          <cell r="AF908">
            <v>1998</v>
          </cell>
          <cell r="AH908" t="str">
            <v>Dave Sutton</v>
          </cell>
          <cell r="AI908" t="str">
            <v>WC</v>
          </cell>
          <cell r="AJ908"/>
        </row>
        <row r="909">
          <cell r="E909" t="str">
            <v>S0045012</v>
          </cell>
          <cell r="F909" t="str">
            <v>SPS RECREATION RD DAWESVILLE</v>
          </cell>
          <cell r="H909" t="str">
            <v>Supply Authority</v>
          </cell>
          <cell r="I909" t="str">
            <v>S8004192</v>
          </cell>
          <cell r="J909" t="str">
            <v>Main SB</v>
          </cell>
          <cell r="K909" t="str">
            <v>EJ99-41-5</v>
          </cell>
          <cell r="M909"/>
          <cell r="O909">
            <v>415</v>
          </cell>
          <cell r="S909" t="str">
            <v>PVC/PVC</v>
          </cell>
          <cell r="T909" t="str">
            <v>3x1C 25mm2</v>
          </cell>
          <cell r="V909" t="str">
            <v>MCB</v>
          </cell>
          <cell r="W909">
            <v>80</v>
          </cell>
          <cell r="AF909">
            <v>1999</v>
          </cell>
          <cell r="AH909" t="str">
            <v>Dave Sutton</v>
          </cell>
          <cell r="AI909" t="str">
            <v>WC</v>
          </cell>
          <cell r="AJ909"/>
        </row>
        <row r="910">
          <cell r="E910" t="str">
            <v>S8000838</v>
          </cell>
          <cell r="F910" t="str">
            <v>SPS OCEAN RD DAWESVILLE</v>
          </cell>
          <cell r="H910" t="str">
            <v>Supply Authority</v>
          </cell>
          <cell r="I910" t="str">
            <v>S8004155</v>
          </cell>
          <cell r="J910" t="str">
            <v>Main SB</v>
          </cell>
          <cell r="K910" t="str">
            <v>FT23-41-5</v>
          </cell>
          <cell r="M910"/>
          <cell r="O910">
            <v>415</v>
          </cell>
          <cell r="S910" t="str">
            <v>XLPE</v>
          </cell>
          <cell r="T910" t="str">
            <v>16mm2</v>
          </cell>
          <cell r="V910" t="str">
            <v>MCB</v>
          </cell>
          <cell r="W910">
            <v>63</v>
          </cell>
          <cell r="AF910">
            <v>2001</v>
          </cell>
          <cell r="AH910" t="str">
            <v>Dave Sutton</v>
          </cell>
          <cell r="AI910" t="str">
            <v>WC</v>
          </cell>
          <cell r="AJ910"/>
        </row>
        <row r="911">
          <cell r="E911" t="str">
            <v>S8007115</v>
          </cell>
          <cell r="F911" t="str">
            <v>SPS SOUTHPORT BVD DAWESVILLE</v>
          </cell>
          <cell r="H911" t="str">
            <v>Supply Authority</v>
          </cell>
          <cell r="I911" t="str">
            <v>S8007121</v>
          </cell>
          <cell r="J911" t="str">
            <v>Main SB</v>
          </cell>
          <cell r="K911" t="str">
            <v>GY02-41-5</v>
          </cell>
          <cell r="M911">
            <v>200</v>
          </cell>
          <cell r="S911" t="str">
            <v>XLPE</v>
          </cell>
          <cell r="T911" t="str">
            <v>25mm2</v>
          </cell>
          <cell r="V911" t="str">
            <v>Fuse</v>
          </cell>
          <cell r="W911">
            <v>100</v>
          </cell>
          <cell r="AF911">
            <v>2004</v>
          </cell>
          <cell r="AH911" t="str">
            <v>Dave Sutton</v>
          </cell>
          <cell r="AI911" t="str">
            <v>WC</v>
          </cell>
          <cell r="AJ911"/>
        </row>
        <row r="912">
          <cell r="E912" t="str">
            <v>S8009280</v>
          </cell>
          <cell r="F912" t="str">
            <v>SPS DANDARAGAN DR DAWESVILLE</v>
          </cell>
          <cell r="H912" t="str">
            <v>Supply Authority</v>
          </cell>
          <cell r="I912" t="str">
            <v>S8009288</v>
          </cell>
          <cell r="J912" t="str">
            <v>Main SB</v>
          </cell>
          <cell r="K912" t="str">
            <v>IB54-41-5</v>
          </cell>
          <cell r="M912"/>
          <cell r="O912">
            <v>415</v>
          </cell>
          <cell r="S912" t="str">
            <v>XLPE/PVC</v>
          </cell>
          <cell r="T912" t="str">
            <v>4x1C 25mm2</v>
          </cell>
          <cell r="V912" t="str">
            <v>Fuse</v>
          </cell>
          <cell r="W912">
            <v>100</v>
          </cell>
          <cell r="AF912">
            <v>2007</v>
          </cell>
          <cell r="AH912" t="str">
            <v>Dave Sutton</v>
          </cell>
          <cell r="AI912" t="str">
            <v>WC</v>
          </cell>
          <cell r="AJ912"/>
        </row>
        <row r="913">
          <cell r="E913" t="str">
            <v>W0045911</v>
          </cell>
          <cell r="F913" t="str">
            <v>WPS OLD COAST RD DAWESVILLE BOOSTER</v>
          </cell>
          <cell r="H913" t="str">
            <v>Supply Authority</v>
          </cell>
          <cell r="I913" t="str">
            <v>W8001811</v>
          </cell>
          <cell r="J913" t="str">
            <v>Main SB</v>
          </cell>
          <cell r="AF913">
            <v>1996</v>
          </cell>
          <cell r="AH913" t="str">
            <v>Dave Sutton</v>
          </cell>
          <cell r="AI913" t="str">
            <v>WC</v>
          </cell>
          <cell r="AJ913"/>
        </row>
        <row r="914">
          <cell r="E914" t="str">
            <v>W8005731</v>
          </cell>
          <cell r="F914" t="str">
            <v>WPS PARK WAY DAWESVILLE BOOSTER</v>
          </cell>
          <cell r="H914" t="str">
            <v>Supply Authority</v>
          </cell>
          <cell r="I914" t="str">
            <v>W8009410</v>
          </cell>
          <cell r="J914" t="str">
            <v>Main SB</v>
          </cell>
          <cell r="K914" t="str">
            <v>IK58-41-5</v>
          </cell>
          <cell r="M914"/>
          <cell r="S914" t="str">
            <v>XLPE/PVC</v>
          </cell>
          <cell r="T914" t="str">
            <v>3x1C 25mm2</v>
          </cell>
          <cell r="V914" t="str">
            <v>Fuse</v>
          </cell>
          <cell r="W914">
            <v>100</v>
          </cell>
          <cell r="AF914">
            <v>2007</v>
          </cell>
          <cell r="AH914" t="str">
            <v>Dave Sutton</v>
          </cell>
          <cell r="AI914" t="str">
            <v>WC</v>
          </cell>
          <cell r="AJ914"/>
        </row>
        <row r="915">
          <cell r="E915" t="str">
            <v>S8007005</v>
          </cell>
          <cell r="F915" t="str">
            <v>SPS OLD COAST RD DAWESVILLE</v>
          </cell>
          <cell r="H915" t="str">
            <v>Supply Authority</v>
          </cell>
          <cell r="I915" t="str">
            <v>S8007010</v>
          </cell>
          <cell r="J915" t="str">
            <v>Main SB</v>
          </cell>
          <cell r="K915" t="str">
            <v>GU34-41-5</v>
          </cell>
          <cell r="M915">
            <v>200</v>
          </cell>
          <cell r="O915">
            <v>415</v>
          </cell>
          <cell r="S915" t="str">
            <v>PVC</v>
          </cell>
          <cell r="T915" t="str">
            <v>10mm2</v>
          </cell>
          <cell r="V915" t="str">
            <v>Fuse</v>
          </cell>
          <cell r="W915">
            <v>60</v>
          </cell>
          <cell r="AF915">
            <v>2004</v>
          </cell>
          <cell r="AH915" t="str">
            <v>Dave Sutton</v>
          </cell>
          <cell r="AI915" t="str">
            <v>WC</v>
          </cell>
          <cell r="AJ915"/>
        </row>
        <row r="916">
          <cell r="E916" t="str">
            <v>S8007324</v>
          </cell>
          <cell r="F916" t="str">
            <v>SPS ESTUARY RD NTH DAWESVILLE</v>
          </cell>
          <cell r="H916" t="str">
            <v>Supply Authority</v>
          </cell>
          <cell r="I916" t="str">
            <v>S8007329</v>
          </cell>
          <cell r="J916" t="str">
            <v>Main SB</v>
          </cell>
          <cell r="K916" t="str">
            <v>GQ03-41-5</v>
          </cell>
          <cell r="M916">
            <v>200</v>
          </cell>
          <cell r="N916">
            <v>22</v>
          </cell>
          <cell r="O916">
            <v>415</v>
          </cell>
          <cell r="S916" t="str">
            <v>XLPE</v>
          </cell>
          <cell r="T916" t="str">
            <v>4C 16mm2</v>
          </cell>
          <cell r="V916" t="str">
            <v>Fuse</v>
          </cell>
          <cell r="W916">
            <v>60</v>
          </cell>
          <cell r="X916" t="str">
            <v>GQ03-40-2</v>
          </cell>
          <cell r="AF916">
            <v>2004</v>
          </cell>
          <cell r="AH916" t="str">
            <v>Dave Sutton</v>
          </cell>
          <cell r="AI916" t="str">
            <v>WC</v>
          </cell>
          <cell r="AJ916"/>
        </row>
        <row r="917">
          <cell r="E917" t="str">
            <v>S8008440</v>
          </cell>
          <cell r="F917" t="str">
            <v>SPS TOUCHSTONE DR DAWESVILLE</v>
          </cell>
          <cell r="H917" t="str">
            <v>Supply Authority</v>
          </cell>
          <cell r="I917" t="str">
            <v>S8008447</v>
          </cell>
          <cell r="J917" t="str">
            <v>Main SB</v>
          </cell>
          <cell r="K917" t="str">
            <v>HY20-41-5</v>
          </cell>
          <cell r="M917">
            <v>200</v>
          </cell>
          <cell r="O917">
            <v>415</v>
          </cell>
          <cell r="S917" t="str">
            <v>XLPE</v>
          </cell>
          <cell r="T917" t="str">
            <v>16mm2</v>
          </cell>
          <cell r="V917" t="str">
            <v>Fuse</v>
          </cell>
          <cell r="W917">
            <v>60</v>
          </cell>
          <cell r="AF917">
            <v>2006</v>
          </cell>
          <cell r="AH917" t="str">
            <v>Dave Sutton</v>
          </cell>
          <cell r="AI917" t="str">
            <v>WC</v>
          </cell>
          <cell r="AJ917"/>
        </row>
        <row r="918">
          <cell r="E918" t="str">
            <v>D0036073</v>
          </cell>
          <cell r="F918" t="str">
            <v>DPS SURREY ST DIANELLA</v>
          </cell>
          <cell r="I918" t="str">
            <v>D0036076</v>
          </cell>
          <cell r="M918"/>
          <cell r="AF918">
            <v>1979</v>
          </cell>
          <cell r="AH918" t="str">
            <v>Dave Sutton</v>
          </cell>
          <cell r="AI918" t="str">
            <v>WC</v>
          </cell>
          <cell r="AJ918"/>
        </row>
        <row r="919">
          <cell r="E919" t="str">
            <v>S0030122</v>
          </cell>
          <cell r="F919" t="str">
            <v>SPS CROYDON ST DIANELLA</v>
          </cell>
          <cell r="H919" t="str">
            <v>Supply Authority</v>
          </cell>
          <cell r="I919" t="str">
            <v>S0030126</v>
          </cell>
          <cell r="J919" t="str">
            <v>Main SB</v>
          </cell>
          <cell r="K919" t="str">
            <v>18185-41-5</v>
          </cell>
          <cell r="M919"/>
          <cell r="AA919">
            <v>415</v>
          </cell>
          <cell r="AF919">
            <v>1983</v>
          </cell>
          <cell r="AH919" t="str">
            <v>Dave Sutton</v>
          </cell>
          <cell r="AI919" t="str">
            <v>WC</v>
          </cell>
          <cell r="AJ919"/>
        </row>
        <row r="920">
          <cell r="E920" t="str">
            <v>S2023488</v>
          </cell>
          <cell r="F920" t="str">
            <v>SPS CRESSWELL RD BYPASS DIANELLA</v>
          </cell>
          <cell r="I920" t="str">
            <v>S2023499</v>
          </cell>
          <cell r="M920"/>
          <cell r="AF920">
            <v>2010</v>
          </cell>
          <cell r="AH920" t="str">
            <v>Dave Sutton</v>
          </cell>
          <cell r="AI920" t="str">
            <v>WC</v>
          </cell>
          <cell r="AJ920" t="str">
            <v>Genset onsite</v>
          </cell>
        </row>
        <row r="921">
          <cell r="E921" t="str">
            <v>S0044778</v>
          </cell>
          <cell r="F921" t="str">
            <v>SPS SOLDIERS COVE TCE DUDLEY PARK</v>
          </cell>
          <cell r="H921" t="str">
            <v>Supply Authority</v>
          </cell>
          <cell r="I921" t="str">
            <v>S8006476</v>
          </cell>
          <cell r="J921" t="str">
            <v>Main SB</v>
          </cell>
          <cell r="K921" t="str">
            <v>II53-41-5</v>
          </cell>
          <cell r="M921">
            <v>200</v>
          </cell>
          <cell r="O921">
            <v>415</v>
          </cell>
          <cell r="S921" t="str">
            <v>XLPE</v>
          </cell>
          <cell r="T921" t="str">
            <v>16mm2</v>
          </cell>
          <cell r="V921" t="str">
            <v>MCB</v>
          </cell>
          <cell r="W921">
            <v>100</v>
          </cell>
          <cell r="AF921">
            <v>1974</v>
          </cell>
          <cell r="AH921" t="str">
            <v>Dave Sutton</v>
          </cell>
          <cell r="AI921" t="str">
            <v>WC</v>
          </cell>
          <cell r="AJ921"/>
        </row>
        <row r="922">
          <cell r="E922" t="str">
            <v>S0044700</v>
          </cell>
          <cell r="F922" t="str">
            <v>SPS COOLIBAH AVE DUDLEY PARK</v>
          </cell>
          <cell r="H922" t="str">
            <v>SEC Supply</v>
          </cell>
          <cell r="I922" t="str">
            <v>S8003468</v>
          </cell>
          <cell r="J922" t="str">
            <v>Main SB</v>
          </cell>
          <cell r="K922" t="str">
            <v>51858-41-4</v>
          </cell>
          <cell r="M922"/>
          <cell r="AF922">
            <v>1979</v>
          </cell>
          <cell r="AH922" t="str">
            <v>Dave Sutton</v>
          </cell>
          <cell r="AI922" t="str">
            <v>WC</v>
          </cell>
          <cell r="AJ922"/>
        </row>
        <row r="923">
          <cell r="E923" t="str">
            <v>S0044809</v>
          </cell>
          <cell r="F923" t="str">
            <v>SPS WATERSIDE DR DUDLEY PARK</v>
          </cell>
          <cell r="H923" t="str">
            <v>Supply Authority</v>
          </cell>
          <cell r="I923" t="str">
            <v>S8005571</v>
          </cell>
          <cell r="J923" t="str">
            <v>Main SB</v>
          </cell>
          <cell r="K923" t="str">
            <v>BF45-5-1</v>
          </cell>
          <cell r="M923"/>
          <cell r="O923">
            <v>440</v>
          </cell>
          <cell r="AF923">
            <v>1987</v>
          </cell>
          <cell r="AH923" t="str">
            <v>Dave Sutton</v>
          </cell>
          <cell r="AI923" t="str">
            <v>WC</v>
          </cell>
          <cell r="AJ923"/>
        </row>
        <row r="924">
          <cell r="E924" t="str">
            <v>S8000822</v>
          </cell>
          <cell r="F924" t="str">
            <v>SPS DARWIN TCE DUDLEY PARK</v>
          </cell>
          <cell r="H924" t="str">
            <v>Supply Authority</v>
          </cell>
          <cell r="I924" t="str">
            <v>S8003395</v>
          </cell>
          <cell r="J924" t="str">
            <v>Main SB</v>
          </cell>
          <cell r="K924" t="str">
            <v>FO51-41-5</v>
          </cell>
          <cell r="M924">
            <v>200</v>
          </cell>
          <cell r="O924">
            <v>415</v>
          </cell>
          <cell r="S924" t="str">
            <v>PVC</v>
          </cell>
          <cell r="T924" t="str">
            <v>16mm2</v>
          </cell>
          <cell r="V924" t="str">
            <v>MCB</v>
          </cell>
          <cell r="W924">
            <v>32</v>
          </cell>
          <cell r="AF924">
            <v>2001</v>
          </cell>
          <cell r="AH924" t="str">
            <v>Dave Sutton</v>
          </cell>
          <cell r="AI924" t="str">
            <v>WC</v>
          </cell>
          <cell r="AJ924"/>
        </row>
        <row r="925">
          <cell r="E925" t="str">
            <v>S8008197</v>
          </cell>
          <cell r="F925" t="str">
            <v>VPS WATERLILY DR DUDLEY PARK</v>
          </cell>
          <cell r="H925" t="str">
            <v>Supply Authority</v>
          </cell>
          <cell r="I925" t="str">
            <v>S8008464</v>
          </cell>
          <cell r="J925" t="str">
            <v>Main SB</v>
          </cell>
          <cell r="K925" t="str">
            <v>GZ74-41-5</v>
          </cell>
          <cell r="M925">
            <v>200</v>
          </cell>
          <cell r="O925">
            <v>415</v>
          </cell>
          <cell r="S925" t="str">
            <v>XLPE</v>
          </cell>
          <cell r="T925" t="str">
            <v>25mm2</v>
          </cell>
          <cell r="V925" t="str">
            <v>MCB</v>
          </cell>
          <cell r="W925">
            <v>100</v>
          </cell>
          <cell r="AF925">
            <v>2005</v>
          </cell>
          <cell r="AH925" t="str">
            <v>Dave Sutton</v>
          </cell>
          <cell r="AI925" t="str">
            <v>WC</v>
          </cell>
          <cell r="AJ925" t="str">
            <v>Genset onsite (50kVA)</v>
          </cell>
        </row>
        <row r="926">
          <cell r="E926" t="str">
            <v>S0028241</v>
          </cell>
          <cell r="F926" t="str">
            <v>SPS AYTON WY DUNCRAIG</v>
          </cell>
          <cell r="I926" t="str">
            <v>S0028247</v>
          </cell>
          <cell r="J926" t="str">
            <v>Main SB</v>
          </cell>
          <cell r="K926" t="str">
            <v>10901-10-1</v>
          </cell>
          <cell r="M926"/>
          <cell r="AF926">
            <v>1972</v>
          </cell>
          <cell r="AH926" t="str">
            <v>Dave Sutton</v>
          </cell>
          <cell r="AI926" t="str">
            <v>WC</v>
          </cell>
          <cell r="AJ926"/>
        </row>
        <row r="927">
          <cell r="E927" t="str">
            <v>S0028526</v>
          </cell>
          <cell r="F927" t="str">
            <v>SPS KINLOCH PL DUNCRAIG</v>
          </cell>
          <cell r="H927" t="str">
            <v>SEC Supply</v>
          </cell>
          <cell r="I927" t="str">
            <v>S0028532</v>
          </cell>
          <cell r="J927" t="str">
            <v>Main SB</v>
          </cell>
          <cell r="K927" t="str">
            <v>12134-40-1</v>
          </cell>
          <cell r="M927"/>
          <cell r="V927" t="str">
            <v>Fuse</v>
          </cell>
          <cell r="W927">
            <v>60</v>
          </cell>
          <cell r="AF927">
            <v>1973</v>
          </cell>
          <cell r="AH927" t="str">
            <v>Dave Sutton</v>
          </cell>
          <cell r="AI927" t="str">
            <v>WC</v>
          </cell>
          <cell r="AJ927"/>
        </row>
        <row r="928">
          <cell r="E928" t="str">
            <v>S0028355</v>
          </cell>
          <cell r="F928" t="str">
            <v>SPS DOVERIDGE DR DUNCRAIG</v>
          </cell>
          <cell r="I928" t="str">
            <v>S0028361</v>
          </cell>
          <cell r="J928" t="str">
            <v>Main SB</v>
          </cell>
          <cell r="K928" t="str">
            <v>12980-40-1</v>
          </cell>
          <cell r="M928"/>
          <cell r="AF928">
            <v>1975</v>
          </cell>
          <cell r="AH928" t="str">
            <v>Dave Sutton</v>
          </cell>
          <cell r="AI928" t="str">
            <v>WC</v>
          </cell>
          <cell r="AJ928"/>
        </row>
        <row r="929">
          <cell r="E929" t="str">
            <v>S0028416</v>
          </cell>
          <cell r="F929" t="str">
            <v>SPS GLENBAR RD DUNCRAIG</v>
          </cell>
          <cell r="H929" t="str">
            <v>SEC Supply</v>
          </cell>
          <cell r="I929" t="str">
            <v>S0028422</v>
          </cell>
          <cell r="J929" t="str">
            <v>Main SB</v>
          </cell>
          <cell r="K929" t="str">
            <v>15858-40-2</v>
          </cell>
          <cell r="M929"/>
          <cell r="V929" t="str">
            <v>MCB</v>
          </cell>
          <cell r="W929">
            <v>100</v>
          </cell>
          <cell r="AF929">
            <v>1980</v>
          </cell>
          <cell r="AH929" t="str">
            <v>Dave Sutton</v>
          </cell>
          <cell r="AI929" t="str">
            <v>WC</v>
          </cell>
          <cell r="AJ929"/>
        </row>
        <row r="930">
          <cell r="E930" t="str">
            <v>S0028267</v>
          </cell>
          <cell r="F930" t="str">
            <v>SPS BEACH RD DUNCRAIG</v>
          </cell>
          <cell r="H930" t="str">
            <v>SEC Supply</v>
          </cell>
          <cell r="I930" t="str">
            <v>S0028273</v>
          </cell>
          <cell r="J930" t="str">
            <v>Main SB</v>
          </cell>
          <cell r="K930" t="str">
            <v>DM63-41-5</v>
          </cell>
          <cell r="M930"/>
          <cell r="S930" t="str">
            <v>PVC</v>
          </cell>
          <cell r="T930" t="str">
            <v>10mm2</v>
          </cell>
          <cell r="V930" t="str">
            <v>MCB</v>
          </cell>
          <cell r="W930">
            <v>100</v>
          </cell>
          <cell r="AF930">
            <v>1977</v>
          </cell>
          <cell r="AH930" t="str">
            <v>Dave Sutton</v>
          </cell>
          <cell r="AI930" t="str">
            <v>WC</v>
          </cell>
          <cell r="AJ930"/>
        </row>
        <row r="931">
          <cell r="E931" t="str">
            <v>S2017004</v>
          </cell>
          <cell r="F931" t="str">
            <v>SPS COOLIBAH PL DUNCRAIG</v>
          </cell>
          <cell r="H931" t="str">
            <v>Supply Authority</v>
          </cell>
          <cell r="I931" t="str">
            <v>S2018303</v>
          </cell>
          <cell r="J931" t="str">
            <v>Main SB</v>
          </cell>
          <cell r="K931" t="str">
            <v>HA69-41-5</v>
          </cell>
          <cell r="M931"/>
          <cell r="N931">
            <v>22</v>
          </cell>
          <cell r="O931">
            <v>415</v>
          </cell>
          <cell r="S931" t="str">
            <v>XLPE/PVC</v>
          </cell>
          <cell r="T931" t="str">
            <v>3x1C 95mm2</v>
          </cell>
          <cell r="V931" t="str">
            <v>Fuse</v>
          </cell>
          <cell r="W931">
            <v>60</v>
          </cell>
          <cell r="X931" t="str">
            <v>HA69-40-2</v>
          </cell>
          <cell r="AF931">
            <v>2005</v>
          </cell>
          <cell r="AH931" t="str">
            <v>Dave Sutton</v>
          </cell>
          <cell r="AI931" t="str">
            <v>WC</v>
          </cell>
          <cell r="AJ931"/>
        </row>
        <row r="932">
          <cell r="E932" t="str">
            <v>S0033040</v>
          </cell>
          <cell r="F932" t="str">
            <v>SPS MANNING RD EAST BENTLEY</v>
          </cell>
          <cell r="I932" t="str">
            <v>S0033046</v>
          </cell>
          <cell r="K932" t="str">
            <v xml:space="preserve">10989- - </v>
          </cell>
          <cell r="M932"/>
          <cell r="AF932">
            <v>1970</v>
          </cell>
          <cell r="AH932" t="str">
            <v>Dave Sutton</v>
          </cell>
          <cell r="AI932" t="str">
            <v>WC</v>
          </cell>
          <cell r="AJ932"/>
        </row>
        <row r="933">
          <cell r="E933" t="str">
            <v>S0033035</v>
          </cell>
          <cell r="F933" t="str">
            <v>SPS LUYER AV EAST CANNINGTON</v>
          </cell>
          <cell r="I933" t="str">
            <v>S0033039</v>
          </cell>
          <cell r="J933" t="str">
            <v>Main SB</v>
          </cell>
          <cell r="K933" t="str">
            <v>14129-40-2</v>
          </cell>
          <cell r="M933"/>
          <cell r="AF933">
            <v>1976</v>
          </cell>
          <cell r="AH933" t="str">
            <v>Dave Sutton</v>
          </cell>
          <cell r="AI933" t="str">
            <v>WC</v>
          </cell>
          <cell r="AJ933"/>
        </row>
        <row r="934">
          <cell r="E934" t="str">
            <v>W0034918</v>
          </cell>
          <cell r="F934" t="str">
            <v>WPS PIER ST EAST FREMANTLE</v>
          </cell>
          <cell r="I934" t="str">
            <v>W0034923</v>
          </cell>
          <cell r="K934" t="str">
            <v xml:space="preserve">CR18- - </v>
          </cell>
          <cell r="M934"/>
          <cell r="AF934">
            <v>1966</v>
          </cell>
          <cell r="AH934" t="str">
            <v>Dave Sutton</v>
          </cell>
          <cell r="AI934" t="str">
            <v>WC</v>
          </cell>
          <cell r="AJ934"/>
        </row>
        <row r="935">
          <cell r="E935" t="str">
            <v>S0033312</v>
          </cell>
          <cell r="F935" t="str">
            <v>SPS RIVERSIDE RD EAST FREMANTLE</v>
          </cell>
          <cell r="I935" t="str">
            <v>S0033318</v>
          </cell>
          <cell r="J935" t="str">
            <v>Main SB</v>
          </cell>
          <cell r="K935" t="str">
            <v>10467-10-1</v>
          </cell>
          <cell r="M935"/>
          <cell r="AF935">
            <v>1972</v>
          </cell>
          <cell r="AH935" t="str">
            <v>Dave Sutton</v>
          </cell>
          <cell r="AI935" t="str">
            <v>WC</v>
          </cell>
          <cell r="AJ935"/>
        </row>
        <row r="936">
          <cell r="E936" t="str">
            <v>S0033305</v>
          </cell>
          <cell r="F936" t="str">
            <v>SPS PRESTON POINT RD EAST FREMANTLE</v>
          </cell>
          <cell r="I936" t="str">
            <v>S0033311</v>
          </cell>
          <cell r="K936" t="str">
            <v>08478-10-1</v>
          </cell>
          <cell r="M936"/>
          <cell r="AF936">
            <v>1959</v>
          </cell>
          <cell r="AH936" t="str">
            <v>Dave Sutton</v>
          </cell>
          <cell r="AI936" t="str">
            <v>WC</v>
          </cell>
          <cell r="AJ936"/>
        </row>
        <row r="937">
          <cell r="E937" t="str">
            <v>S2019412</v>
          </cell>
          <cell r="F937" t="str">
            <v>SPS GNANGARA RD EAST HENLEY BROOK</v>
          </cell>
          <cell r="H937" t="str">
            <v>Supply Authority</v>
          </cell>
          <cell r="I937" t="str">
            <v>S2019840</v>
          </cell>
          <cell r="J937" t="str">
            <v>Main SB</v>
          </cell>
          <cell r="K937" t="str">
            <v>HL87-41-5</v>
          </cell>
          <cell r="M937">
            <v>315</v>
          </cell>
          <cell r="N937">
            <v>22</v>
          </cell>
          <cell r="O937">
            <v>415</v>
          </cell>
          <cell r="P937">
            <v>0.04</v>
          </cell>
          <cell r="S937" t="str">
            <v>XLPE/PVC</v>
          </cell>
          <cell r="T937" t="str">
            <v>4x1C 185mm2</v>
          </cell>
          <cell r="V937" t="str">
            <v>MCB</v>
          </cell>
          <cell r="W937">
            <v>250</v>
          </cell>
          <cell r="X937" t="str">
            <v>HL87-40-2</v>
          </cell>
          <cell r="AF937">
            <v>2007</v>
          </cell>
          <cell r="AH937" t="str">
            <v>Dave Sutton</v>
          </cell>
          <cell r="AI937" t="str">
            <v>WC</v>
          </cell>
          <cell r="AJ937"/>
        </row>
        <row r="938">
          <cell r="E938" t="str">
            <v>S0028674</v>
          </cell>
          <cell r="F938" t="str">
            <v>SPS VICTORIA RD EAST MALAGA</v>
          </cell>
          <cell r="H938" t="str">
            <v>Supply Authority</v>
          </cell>
          <cell r="I938" t="str">
            <v>S2003563</v>
          </cell>
          <cell r="J938" t="str">
            <v>Main SB</v>
          </cell>
          <cell r="K938" t="str">
            <v>CK56-41-5</v>
          </cell>
          <cell r="M938">
            <v>200</v>
          </cell>
          <cell r="O938">
            <v>415</v>
          </cell>
          <cell r="V938" t="str">
            <v>MCB</v>
          </cell>
          <cell r="W938">
            <v>63</v>
          </cell>
          <cell r="AF938">
            <v>1997</v>
          </cell>
          <cell r="AH938" t="str">
            <v>Dave Sutton</v>
          </cell>
          <cell r="AI938" t="str">
            <v>WC</v>
          </cell>
          <cell r="AJ938"/>
        </row>
        <row r="939">
          <cell r="E939" t="str">
            <v>S0030904</v>
          </cell>
          <cell r="F939" t="str">
            <v>SPS GLOUCESTER PARK EAST PERTH</v>
          </cell>
          <cell r="I939" t="str">
            <v>S0030910</v>
          </cell>
          <cell r="K939" t="str">
            <v xml:space="preserve">08659- - </v>
          </cell>
          <cell r="M939"/>
          <cell r="AF939">
            <v>1961</v>
          </cell>
          <cell r="AH939" t="str">
            <v>Dave Sutton</v>
          </cell>
          <cell r="AI939" t="str">
            <v>WC</v>
          </cell>
          <cell r="AJ939"/>
        </row>
        <row r="940">
          <cell r="E940" t="str">
            <v>S0030876</v>
          </cell>
          <cell r="F940" t="str">
            <v>SPS CAUSEWAY EAST PERTH</v>
          </cell>
          <cell r="H940" t="str">
            <v>SEC Supply</v>
          </cell>
          <cell r="I940" t="str">
            <v>S0030880</v>
          </cell>
          <cell r="J940" t="str">
            <v>Main SB</v>
          </cell>
          <cell r="K940" t="str">
            <v>BS02-41-3</v>
          </cell>
          <cell r="M940"/>
          <cell r="O940">
            <v>415</v>
          </cell>
          <cell r="S940" t="str">
            <v>XLPE/PVC</v>
          </cell>
          <cell r="T940" t="str">
            <v>16mm2</v>
          </cell>
          <cell r="V940" t="str">
            <v>Fuse</v>
          </cell>
          <cell r="W940">
            <v>50</v>
          </cell>
          <cell r="AF940">
            <v>1991</v>
          </cell>
          <cell r="AH940" t="str">
            <v>Dave Sutton</v>
          </cell>
          <cell r="AI940" t="str">
            <v>WC</v>
          </cell>
          <cell r="AJ940"/>
        </row>
        <row r="941">
          <cell r="E941" t="str">
            <v>S0030918</v>
          </cell>
          <cell r="F941" t="str">
            <v>SPS HENRY LAWSON WK EAST PERTH</v>
          </cell>
          <cell r="H941" t="str">
            <v>SEC Supply</v>
          </cell>
          <cell r="I941" t="str">
            <v>S2003492</v>
          </cell>
          <cell r="J941" t="str">
            <v>Main SB</v>
          </cell>
          <cell r="K941" t="str">
            <v>DB50-41-5</v>
          </cell>
          <cell r="M941"/>
          <cell r="O941">
            <v>415</v>
          </cell>
          <cell r="S941" t="str">
            <v>PVC/PVC</v>
          </cell>
          <cell r="T941" t="str">
            <v>16mm2</v>
          </cell>
          <cell r="V941" t="str">
            <v>MCB</v>
          </cell>
          <cell r="W941">
            <v>32</v>
          </cell>
          <cell r="AF941">
            <v>1995</v>
          </cell>
          <cell r="AH941" t="str">
            <v>Dave Sutton</v>
          </cell>
          <cell r="AI941" t="str">
            <v>WC</v>
          </cell>
          <cell r="AJ941"/>
        </row>
        <row r="942">
          <cell r="E942" t="str">
            <v>S2003482</v>
          </cell>
          <cell r="F942" t="str">
            <v>SPS ABERNETHY RD EAST PERTH AIRPORT</v>
          </cell>
          <cell r="H942" t="str">
            <v>Supply Authority</v>
          </cell>
          <cell r="I942" t="str">
            <v>S2003486</v>
          </cell>
          <cell r="J942" t="str">
            <v>Main SB</v>
          </cell>
          <cell r="K942" t="str">
            <v>EI40-41-5</v>
          </cell>
          <cell r="M942">
            <v>200</v>
          </cell>
          <cell r="O942">
            <v>415</v>
          </cell>
          <cell r="V942" t="str">
            <v>MCB</v>
          </cell>
          <cell r="W942">
            <v>32</v>
          </cell>
          <cell r="AF942">
            <v>2002</v>
          </cell>
          <cell r="AH942" t="str">
            <v>Dave Sutton</v>
          </cell>
          <cell r="AI942" t="str">
            <v>WC</v>
          </cell>
          <cell r="AJ942"/>
        </row>
        <row r="943">
          <cell r="E943" t="str">
            <v>S2013252</v>
          </cell>
          <cell r="F943" t="str">
            <v>SPS ALUMINA RD EAST ROCKINGHAM</v>
          </cell>
          <cell r="H943" t="str">
            <v>Supply Authority</v>
          </cell>
          <cell r="I943" t="str">
            <v>S2013256</v>
          </cell>
          <cell r="J943" t="str">
            <v>Main SB</v>
          </cell>
          <cell r="K943" t="str">
            <v>GK65-41-5</v>
          </cell>
          <cell r="M943">
            <v>200</v>
          </cell>
          <cell r="O943">
            <v>415</v>
          </cell>
          <cell r="S943" t="str">
            <v>PVC</v>
          </cell>
          <cell r="T943" t="str">
            <v>16mm2</v>
          </cell>
          <cell r="V943" t="str">
            <v>MCB</v>
          </cell>
          <cell r="W943">
            <v>63</v>
          </cell>
          <cell r="AF943">
            <v>2004</v>
          </cell>
          <cell r="AH943" t="str">
            <v>Dave Sutton</v>
          </cell>
          <cell r="AI943" t="str">
            <v>WC</v>
          </cell>
          <cell r="AJ943"/>
        </row>
        <row r="944">
          <cell r="E944" t="str">
            <v>D0036472</v>
          </cell>
          <cell r="F944" t="str">
            <v>DPS SOMERSET ST EAST VICTORIA PARK</v>
          </cell>
          <cell r="I944" t="str">
            <v>D0036476</v>
          </cell>
          <cell r="M944"/>
          <cell r="AF944">
            <v>1958</v>
          </cell>
          <cell r="AH944" t="str">
            <v>Dave Sutton</v>
          </cell>
          <cell r="AI944" t="str">
            <v>WC</v>
          </cell>
          <cell r="AJ944"/>
        </row>
        <row r="945">
          <cell r="E945" t="str">
            <v>S0034008</v>
          </cell>
          <cell r="F945" t="str">
            <v>SPS CARNARVON ST EAST VICTORIA PARK</v>
          </cell>
          <cell r="H945" t="str">
            <v>SEC Supply</v>
          </cell>
          <cell r="I945" t="str">
            <v>S0034012</v>
          </cell>
          <cell r="J945" t="str">
            <v>Main SB</v>
          </cell>
          <cell r="K945" t="str">
            <v>07530-40-2</v>
          </cell>
          <cell r="M945"/>
          <cell r="AF945">
            <v>1979</v>
          </cell>
          <cell r="AH945" t="str">
            <v>Dave Sutton</v>
          </cell>
          <cell r="AI945" t="str">
            <v>WC</v>
          </cell>
          <cell r="AJ945"/>
        </row>
        <row r="946">
          <cell r="E946" t="str">
            <v>S0034145</v>
          </cell>
          <cell r="F946" t="str">
            <v>SPS PATRICIA ST EAST VICTORIA PARK</v>
          </cell>
          <cell r="H946" t="str">
            <v>SEC Supply</v>
          </cell>
          <cell r="I946" t="str">
            <v>S0034149</v>
          </cell>
          <cell r="J946" t="str">
            <v>SB1</v>
          </cell>
          <cell r="K946" t="str">
            <v>07096-40-1</v>
          </cell>
          <cell r="M946"/>
          <cell r="S946" t="str">
            <v>PVC/PVC</v>
          </cell>
          <cell r="T946" t="str">
            <v>4x1C 6mm2</v>
          </cell>
          <cell r="V946" t="str">
            <v>Fuse</v>
          </cell>
          <cell r="AF946">
            <v>1981</v>
          </cell>
          <cell r="AH946" t="str">
            <v>Dave Sutton</v>
          </cell>
          <cell r="AI946" t="str">
            <v>WC</v>
          </cell>
          <cell r="AJ946"/>
        </row>
        <row r="947">
          <cell r="E947" t="str">
            <v>S0034188</v>
          </cell>
          <cell r="F947" t="str">
            <v>SPS WILLIS ST EAST VICTORIA PARK</v>
          </cell>
          <cell r="H947" t="str">
            <v>SEC Supply</v>
          </cell>
          <cell r="I947" t="str">
            <v>S0034192</v>
          </cell>
          <cell r="J947" t="str">
            <v>SB1</v>
          </cell>
          <cell r="K947" t="str">
            <v>07116-40-1</v>
          </cell>
          <cell r="M947"/>
          <cell r="S947" t="str">
            <v>PVC/PVC</v>
          </cell>
          <cell r="T947" t="str">
            <v>3x1C 6mm2</v>
          </cell>
          <cell r="V947" t="str">
            <v>MCB</v>
          </cell>
          <cell r="W947">
            <v>55</v>
          </cell>
          <cell r="AF947">
            <v>1981</v>
          </cell>
          <cell r="AH947" t="str">
            <v>Dave Sutton</v>
          </cell>
          <cell r="AI947" t="str">
            <v>WC</v>
          </cell>
          <cell r="AJ947"/>
        </row>
        <row r="948">
          <cell r="E948" t="str">
            <v>S0034079</v>
          </cell>
          <cell r="F948" t="str">
            <v>SPS HERTFORD ST EAST VICTORIA PARK</v>
          </cell>
          <cell r="I948" t="str">
            <v>S2020174</v>
          </cell>
          <cell r="M948"/>
          <cell r="AF948">
            <v>2004</v>
          </cell>
          <cell r="AH948" t="str">
            <v>Dave Sutton</v>
          </cell>
          <cell r="AI948" t="str">
            <v>WC</v>
          </cell>
          <cell r="AJ948"/>
        </row>
        <row r="949">
          <cell r="E949" t="str">
            <v>S0033977</v>
          </cell>
          <cell r="F949" t="str">
            <v>SPS BEATTY AV STH EAST VIC PARK</v>
          </cell>
          <cell r="H949" t="str">
            <v>SEC Supply</v>
          </cell>
          <cell r="I949" t="str">
            <v>S0033981</v>
          </cell>
          <cell r="J949" t="str">
            <v>Main SB</v>
          </cell>
          <cell r="K949" t="str">
            <v>DF88-41-2</v>
          </cell>
          <cell r="M949"/>
          <cell r="O949">
            <v>415</v>
          </cell>
          <cell r="S949" t="str">
            <v>PVC/PVC</v>
          </cell>
          <cell r="T949" t="str">
            <v>10mm2</v>
          </cell>
          <cell r="V949" t="str">
            <v>MCB</v>
          </cell>
          <cell r="W949">
            <v>32</v>
          </cell>
          <cell r="AF949">
            <v>1995</v>
          </cell>
          <cell r="AH949" t="str">
            <v>Dave Sutton</v>
          </cell>
          <cell r="AI949" t="str">
            <v>WC</v>
          </cell>
          <cell r="AJ949"/>
        </row>
        <row r="950">
          <cell r="E950" t="str">
            <v>S0030092</v>
          </cell>
          <cell r="F950" t="str">
            <v>SPS CHEDWORTH WY EDEN HILL</v>
          </cell>
          <cell r="I950" t="str">
            <v>S0030098</v>
          </cell>
          <cell r="J950" t="str">
            <v>Main SB</v>
          </cell>
          <cell r="K950" t="str">
            <v>14175-40-1</v>
          </cell>
          <cell r="M950"/>
          <cell r="AF950">
            <v>1975</v>
          </cell>
          <cell r="AH950" t="str">
            <v>Dave Sutton</v>
          </cell>
          <cell r="AI950" t="str">
            <v>WC</v>
          </cell>
          <cell r="AJ950"/>
        </row>
        <row r="951">
          <cell r="E951" t="str">
            <v>S0030210</v>
          </cell>
          <cell r="F951" t="str">
            <v>SPS WATKINS ST EDEN HILL</v>
          </cell>
          <cell r="H951" t="str">
            <v>SEC Supply</v>
          </cell>
          <cell r="I951" t="str">
            <v>S0030216</v>
          </cell>
          <cell r="J951" t="str">
            <v>Main SB</v>
          </cell>
          <cell r="K951" t="str">
            <v>14916-40-3</v>
          </cell>
          <cell r="M951"/>
          <cell r="V951" t="str">
            <v>MCB</v>
          </cell>
          <cell r="W951">
            <v>150</v>
          </cell>
          <cell r="AF951">
            <v>1978</v>
          </cell>
          <cell r="AH951" t="str">
            <v>Dave Sutton</v>
          </cell>
          <cell r="AI951" t="str">
            <v>WC</v>
          </cell>
          <cell r="AJ951"/>
        </row>
        <row r="952">
          <cell r="E952" t="str">
            <v>S0029160</v>
          </cell>
          <cell r="F952" t="str">
            <v>SPS BRONZEWING AV ELLENBROOK</v>
          </cell>
          <cell r="H952" t="str">
            <v>Supply Authority</v>
          </cell>
          <cell r="I952" t="str">
            <v>S2003507</v>
          </cell>
          <cell r="J952" t="str">
            <v>Main SB</v>
          </cell>
          <cell r="K952" t="str">
            <v>EO24-41-5</v>
          </cell>
          <cell r="M952"/>
          <cell r="S952" t="str">
            <v>PYROLEX</v>
          </cell>
          <cell r="T952" t="str">
            <v>16mm2</v>
          </cell>
          <cell r="V952" t="str">
            <v>MCB</v>
          </cell>
          <cell r="W952">
            <v>80</v>
          </cell>
          <cell r="AF952">
            <v>1998</v>
          </cell>
          <cell r="AH952" t="str">
            <v>Dave Sutton</v>
          </cell>
          <cell r="AI952" t="str">
            <v>WC</v>
          </cell>
          <cell r="AJ952"/>
        </row>
        <row r="953">
          <cell r="E953" t="str">
            <v>W0035331</v>
          </cell>
          <cell r="F953" t="str">
            <v>WPS BREWSTER CCT ELLENBROOK</v>
          </cell>
          <cell r="H953" t="str">
            <v>Supply Authority</v>
          </cell>
          <cell r="I953" t="str">
            <v>W2000258</v>
          </cell>
          <cell r="J953" t="str">
            <v>Main SB</v>
          </cell>
          <cell r="K953" t="str">
            <v>DM85-41-6</v>
          </cell>
          <cell r="M953">
            <v>100</v>
          </cell>
          <cell r="N953">
            <v>22</v>
          </cell>
          <cell r="O953">
            <v>415</v>
          </cell>
          <cell r="S953" t="str">
            <v>PVC/PVC</v>
          </cell>
          <cell r="T953" t="str">
            <v>120mm2</v>
          </cell>
          <cell r="V953" t="str">
            <v>MCB</v>
          </cell>
          <cell r="W953">
            <v>250</v>
          </cell>
          <cell r="AF953">
            <v>1998</v>
          </cell>
          <cell r="AH953" t="str">
            <v>Dave Sutton</v>
          </cell>
          <cell r="AI953" t="str">
            <v>WC</v>
          </cell>
          <cell r="AJ953"/>
        </row>
        <row r="954">
          <cell r="E954" t="str">
            <v>S0029167</v>
          </cell>
          <cell r="F954" t="str">
            <v>SPS KYEEMA WY ELLENBROOK</v>
          </cell>
          <cell r="I954" t="str">
            <v>S2003542</v>
          </cell>
          <cell r="M954"/>
          <cell r="AF954">
            <v>1998</v>
          </cell>
          <cell r="AH954" t="str">
            <v>Dave Sutton</v>
          </cell>
          <cell r="AI954" t="str">
            <v>WC</v>
          </cell>
          <cell r="AJ954"/>
        </row>
        <row r="955">
          <cell r="E955" t="str">
            <v>S2019212</v>
          </cell>
          <cell r="F955" t="str">
            <v>SPS FARMANER PWY ELLENBROOK</v>
          </cell>
          <cell r="H955" t="str">
            <v>Supply Authority</v>
          </cell>
          <cell r="I955" t="str">
            <v>S2019823</v>
          </cell>
          <cell r="J955" t="str">
            <v>Main SB</v>
          </cell>
          <cell r="K955" t="str">
            <v>IT38-41-5</v>
          </cell>
          <cell r="M955"/>
          <cell r="N955">
            <v>22</v>
          </cell>
          <cell r="O955">
            <v>415</v>
          </cell>
          <cell r="S955" t="str">
            <v>EPR/EPR</v>
          </cell>
          <cell r="T955" t="str">
            <v>16mm2</v>
          </cell>
          <cell r="V955" t="str">
            <v>Fuse</v>
          </cell>
          <cell r="W955">
            <v>60</v>
          </cell>
          <cell r="X955" t="str">
            <v>IT38-40-2</v>
          </cell>
          <cell r="AF955">
            <v>2007</v>
          </cell>
          <cell r="AH955" t="str">
            <v>Dave Sutton</v>
          </cell>
          <cell r="AI955" t="str">
            <v>WC</v>
          </cell>
          <cell r="AJ955"/>
        </row>
        <row r="956">
          <cell r="E956" t="str">
            <v>S0044548</v>
          </cell>
          <cell r="F956" t="str">
            <v>SPS SKYLARK LOOP ERSKINE</v>
          </cell>
          <cell r="H956" t="str">
            <v>SEC Supply</v>
          </cell>
          <cell r="I956" t="str">
            <v>S8003366</v>
          </cell>
          <cell r="J956" t="str">
            <v>Main SB</v>
          </cell>
          <cell r="K956" t="str">
            <v>BU06-41-4</v>
          </cell>
          <cell r="M956"/>
          <cell r="V956" t="str">
            <v>Fuse</v>
          </cell>
          <cell r="W956">
            <v>100</v>
          </cell>
          <cell r="AF956">
            <v>1989</v>
          </cell>
          <cell r="AH956" t="str">
            <v>Dave Sutton</v>
          </cell>
          <cell r="AI956" t="str">
            <v>WC</v>
          </cell>
          <cell r="AJ956"/>
        </row>
        <row r="957">
          <cell r="E957" t="str">
            <v>S0044598</v>
          </cell>
          <cell r="F957" t="str">
            <v>SPS SILVERTON CRES ERSKINE</v>
          </cell>
          <cell r="H957" t="str">
            <v>SEC Supply</v>
          </cell>
          <cell r="I957" t="str">
            <v>S8004302</v>
          </cell>
          <cell r="J957" t="str">
            <v>Main SB</v>
          </cell>
          <cell r="K957" t="str">
            <v>BX79-41-4</v>
          </cell>
          <cell r="M957"/>
          <cell r="O957">
            <v>415</v>
          </cell>
          <cell r="V957" t="str">
            <v>MCB</v>
          </cell>
          <cell r="W957">
            <v>100</v>
          </cell>
          <cell r="AF957">
            <v>1988</v>
          </cell>
          <cell r="AH957" t="str">
            <v>Dave Sutton</v>
          </cell>
          <cell r="AI957" t="str">
            <v>WC</v>
          </cell>
          <cell r="AJ957"/>
        </row>
        <row r="958">
          <cell r="E958" t="str">
            <v>S8007097</v>
          </cell>
          <cell r="F958" t="str">
            <v>SPS OAKLEIGH DR ERSKINE</v>
          </cell>
          <cell r="H958" t="str">
            <v>Supply Authority</v>
          </cell>
          <cell r="I958" t="str">
            <v>S8007103</v>
          </cell>
          <cell r="J958" t="str">
            <v>Main SB</v>
          </cell>
          <cell r="K958" t="str">
            <v>GV46-41-5</v>
          </cell>
          <cell r="M958"/>
          <cell r="S958" t="str">
            <v>XLPE/PVC</v>
          </cell>
          <cell r="T958" t="str">
            <v>3x1C 25mm2</v>
          </cell>
          <cell r="V958" t="str">
            <v>MCB</v>
          </cell>
          <cell r="W958">
            <v>160</v>
          </cell>
          <cell r="AF958">
            <v>2004</v>
          </cell>
          <cell r="AH958" t="str">
            <v>Dave Sutton</v>
          </cell>
          <cell r="AI958" t="str">
            <v>WC</v>
          </cell>
          <cell r="AJ958"/>
        </row>
        <row r="959">
          <cell r="E959" t="str">
            <v>S8000280</v>
          </cell>
          <cell r="F959" t="str">
            <v>VPS OLIVE RD FALCON</v>
          </cell>
          <cell r="H959" t="str">
            <v>Metering and Automatic Changeover Cubicle</v>
          </cell>
          <cell r="I959" t="str">
            <v>S8000287</v>
          </cell>
          <cell r="J959" t="str">
            <v>Incoming and Sewage Pumps Control Cubicle</v>
          </cell>
          <cell r="K959" t="str">
            <v>EB09-41-5</v>
          </cell>
          <cell r="M959"/>
          <cell r="S959" t="str">
            <v>XLPE</v>
          </cell>
          <cell r="T959" t="str">
            <v>25mm2</v>
          </cell>
          <cell r="V959" t="str">
            <v>MCB</v>
          </cell>
          <cell r="W959">
            <v>100</v>
          </cell>
          <cell r="AF959">
            <v>1996</v>
          </cell>
          <cell r="AH959" t="str">
            <v>Dave Sutton</v>
          </cell>
          <cell r="AI959" t="str">
            <v>WC</v>
          </cell>
          <cell r="AJ959" t="str">
            <v>Genset onsite (100kVA)</v>
          </cell>
        </row>
        <row r="960">
          <cell r="E960" t="str">
            <v>S8009263</v>
          </cell>
          <cell r="F960" t="str">
            <v>SPS PLEASANT GROVE CIR FALCON</v>
          </cell>
          <cell r="I960" t="str">
            <v>S8009268</v>
          </cell>
          <cell r="J960" t="str">
            <v>Main SB</v>
          </cell>
          <cell r="K960" t="str">
            <v>FX48-42-3</v>
          </cell>
          <cell r="M960"/>
          <cell r="O960">
            <v>415</v>
          </cell>
          <cell r="V960" t="str">
            <v>Fuse</v>
          </cell>
          <cell r="W960">
            <v>60</v>
          </cell>
          <cell r="X960" t="str">
            <v>FX48-40-2</v>
          </cell>
          <cell r="AF960">
            <v>2007</v>
          </cell>
          <cell r="AH960" t="str">
            <v>Dave Sutton</v>
          </cell>
          <cell r="AI960" t="str">
            <v>WC</v>
          </cell>
          <cell r="AJ960"/>
        </row>
        <row r="961">
          <cell r="E961" t="str">
            <v>S8014601</v>
          </cell>
          <cell r="F961" t="str">
            <v>VPS DAMPIER AV FALCON</v>
          </cell>
          <cell r="I961" t="str">
            <v>S2034732</v>
          </cell>
          <cell r="M961"/>
          <cell r="AF961">
            <v>2011</v>
          </cell>
          <cell r="AH961" t="str">
            <v>Dave Sutton</v>
          </cell>
          <cell r="AI961" t="str">
            <v>WC</v>
          </cell>
          <cell r="AJ961"/>
        </row>
        <row r="962">
          <cell r="E962" t="str">
            <v>S8000280</v>
          </cell>
          <cell r="F962" t="str">
            <v>VPS OLIVE RD FALCON</v>
          </cell>
          <cell r="H962" t="str">
            <v>Incoming and Sewage Pumps Control Cubicle</v>
          </cell>
          <cell r="J962" t="str">
            <v>Lighting and small power DB</v>
          </cell>
          <cell r="K962" t="str">
            <v>EB09-41-5</v>
          </cell>
          <cell r="M962"/>
          <cell r="V962" t="str">
            <v>MCB</v>
          </cell>
          <cell r="W962">
            <v>40</v>
          </cell>
          <cell r="AF962">
            <v>1996</v>
          </cell>
          <cell r="AH962" t="str">
            <v>Dave Sutton</v>
          </cell>
          <cell r="AI962" t="str">
            <v>WC</v>
          </cell>
          <cell r="AJ962" t="str">
            <v>Genset onsite (100kVA)</v>
          </cell>
        </row>
        <row r="963">
          <cell r="E963" t="str">
            <v>S8000280</v>
          </cell>
          <cell r="F963" t="str">
            <v>VPS OLIVE RD FALCON</v>
          </cell>
          <cell r="H963" t="str">
            <v>Supply Authority</v>
          </cell>
          <cell r="J963" t="str">
            <v>Metering and Automatic Changeover Cubicle</v>
          </cell>
          <cell r="K963" t="str">
            <v>EB09-42-5</v>
          </cell>
          <cell r="M963"/>
          <cell r="O963">
            <v>415</v>
          </cell>
          <cell r="S963" t="str">
            <v>XLPE</v>
          </cell>
          <cell r="T963" t="str">
            <v>3x1C 25mm2</v>
          </cell>
          <cell r="V963" t="str">
            <v>MCB</v>
          </cell>
          <cell r="W963">
            <v>160</v>
          </cell>
          <cell r="AF963">
            <v>1996</v>
          </cell>
          <cell r="AH963" t="str">
            <v>Dave Sutton</v>
          </cell>
          <cell r="AI963" t="str">
            <v>WC</v>
          </cell>
          <cell r="AJ963" t="str">
            <v>Genset onsite (100kVA)</v>
          </cell>
        </row>
        <row r="964">
          <cell r="E964" t="str">
            <v>S8009263</v>
          </cell>
          <cell r="F964" t="str">
            <v>SPS PLEASANT GROVE CIR FALCON</v>
          </cell>
          <cell r="H964" t="str">
            <v>Main SB</v>
          </cell>
          <cell r="J964" t="str">
            <v>Pump Station SB</v>
          </cell>
          <cell r="K964" t="str">
            <v>FX48-41-5</v>
          </cell>
          <cell r="M964"/>
          <cell r="O964">
            <v>415</v>
          </cell>
          <cell r="S964" t="str">
            <v>PVC/PVC</v>
          </cell>
          <cell r="T964" t="str">
            <v>1x4C 16mm2</v>
          </cell>
          <cell r="V964" t="str">
            <v>MCB</v>
          </cell>
          <cell r="W964">
            <v>60</v>
          </cell>
          <cell r="X964" t="str">
            <v>FX48-40-2</v>
          </cell>
          <cell r="AF964">
            <v>2007</v>
          </cell>
          <cell r="AH964" t="str">
            <v>Dave Sutton</v>
          </cell>
          <cell r="AI964" t="str">
            <v>WC</v>
          </cell>
          <cell r="AJ964"/>
        </row>
        <row r="965">
          <cell r="E965" t="str">
            <v>S0034312</v>
          </cell>
          <cell r="F965" t="str">
            <v>SPS HIBBERTIA CR FERNDALE</v>
          </cell>
          <cell r="I965" t="str">
            <v>S0034318</v>
          </cell>
          <cell r="J965" t="str">
            <v>Main SB</v>
          </cell>
          <cell r="K965" t="str">
            <v>12132-40-2</v>
          </cell>
          <cell r="M965"/>
          <cell r="V965" t="str">
            <v>Fuse</v>
          </cell>
          <cell r="W965">
            <v>100</v>
          </cell>
          <cell r="AF965">
            <v>1973</v>
          </cell>
          <cell r="AH965" t="str">
            <v>Dave Sutton</v>
          </cell>
          <cell r="AI965" t="str">
            <v>WC</v>
          </cell>
          <cell r="AJ965"/>
        </row>
        <row r="966">
          <cell r="E966" t="str">
            <v>S0034319</v>
          </cell>
          <cell r="F966" t="str">
            <v>SPS HIGH RD FERNDALE</v>
          </cell>
          <cell r="I966" t="str">
            <v>S0034326</v>
          </cell>
          <cell r="J966" t="str">
            <v>Main SB</v>
          </cell>
          <cell r="K966" t="str">
            <v>14594-40-5</v>
          </cell>
          <cell r="M966"/>
          <cell r="AF966">
            <v>1975</v>
          </cell>
          <cell r="AH966" t="str">
            <v>Dave Sutton</v>
          </cell>
          <cell r="AI966" t="str">
            <v>WC</v>
          </cell>
          <cell r="AJ966"/>
        </row>
        <row r="967">
          <cell r="E967" t="str">
            <v>S0034284</v>
          </cell>
          <cell r="F967" t="str">
            <v>SPS EASTFIELD CT FERNDALE</v>
          </cell>
          <cell r="I967" t="str">
            <v>S0034290</v>
          </cell>
          <cell r="J967" t="str">
            <v>Main SB</v>
          </cell>
          <cell r="K967" t="str">
            <v>10627-10-1</v>
          </cell>
          <cell r="M967"/>
          <cell r="V967" t="str">
            <v>Fuse</v>
          </cell>
          <cell r="W967">
            <v>20</v>
          </cell>
          <cell r="AF967">
            <v>1971</v>
          </cell>
          <cell r="AH967" t="str">
            <v>Dave Sutton</v>
          </cell>
          <cell r="AI967" t="str">
            <v>WC</v>
          </cell>
          <cell r="AJ967"/>
        </row>
        <row r="968">
          <cell r="E968" t="str">
            <v>S0034270</v>
          </cell>
          <cell r="F968" t="str">
            <v>SPS CONISTON WY FERNDALE</v>
          </cell>
          <cell r="H968" t="str">
            <v>SEC Supply</v>
          </cell>
          <cell r="I968" t="str">
            <v>S0034276</v>
          </cell>
          <cell r="J968" t="str">
            <v>Main SB</v>
          </cell>
          <cell r="K968" t="str">
            <v>11471-40-2</v>
          </cell>
          <cell r="M968"/>
          <cell r="V968" t="str">
            <v>Fuse</v>
          </cell>
          <cell r="W968">
            <v>36</v>
          </cell>
          <cell r="AF968">
            <v>1972</v>
          </cell>
          <cell r="AH968" t="str">
            <v>Dave Sutton</v>
          </cell>
          <cell r="AI968" t="str">
            <v>WC</v>
          </cell>
          <cell r="AJ968"/>
        </row>
        <row r="969">
          <cell r="E969" t="str">
            <v>S0034242</v>
          </cell>
          <cell r="F969" t="str">
            <v>SPS CAMSELL WY FERNDALE</v>
          </cell>
          <cell r="I969" t="str">
            <v>S0034248</v>
          </cell>
          <cell r="K969" t="str">
            <v>13195-4-11</v>
          </cell>
          <cell r="M969"/>
          <cell r="AF969">
            <v>1974</v>
          </cell>
          <cell r="AH969" t="str">
            <v>Dave Sutton</v>
          </cell>
          <cell r="AI969" t="str">
            <v>WC</v>
          </cell>
          <cell r="AJ969"/>
        </row>
        <row r="970">
          <cell r="E970" t="str">
            <v>S0034464</v>
          </cell>
          <cell r="F970" t="str">
            <v>SPS WILLCOCK ST FERNDALE</v>
          </cell>
          <cell r="I970" t="str">
            <v>S0034470</v>
          </cell>
          <cell r="K970" t="str">
            <v>13196-5-12</v>
          </cell>
          <cell r="M970"/>
          <cell r="V970" t="str">
            <v>Fuse</v>
          </cell>
          <cell r="W970">
            <v>60</v>
          </cell>
          <cell r="AF970">
            <v>1974</v>
          </cell>
          <cell r="AH970" t="str">
            <v>Dave Sutton</v>
          </cell>
          <cell r="AI970" t="str">
            <v>WC</v>
          </cell>
          <cell r="AJ970"/>
        </row>
        <row r="971">
          <cell r="E971" t="str">
            <v>S0034305</v>
          </cell>
          <cell r="F971" t="str">
            <v>SPS GLEN CT FERNDALE</v>
          </cell>
          <cell r="I971" t="str">
            <v>S0034311</v>
          </cell>
          <cell r="J971" t="str">
            <v>Main SB</v>
          </cell>
          <cell r="K971" t="str">
            <v>15798-40-3</v>
          </cell>
          <cell r="M971"/>
          <cell r="AF971">
            <v>1976</v>
          </cell>
          <cell r="AH971" t="str">
            <v>Dave Sutton</v>
          </cell>
          <cell r="AI971" t="str">
            <v>WC</v>
          </cell>
          <cell r="AJ971"/>
        </row>
        <row r="972">
          <cell r="E972" t="str">
            <v>D0036232</v>
          </cell>
          <cell r="F972" t="str">
            <v>DPS SELBY ST FLOREAT</v>
          </cell>
          <cell r="H972" t="str">
            <v>SPS Crosby St Main SB</v>
          </cell>
          <cell r="I972" t="str">
            <v>D0036236</v>
          </cell>
          <cell r="K972" t="str">
            <v>14320-40-2</v>
          </cell>
          <cell r="M972"/>
          <cell r="V972" t="str">
            <v>Fuse</v>
          </cell>
          <cell r="W972">
            <v>60</v>
          </cell>
          <cell r="AF972">
            <v>1978</v>
          </cell>
          <cell r="AH972" t="str">
            <v>Dave Sutton</v>
          </cell>
          <cell r="AI972" t="str">
            <v>WC</v>
          </cell>
          <cell r="AJ972"/>
        </row>
        <row r="973">
          <cell r="E973" t="str">
            <v>S0031678</v>
          </cell>
          <cell r="F973" t="str">
            <v>SPS CROSBY ST FLOREAT</v>
          </cell>
          <cell r="H973" t="str">
            <v>SEC Supply</v>
          </cell>
          <cell r="I973" t="str">
            <v>S0031682</v>
          </cell>
          <cell r="J973" t="str">
            <v>Main SB</v>
          </cell>
          <cell r="K973" t="str">
            <v>07951-40-1</v>
          </cell>
          <cell r="M973"/>
          <cell r="V973" t="str">
            <v>Fuse</v>
          </cell>
          <cell r="W973">
            <v>100</v>
          </cell>
          <cell r="AF973">
            <v>1978</v>
          </cell>
          <cell r="AH973" t="str">
            <v>Dave Sutton</v>
          </cell>
          <cell r="AI973" t="str">
            <v>WC</v>
          </cell>
          <cell r="AJ973"/>
        </row>
        <row r="974">
          <cell r="E974" t="str">
            <v>S0032021</v>
          </cell>
          <cell r="F974" t="str">
            <v>SPS PERRY LAKES FLOREAT</v>
          </cell>
          <cell r="H974" t="str">
            <v>SEC Supply</v>
          </cell>
          <cell r="I974" t="str">
            <v>S0032027</v>
          </cell>
          <cell r="J974" t="str">
            <v>Main SB</v>
          </cell>
          <cell r="K974" t="str">
            <v>DK76-41-5</v>
          </cell>
          <cell r="M974"/>
          <cell r="O974">
            <v>415</v>
          </cell>
          <cell r="S974" t="str">
            <v>PYROLEX</v>
          </cell>
          <cell r="T974" t="str">
            <v>10mm2</v>
          </cell>
          <cell r="V974" t="str">
            <v>MCB</v>
          </cell>
          <cell r="W974">
            <v>63</v>
          </cell>
          <cell r="AF974">
            <v>1995</v>
          </cell>
          <cell r="AH974" t="str">
            <v>Dave Sutton</v>
          </cell>
          <cell r="AI974" t="str">
            <v>WC</v>
          </cell>
          <cell r="AJ974"/>
        </row>
        <row r="975">
          <cell r="E975" t="str">
            <v>S2019199</v>
          </cell>
          <cell r="F975" t="str">
            <v>SPS DA VINCI WY FORRESTDALE</v>
          </cell>
          <cell r="H975" t="str">
            <v>Supply Authority</v>
          </cell>
          <cell r="I975" t="str">
            <v>S2030528</v>
          </cell>
          <cell r="J975" t="str">
            <v>Main SB</v>
          </cell>
          <cell r="K975" t="str">
            <v>IR86-41-5</v>
          </cell>
          <cell r="M975"/>
          <cell r="N975">
            <v>22</v>
          </cell>
          <cell r="O975">
            <v>415</v>
          </cell>
          <cell r="S975" t="str">
            <v>XLPE/PVC</v>
          </cell>
          <cell r="T975" t="str">
            <v>4x1C 25mm2</v>
          </cell>
          <cell r="V975" t="str">
            <v>Fuse</v>
          </cell>
          <cell r="W975">
            <v>100</v>
          </cell>
          <cell r="X975" t="str">
            <v>IR86-40-2</v>
          </cell>
          <cell r="AF975">
            <v>2010</v>
          </cell>
          <cell r="AH975" t="str">
            <v>Dave Sutton</v>
          </cell>
          <cell r="AI975" t="str">
            <v>WC</v>
          </cell>
          <cell r="AJ975"/>
        </row>
        <row r="976">
          <cell r="E976" t="str">
            <v>S0032970</v>
          </cell>
          <cell r="F976" t="str">
            <v>SPS DUBS CL FORRESTFIELD</v>
          </cell>
          <cell r="H976" t="str">
            <v>Supply Authority</v>
          </cell>
          <cell r="I976" t="str">
            <v>S0032974</v>
          </cell>
          <cell r="J976" t="str">
            <v>Main SB</v>
          </cell>
          <cell r="K976" t="str">
            <v>EJ46-41-5</v>
          </cell>
          <cell r="M976">
            <v>100</v>
          </cell>
          <cell r="O976">
            <v>415</v>
          </cell>
          <cell r="S976" t="str">
            <v>PYROLEX</v>
          </cell>
          <cell r="T976" t="str">
            <v>3x1C 35mm2</v>
          </cell>
          <cell r="V976" t="str">
            <v>MCB</v>
          </cell>
          <cell r="W976">
            <v>63</v>
          </cell>
          <cell r="AF976">
            <v>1998</v>
          </cell>
          <cell r="AH976" t="str">
            <v>Dave Sutton</v>
          </cell>
          <cell r="AI976" t="str">
            <v>WC</v>
          </cell>
          <cell r="AJ976"/>
        </row>
        <row r="977">
          <cell r="E977" t="str">
            <v>S0033210</v>
          </cell>
          <cell r="F977" t="str">
            <v>SPS ESSEX ST FREMANTLE</v>
          </cell>
          <cell r="I977" t="str">
            <v>S0033216</v>
          </cell>
          <cell r="K977" t="str">
            <v xml:space="preserve">14648- - </v>
          </cell>
          <cell r="M977"/>
          <cell r="AF977">
            <v>1979</v>
          </cell>
          <cell r="AH977" t="str">
            <v>Dave Sutton</v>
          </cell>
          <cell r="AI977" t="str">
            <v>WC</v>
          </cell>
          <cell r="AJ977"/>
        </row>
        <row r="978">
          <cell r="E978" t="str">
            <v>S0033245</v>
          </cell>
          <cell r="F978" t="str">
            <v>SPS MARKET ST FREMANTLE</v>
          </cell>
          <cell r="I978" t="str">
            <v>S0033251</v>
          </cell>
          <cell r="K978" t="str">
            <v xml:space="preserve">01728- - </v>
          </cell>
          <cell r="M978"/>
          <cell r="AF978">
            <v>1913</v>
          </cell>
          <cell r="AH978" t="str">
            <v>Dave Sutton</v>
          </cell>
          <cell r="AI978" t="str">
            <v>WC</v>
          </cell>
          <cell r="AJ978"/>
        </row>
        <row r="979">
          <cell r="E979" t="str">
            <v>S0033186</v>
          </cell>
          <cell r="F979" t="str">
            <v>SPS BEACH ST FREMANTLE</v>
          </cell>
          <cell r="I979" t="str">
            <v>S0033192</v>
          </cell>
          <cell r="K979" t="str">
            <v xml:space="preserve">03076- - </v>
          </cell>
          <cell r="M979"/>
          <cell r="AF979">
            <v>1916</v>
          </cell>
          <cell r="AH979" t="str">
            <v>Dave Sutton</v>
          </cell>
          <cell r="AI979" t="str">
            <v>WC</v>
          </cell>
          <cell r="AJ979"/>
        </row>
        <row r="980">
          <cell r="E980" t="str">
            <v>W0034938</v>
          </cell>
          <cell r="F980" t="str">
            <v>WPS SWANBOURNE ST FREMANTLE</v>
          </cell>
          <cell r="I980" t="str">
            <v>W0034943</v>
          </cell>
          <cell r="M980"/>
          <cell r="AF980">
            <v>1955</v>
          </cell>
          <cell r="AH980" t="str">
            <v>Dave Sutton</v>
          </cell>
          <cell r="AI980" t="str">
            <v>WC</v>
          </cell>
          <cell r="AJ980"/>
        </row>
        <row r="981">
          <cell r="E981" t="str">
            <v>S0033721</v>
          </cell>
          <cell r="F981" t="str">
            <v>SPS HOLLAND ST FREMANTLE</v>
          </cell>
          <cell r="I981" t="str">
            <v>S0033727</v>
          </cell>
          <cell r="K981" t="str">
            <v>09754-40-1</v>
          </cell>
          <cell r="M981"/>
          <cell r="AF981">
            <v>1957</v>
          </cell>
          <cell r="AH981" t="str">
            <v>Dave Sutton</v>
          </cell>
          <cell r="AI981" t="str">
            <v>WC</v>
          </cell>
          <cell r="AJ981"/>
        </row>
        <row r="982">
          <cell r="E982" t="str">
            <v>S0033728</v>
          </cell>
          <cell r="F982" t="str">
            <v>SPS IRWIN ST FREMANTLE</v>
          </cell>
          <cell r="I982" t="str">
            <v>S0033734</v>
          </cell>
          <cell r="K982" t="str">
            <v>09755-40-1</v>
          </cell>
          <cell r="M982"/>
          <cell r="AF982">
            <v>1967</v>
          </cell>
          <cell r="AH982" t="str">
            <v>Dave Sutton</v>
          </cell>
          <cell r="AI982" t="str">
            <v>WC</v>
          </cell>
          <cell r="AJ982"/>
        </row>
        <row r="983">
          <cell r="E983" t="str">
            <v>S0044768</v>
          </cell>
          <cell r="F983" t="str">
            <v>VPS RONLYN RD FURNISSDALE</v>
          </cell>
          <cell r="H983" t="str">
            <v>Supply Authority</v>
          </cell>
          <cell r="I983" t="str">
            <v>S8007188</v>
          </cell>
          <cell r="J983" t="str">
            <v>Main SB</v>
          </cell>
          <cell r="K983" t="str">
            <v>DS21-41-5</v>
          </cell>
          <cell r="M983"/>
          <cell r="O983">
            <v>415</v>
          </cell>
          <cell r="S983" t="str">
            <v>XLPE</v>
          </cell>
          <cell r="T983" t="str">
            <v>1x4C 16mm2</v>
          </cell>
          <cell r="V983" t="str">
            <v>MCB</v>
          </cell>
          <cell r="W983">
            <v>63</v>
          </cell>
          <cell r="AF983">
            <v>1996</v>
          </cell>
          <cell r="AH983" t="str">
            <v>Dave Sutton</v>
          </cell>
          <cell r="AI983" t="str">
            <v>WC</v>
          </cell>
          <cell r="AJ983" t="str">
            <v>Genset onsite (100kVA)</v>
          </cell>
        </row>
        <row r="984">
          <cell r="E984" t="str">
            <v>S0028538</v>
          </cell>
          <cell r="F984" t="str">
            <v>SPS LIDDELL ST GIRRAWHEEN</v>
          </cell>
          <cell r="H984" t="str">
            <v>SEC Supply</v>
          </cell>
          <cell r="I984" t="str">
            <v>S0028544</v>
          </cell>
          <cell r="J984" t="str">
            <v>Main SB</v>
          </cell>
          <cell r="K984" t="str">
            <v>DN38-41-5</v>
          </cell>
          <cell r="M984"/>
          <cell r="O984">
            <v>415</v>
          </cell>
          <cell r="V984" t="str">
            <v>MCB</v>
          </cell>
          <cell r="W984">
            <v>50</v>
          </cell>
          <cell r="AF984">
            <v>1995</v>
          </cell>
          <cell r="AH984" t="str">
            <v>Dave Sutton</v>
          </cell>
          <cell r="AI984" t="str">
            <v>WC</v>
          </cell>
          <cell r="AJ984"/>
        </row>
        <row r="985">
          <cell r="E985" t="str">
            <v>S0033476</v>
          </cell>
          <cell r="F985" t="str">
            <v>SPS MILLS RD GOSNELLS</v>
          </cell>
          <cell r="I985" t="str">
            <v>S0033480</v>
          </cell>
          <cell r="J985" t="str">
            <v>SB1</v>
          </cell>
          <cell r="K985" t="str">
            <v>17830-40-1</v>
          </cell>
          <cell r="M985">
            <v>25</v>
          </cell>
          <cell r="N985">
            <v>22</v>
          </cell>
          <cell r="O985">
            <v>440</v>
          </cell>
          <cell r="V985" t="str">
            <v>Fuse</v>
          </cell>
          <cell r="W985">
            <v>100</v>
          </cell>
          <cell r="AF985">
            <v>1982</v>
          </cell>
          <cell r="AH985" t="str">
            <v>Dave Sutton</v>
          </cell>
          <cell r="AI985" t="str">
            <v>WC</v>
          </cell>
          <cell r="AJ985"/>
        </row>
        <row r="986">
          <cell r="E986" t="str">
            <v>W0035931</v>
          </cell>
          <cell r="F986" t="str">
            <v>WPS MILLEARA RD GOSNELLS</v>
          </cell>
          <cell r="I986" t="str">
            <v>W0035936</v>
          </cell>
          <cell r="K986" t="str">
            <v xml:space="preserve">12045- - </v>
          </cell>
          <cell r="M986"/>
          <cell r="AF986">
            <v>1975</v>
          </cell>
          <cell r="AH986" t="str">
            <v>Dave Sutton</v>
          </cell>
          <cell r="AI986" t="str">
            <v>WC</v>
          </cell>
          <cell r="AJ986"/>
        </row>
        <row r="987">
          <cell r="E987" t="str">
            <v>S0033402</v>
          </cell>
          <cell r="F987" t="str">
            <v>SPS CORFIELD ST GOSNELLS</v>
          </cell>
          <cell r="H987" t="str">
            <v>SEC Supply</v>
          </cell>
          <cell r="I987" t="str">
            <v>S0033406</v>
          </cell>
          <cell r="J987" t="str">
            <v>SB1</v>
          </cell>
          <cell r="K987" t="str">
            <v>17663-40-1</v>
          </cell>
          <cell r="M987"/>
          <cell r="V987" t="str">
            <v>MCB</v>
          </cell>
          <cell r="W987">
            <v>80</v>
          </cell>
          <cell r="AF987">
            <v>1982</v>
          </cell>
          <cell r="AH987" t="str">
            <v>Dave Sutton</v>
          </cell>
          <cell r="AI987" t="str">
            <v>WC</v>
          </cell>
          <cell r="AJ987"/>
        </row>
        <row r="988">
          <cell r="E988" t="str">
            <v>S0033378</v>
          </cell>
          <cell r="F988" t="str">
            <v>SPS ASTLEY ST GOSNELLS</v>
          </cell>
          <cell r="H988" t="str">
            <v>SEC Supply</v>
          </cell>
          <cell r="I988" t="str">
            <v>S0033382</v>
          </cell>
          <cell r="J988" t="str">
            <v>SB1</v>
          </cell>
          <cell r="K988" t="str">
            <v>18455-40-1</v>
          </cell>
          <cell r="M988"/>
          <cell r="V988" t="str">
            <v>Fuse</v>
          </cell>
          <cell r="W988">
            <v>40</v>
          </cell>
          <cell r="AF988">
            <v>1986</v>
          </cell>
          <cell r="AH988" t="str">
            <v>Dave Sutton</v>
          </cell>
          <cell r="AI988" t="str">
            <v>WC</v>
          </cell>
          <cell r="AJ988"/>
        </row>
        <row r="989">
          <cell r="E989" t="str">
            <v>S0033431</v>
          </cell>
          <cell r="F989" t="str">
            <v>SPS HOMESTEAD RD GOSNELLS</v>
          </cell>
          <cell r="H989" t="str">
            <v>SEC Supply</v>
          </cell>
          <cell r="I989" t="str">
            <v>S0033435</v>
          </cell>
          <cell r="J989" t="str">
            <v>Main SB</v>
          </cell>
          <cell r="K989" t="str">
            <v>BQ01-41-5</v>
          </cell>
          <cell r="M989">
            <v>100</v>
          </cell>
          <cell r="N989">
            <v>22</v>
          </cell>
          <cell r="O989">
            <v>415</v>
          </cell>
          <cell r="S989" t="str">
            <v>XLPE/PVC</v>
          </cell>
          <cell r="T989" t="str">
            <v>3x1C 50mm2</v>
          </cell>
          <cell r="V989" t="str">
            <v>Fuse</v>
          </cell>
          <cell r="AF989">
            <v>1992</v>
          </cell>
          <cell r="AH989" t="str">
            <v>Dave Sutton</v>
          </cell>
          <cell r="AI989" t="str">
            <v>WC</v>
          </cell>
          <cell r="AJ989"/>
        </row>
        <row r="990">
          <cell r="E990" t="str">
            <v>S0033443</v>
          </cell>
          <cell r="F990" t="str">
            <v>SPS JAMES ST GOSNELLS</v>
          </cell>
          <cell r="H990" t="str">
            <v>Supply Authority</v>
          </cell>
          <cell r="I990" t="str">
            <v>S0033447</v>
          </cell>
          <cell r="J990" t="str">
            <v>Main SB</v>
          </cell>
          <cell r="K990" t="str">
            <v>EC60-41-5</v>
          </cell>
          <cell r="M990">
            <v>200</v>
          </cell>
          <cell r="O990">
            <v>415</v>
          </cell>
          <cell r="V990" t="str">
            <v>MCB</v>
          </cell>
          <cell r="W990">
            <v>32</v>
          </cell>
          <cell r="AF990">
            <v>1998</v>
          </cell>
          <cell r="AH990" t="str">
            <v>Dave Sutton</v>
          </cell>
          <cell r="AI990" t="str">
            <v>WC</v>
          </cell>
          <cell r="AJ990"/>
        </row>
        <row r="991">
          <cell r="E991" t="str">
            <v>S0044796</v>
          </cell>
          <cell r="F991" t="str">
            <v>SPS TUART RD GREENFIELDS</v>
          </cell>
          <cell r="H991" t="str">
            <v>SEC Supply</v>
          </cell>
          <cell r="I991" t="str">
            <v>S8003404</v>
          </cell>
          <cell r="J991" t="str">
            <v>Main SB</v>
          </cell>
          <cell r="K991" t="str">
            <v>AJ52-40-4</v>
          </cell>
          <cell r="M991"/>
          <cell r="O991">
            <v>440</v>
          </cell>
          <cell r="AF991">
            <v>1984</v>
          </cell>
          <cell r="AH991" t="str">
            <v>Dave Sutton</v>
          </cell>
          <cell r="AI991" t="str">
            <v>WC</v>
          </cell>
          <cell r="AJ991"/>
        </row>
        <row r="992">
          <cell r="E992" t="str">
            <v>S0044735</v>
          </cell>
          <cell r="F992" t="str">
            <v>SPS MISSISSIPPI DR GREENFIELDS</v>
          </cell>
          <cell r="H992" t="str">
            <v>Supply Authority</v>
          </cell>
          <cell r="I992" t="str">
            <v>S8003503</v>
          </cell>
          <cell r="J992" t="str">
            <v>Main SB</v>
          </cell>
          <cell r="K992" t="str">
            <v>53113-3-1</v>
          </cell>
          <cell r="M992"/>
          <cell r="O992">
            <v>440</v>
          </cell>
          <cell r="V992" t="str">
            <v>Fuse</v>
          </cell>
          <cell r="W992">
            <v>63</v>
          </cell>
          <cell r="AF992">
            <v>1982</v>
          </cell>
          <cell r="AH992" t="str">
            <v>Dave Sutton</v>
          </cell>
          <cell r="AI992" t="str">
            <v>WC</v>
          </cell>
          <cell r="AJ992"/>
        </row>
        <row r="993">
          <cell r="E993" t="str">
            <v>W0045919</v>
          </cell>
          <cell r="F993" t="str">
            <v>WPS FREMANTLE RD GREENFIELDS</v>
          </cell>
          <cell r="I993" t="str">
            <v>W8003770</v>
          </cell>
          <cell r="M993"/>
          <cell r="AF993">
            <v>1985</v>
          </cell>
          <cell r="AH993" t="str">
            <v>Dave Sutton</v>
          </cell>
          <cell r="AI993" t="str">
            <v>WC</v>
          </cell>
          <cell r="AJ993"/>
        </row>
        <row r="994">
          <cell r="E994" t="str">
            <v>S0044720</v>
          </cell>
          <cell r="F994" t="str">
            <v>SPS LAKES RD GREENFIELDS</v>
          </cell>
          <cell r="H994" t="str">
            <v>Supply Authority</v>
          </cell>
          <cell r="I994" t="str">
            <v>S8003211</v>
          </cell>
          <cell r="J994" t="str">
            <v>Main SB</v>
          </cell>
          <cell r="K994" t="str">
            <v>DX05-41-5</v>
          </cell>
          <cell r="M994"/>
          <cell r="O994">
            <v>415</v>
          </cell>
          <cell r="S994" t="str">
            <v>PYROLEX</v>
          </cell>
          <cell r="T994" t="str">
            <v>10mm2</v>
          </cell>
          <cell r="V994" t="str">
            <v>MCB</v>
          </cell>
          <cell r="W994">
            <v>63</v>
          </cell>
          <cell r="AF994">
            <v>1996</v>
          </cell>
          <cell r="AH994" t="str">
            <v>Dave Sutton</v>
          </cell>
          <cell r="AI994" t="str">
            <v>WC</v>
          </cell>
          <cell r="AJ994"/>
        </row>
        <row r="995">
          <cell r="E995" t="str">
            <v>S0044740</v>
          </cell>
          <cell r="F995" t="str">
            <v>SPS MURDOCH DR GREENFIELDS</v>
          </cell>
          <cell r="H995" t="str">
            <v>Supply Authority</v>
          </cell>
          <cell r="I995" t="str">
            <v>S8003276</v>
          </cell>
          <cell r="J995" t="str">
            <v>Main SB</v>
          </cell>
          <cell r="K995" t="str">
            <v>DY16-41-5</v>
          </cell>
          <cell r="M995">
            <v>100</v>
          </cell>
          <cell r="O995">
            <v>415</v>
          </cell>
          <cell r="S995" t="str">
            <v>PYROLEX</v>
          </cell>
          <cell r="T995" t="str">
            <v>3x1C 35mm2</v>
          </cell>
          <cell r="V995" t="str">
            <v>Fuse</v>
          </cell>
          <cell r="W995">
            <v>160</v>
          </cell>
          <cell r="AF995">
            <v>1997</v>
          </cell>
          <cell r="AH995" t="str">
            <v>Dave Sutton</v>
          </cell>
          <cell r="AI995" t="str">
            <v>WC</v>
          </cell>
          <cell r="AJ995" t="str">
            <v>Genset onsite</v>
          </cell>
        </row>
        <row r="996">
          <cell r="E996" t="str">
            <v>S0044787</v>
          </cell>
          <cell r="F996" t="str">
            <v>SPS OLD PINJARRA RD GREENFIELDS</v>
          </cell>
          <cell r="H996" t="str">
            <v>SEC Supply</v>
          </cell>
          <cell r="I996" t="str">
            <v>S8003424</v>
          </cell>
          <cell r="J996" t="str">
            <v>Main SB</v>
          </cell>
          <cell r="K996" t="str">
            <v>BT29-41-2</v>
          </cell>
          <cell r="M996"/>
          <cell r="O996">
            <v>415</v>
          </cell>
          <cell r="V996" t="str">
            <v>Fuse</v>
          </cell>
          <cell r="W996">
            <v>50</v>
          </cell>
          <cell r="AF996">
            <v>1990</v>
          </cell>
          <cell r="AH996" t="str">
            <v>Dave Sutton</v>
          </cell>
          <cell r="AI996" t="str">
            <v>WC</v>
          </cell>
          <cell r="AJ996"/>
        </row>
        <row r="997">
          <cell r="E997" t="str">
            <v>S0044760</v>
          </cell>
          <cell r="F997" t="str">
            <v>SPS QUARRY WY GREENFIELDS</v>
          </cell>
          <cell r="H997" t="str">
            <v>Supply Authority</v>
          </cell>
          <cell r="I997" t="str">
            <v>S8003452</v>
          </cell>
          <cell r="J997" t="str">
            <v>Main SB</v>
          </cell>
          <cell r="K997" t="str">
            <v>DH35-1-4</v>
          </cell>
          <cell r="M997"/>
          <cell r="AF997">
            <v>1991</v>
          </cell>
          <cell r="AH997" t="str">
            <v>Dave Sutton</v>
          </cell>
          <cell r="AI997" t="str">
            <v>WC</v>
          </cell>
          <cell r="AJ997"/>
        </row>
        <row r="998">
          <cell r="E998" t="str">
            <v>S8000826</v>
          </cell>
          <cell r="F998" t="str">
            <v>SPS REDCLIFFE RD GREENFIELDS</v>
          </cell>
          <cell r="H998" t="str">
            <v>Supply Authority</v>
          </cell>
          <cell r="I998" t="str">
            <v>S8003386</v>
          </cell>
          <cell r="J998" t="str">
            <v>Main SB</v>
          </cell>
          <cell r="K998" t="str">
            <v>FI80-41-5</v>
          </cell>
          <cell r="M998">
            <v>200</v>
          </cell>
          <cell r="O998">
            <v>415</v>
          </cell>
          <cell r="S998" t="str">
            <v>PVC</v>
          </cell>
          <cell r="T998" t="str">
            <v>16mm2</v>
          </cell>
          <cell r="V998" t="str">
            <v>MCB</v>
          </cell>
          <cell r="W998">
            <v>63</v>
          </cell>
          <cell r="AF998">
            <v>2001</v>
          </cell>
          <cell r="AH998" t="str">
            <v>Dave Sutton</v>
          </cell>
          <cell r="AI998" t="str">
            <v>WC</v>
          </cell>
          <cell r="AJ998"/>
        </row>
        <row r="999">
          <cell r="E999" t="str">
            <v>S8006190</v>
          </cell>
          <cell r="F999" t="str">
            <v>SPS AMAZON DR GREENFIELDS</v>
          </cell>
          <cell r="H999" t="str">
            <v>Supply Authority</v>
          </cell>
          <cell r="I999" t="str">
            <v>S8007086</v>
          </cell>
          <cell r="J999" t="str">
            <v>Main SB</v>
          </cell>
          <cell r="K999" t="str">
            <v>GF15-41-5</v>
          </cell>
          <cell r="M999"/>
          <cell r="O999">
            <v>415</v>
          </cell>
          <cell r="S999" t="str">
            <v>XLPE</v>
          </cell>
          <cell r="T999" t="str">
            <v>16mm2</v>
          </cell>
          <cell r="V999" t="str">
            <v>MCB</v>
          </cell>
          <cell r="W999">
            <v>63</v>
          </cell>
          <cell r="AF999">
            <v>2003</v>
          </cell>
          <cell r="AH999" t="str">
            <v>Dave Sutton</v>
          </cell>
          <cell r="AI999" t="str">
            <v>WC</v>
          </cell>
          <cell r="AJ999"/>
        </row>
        <row r="1000">
          <cell r="E1000" t="str">
            <v>S0028691</v>
          </cell>
          <cell r="F1000" t="str">
            <v>SPS WARRIGAL WY GREENWOOD</v>
          </cell>
          <cell r="I1000" t="str">
            <v>S0028697</v>
          </cell>
          <cell r="J1000" t="str">
            <v>Main SB</v>
          </cell>
          <cell r="K1000" t="str">
            <v>11350-10-1</v>
          </cell>
          <cell r="M1000"/>
          <cell r="AF1000">
            <v>1973</v>
          </cell>
          <cell r="AH1000" t="str">
            <v>Dave Sutton</v>
          </cell>
          <cell r="AI1000" t="str">
            <v>WC</v>
          </cell>
          <cell r="AJ1000"/>
        </row>
        <row r="1001">
          <cell r="E1001" t="str">
            <v>S0028313</v>
          </cell>
          <cell r="F1001" t="str">
            <v>SPS COOLIBAH DR GREENWOOD</v>
          </cell>
          <cell r="I1001" t="str">
            <v>S0028319</v>
          </cell>
          <cell r="K1001" t="str">
            <v>10661-10-1</v>
          </cell>
          <cell r="M1001"/>
          <cell r="AF1001">
            <v>1971</v>
          </cell>
          <cell r="AH1001" t="str">
            <v>Dave Sutton</v>
          </cell>
          <cell r="AI1001" t="str">
            <v>WC</v>
          </cell>
          <cell r="AJ1001"/>
        </row>
        <row r="1002">
          <cell r="E1002" t="str">
            <v>S0028383</v>
          </cell>
          <cell r="F1002" t="str">
            <v>SPS ELMHURST WY GREENWOOD</v>
          </cell>
          <cell r="I1002" t="str">
            <v>S0028389</v>
          </cell>
          <cell r="K1002" t="str">
            <v>11494-10-1</v>
          </cell>
          <cell r="M1002"/>
          <cell r="AF1002">
            <v>1972</v>
          </cell>
          <cell r="AH1002" t="str">
            <v>Dave Sutton</v>
          </cell>
          <cell r="AI1002" t="str">
            <v>WC</v>
          </cell>
          <cell r="AJ1002"/>
        </row>
        <row r="1003">
          <cell r="E1003" t="str">
            <v>D0036191</v>
          </cell>
          <cell r="F1003" t="str">
            <v>DPS ELMHURST WY GREENWOOD</v>
          </cell>
          <cell r="I1003" t="str">
            <v>D0036195</v>
          </cell>
          <cell r="K1003" t="str">
            <v>AH08-41-4</v>
          </cell>
          <cell r="M1003"/>
          <cell r="AF1003">
            <v>1976</v>
          </cell>
          <cell r="AH1003" t="str">
            <v>Dave Sutton</v>
          </cell>
          <cell r="AI1003" t="str">
            <v>WC</v>
          </cell>
          <cell r="AJ1003"/>
        </row>
        <row r="1004">
          <cell r="E1004" t="str">
            <v>S0028615</v>
          </cell>
          <cell r="F1004" t="str">
            <v>SPS RODGERS ST GREENWOOD</v>
          </cell>
          <cell r="I1004" t="str">
            <v>S0028621</v>
          </cell>
          <cell r="K1004" t="str">
            <v>11797-17-0</v>
          </cell>
          <cell r="M1004"/>
          <cell r="AF1004">
            <v>1976</v>
          </cell>
          <cell r="AH1004" t="str">
            <v>Dave Sutton</v>
          </cell>
          <cell r="AI1004" t="str">
            <v>WC</v>
          </cell>
          <cell r="AJ1004"/>
        </row>
        <row r="1005">
          <cell r="E1005" t="str">
            <v>S0030240</v>
          </cell>
          <cell r="F1005" t="str">
            <v>SPS WOODBRIDGE ST GUILDFORD</v>
          </cell>
          <cell r="H1005" t="str">
            <v>SEC Supply</v>
          </cell>
          <cell r="I1005" t="str">
            <v>S0030244</v>
          </cell>
          <cell r="J1005" t="str">
            <v>Main SB</v>
          </cell>
          <cell r="K1005" t="str">
            <v>08183-40-1</v>
          </cell>
          <cell r="M1005"/>
          <cell r="AF1005">
            <v>1976</v>
          </cell>
          <cell r="AH1005" t="str">
            <v>Dave Sutton</v>
          </cell>
          <cell r="AI1005" t="str">
            <v>WC</v>
          </cell>
          <cell r="AJ1005"/>
        </row>
        <row r="1006">
          <cell r="E1006" t="str">
            <v>S0028288</v>
          </cell>
          <cell r="F1006" t="str">
            <v>SPS CARENIUP AV GWELUP</v>
          </cell>
          <cell r="H1006" t="str">
            <v>Supply Authority</v>
          </cell>
          <cell r="I1006" t="str">
            <v>S2003512</v>
          </cell>
          <cell r="J1006" t="str">
            <v>Main SB</v>
          </cell>
          <cell r="K1006" t="str">
            <v>CY83-41-4</v>
          </cell>
          <cell r="M1006"/>
          <cell r="O1006">
            <v>415</v>
          </cell>
          <cell r="S1006" t="str">
            <v>PYROLEX</v>
          </cell>
          <cell r="T1006" t="str">
            <v>10mm2</v>
          </cell>
          <cell r="V1006" t="str">
            <v>MCB</v>
          </cell>
          <cell r="W1006">
            <v>63</v>
          </cell>
          <cell r="AF1006">
            <v>1995</v>
          </cell>
          <cell r="AH1006" t="str">
            <v>Dave Sutton</v>
          </cell>
          <cell r="AI1006" t="str">
            <v>WC</v>
          </cell>
          <cell r="AJ1006"/>
        </row>
        <row r="1007">
          <cell r="E1007" t="str">
            <v>S2003245</v>
          </cell>
          <cell r="F1007" t="str">
            <v>SPS PORTER ST GWELUP</v>
          </cell>
          <cell r="H1007" t="str">
            <v>Supply Authority</v>
          </cell>
          <cell r="I1007" t="str">
            <v>S2003249</v>
          </cell>
          <cell r="J1007" t="str">
            <v>Main SB</v>
          </cell>
          <cell r="K1007" t="str">
            <v>EO48-41-5</v>
          </cell>
          <cell r="M1007">
            <v>200</v>
          </cell>
          <cell r="O1007">
            <v>415</v>
          </cell>
          <cell r="S1007" t="str">
            <v>XLPE</v>
          </cell>
          <cell r="T1007" t="str">
            <v>35mm2</v>
          </cell>
          <cell r="V1007" t="str">
            <v>MCB</v>
          </cell>
          <cell r="W1007">
            <v>160</v>
          </cell>
          <cell r="AF1007">
            <v>2000</v>
          </cell>
          <cell r="AH1007" t="str">
            <v>Dave Sutton</v>
          </cell>
          <cell r="AI1007" t="str">
            <v>WC</v>
          </cell>
          <cell r="AJ1007"/>
        </row>
        <row r="1008">
          <cell r="E1008" t="str">
            <v>W0045925</v>
          </cell>
          <cell r="F1008" t="str">
            <v>WPS ARMSTRONG ST-OAKLANDS AV HALLS HEAD</v>
          </cell>
          <cell r="H1008" t="str">
            <v>Distribution Cubicle 49765-16-1</v>
          </cell>
          <cell r="I1008" t="str">
            <v>W8003865</v>
          </cell>
          <cell r="J1008" t="str">
            <v>Main SB</v>
          </cell>
          <cell r="K1008" t="str">
            <v>49765-18-1</v>
          </cell>
          <cell r="M1008"/>
          <cell r="V1008" t="str">
            <v>Fuse</v>
          </cell>
          <cell r="W1008">
            <v>200</v>
          </cell>
          <cell r="AA1008">
            <v>415</v>
          </cell>
          <cell r="AF1008">
            <v>1980</v>
          </cell>
          <cell r="AH1008" t="str">
            <v>Dave Sutton</v>
          </cell>
          <cell r="AI1008" t="str">
            <v>WC</v>
          </cell>
          <cell r="AJ1008"/>
        </row>
        <row r="1009">
          <cell r="E1009" t="str">
            <v>S0044555</v>
          </cell>
          <cell r="F1009" t="str">
            <v>SPS DARLEY GR HALLS HEAD</v>
          </cell>
          <cell r="I1009" t="str">
            <v>S8003357</v>
          </cell>
          <cell r="K1009" t="str">
            <v xml:space="preserve">BA10- - </v>
          </cell>
          <cell r="M1009"/>
          <cell r="AF1009">
            <v>1981</v>
          </cell>
          <cell r="AH1009" t="str">
            <v>Dave Sutton</v>
          </cell>
          <cell r="AI1009" t="str">
            <v>WC</v>
          </cell>
          <cell r="AJ1009"/>
        </row>
        <row r="1010">
          <cell r="E1010" t="str">
            <v>S0044579</v>
          </cell>
          <cell r="F1010" t="str">
            <v>SPS JANIS ST HALLS HEAD</v>
          </cell>
          <cell r="H1010" t="str">
            <v>Supply Authority</v>
          </cell>
          <cell r="I1010" t="str">
            <v>S8003317</v>
          </cell>
          <cell r="J1010" t="str">
            <v>Main SB</v>
          </cell>
          <cell r="K1010" t="str">
            <v>54528-4-1</v>
          </cell>
          <cell r="M1010"/>
          <cell r="O1010">
            <v>440</v>
          </cell>
          <cell r="V1010" t="str">
            <v>Fuse</v>
          </cell>
          <cell r="W1010">
            <v>40</v>
          </cell>
          <cell r="AF1010">
            <v>1982</v>
          </cell>
          <cell r="AH1010" t="str">
            <v>Dave Sutton</v>
          </cell>
          <cell r="AI1010" t="str">
            <v>WC</v>
          </cell>
          <cell r="AJ1010"/>
        </row>
        <row r="1011">
          <cell r="E1011" t="str">
            <v>S0044565</v>
          </cell>
          <cell r="F1011" t="str">
            <v>SPS GALLOP ST HALLS HEAD</v>
          </cell>
          <cell r="H1011" t="str">
            <v>Supply Authority</v>
          </cell>
          <cell r="I1011" t="str">
            <v>S8003338</v>
          </cell>
          <cell r="J1011" t="str">
            <v>Main SB</v>
          </cell>
          <cell r="K1011" t="str">
            <v>KB50-41-5</v>
          </cell>
          <cell r="M1011"/>
          <cell r="O1011">
            <v>415</v>
          </cell>
          <cell r="V1011" t="str">
            <v>Fuse</v>
          </cell>
          <cell r="W1011">
            <v>80</v>
          </cell>
          <cell r="AF1011">
            <v>1983</v>
          </cell>
          <cell r="AH1011" t="str">
            <v>Dave Sutton</v>
          </cell>
          <cell r="AI1011" t="str">
            <v>WC</v>
          </cell>
          <cell r="AJ1011"/>
        </row>
        <row r="1012">
          <cell r="E1012" t="str">
            <v>S0044560</v>
          </cell>
          <cell r="F1012" t="str">
            <v>SPS ELDERBERRY CIR HALLS HEAD</v>
          </cell>
          <cell r="H1012" t="str">
            <v>Supply Authority</v>
          </cell>
          <cell r="I1012" t="str">
            <v>S8003347</v>
          </cell>
          <cell r="J1012" t="str">
            <v>Main SB</v>
          </cell>
          <cell r="K1012" t="str">
            <v>54799-41-5</v>
          </cell>
          <cell r="M1012"/>
          <cell r="O1012">
            <v>440</v>
          </cell>
          <cell r="V1012" t="str">
            <v>Fuse</v>
          </cell>
          <cell r="W1012">
            <v>35</v>
          </cell>
          <cell r="AF1012">
            <v>1984</v>
          </cell>
          <cell r="AH1012" t="str">
            <v>Dave Sutton</v>
          </cell>
          <cell r="AI1012" t="str">
            <v>WC</v>
          </cell>
          <cell r="AJ1012"/>
        </row>
        <row r="1013">
          <cell r="E1013" t="str">
            <v>S0044594</v>
          </cell>
          <cell r="F1013" t="str">
            <v>SPS OLD COAST RD HALLS HEAD</v>
          </cell>
          <cell r="H1013" t="str">
            <v>Supply Authority</v>
          </cell>
          <cell r="I1013" t="str">
            <v>S8003308</v>
          </cell>
          <cell r="J1013" t="str">
            <v>Main SB</v>
          </cell>
          <cell r="K1013" t="str">
            <v>AI86-40-4</v>
          </cell>
          <cell r="M1013"/>
          <cell r="O1013">
            <v>440</v>
          </cell>
          <cell r="AF1013">
            <v>1985</v>
          </cell>
          <cell r="AH1013" t="str">
            <v>Dave Sutton</v>
          </cell>
          <cell r="AI1013" t="str">
            <v>WC</v>
          </cell>
          <cell r="AJ1013"/>
        </row>
        <row r="1014">
          <cell r="E1014" t="str">
            <v>W0045922</v>
          </cell>
          <cell r="F1014" t="str">
            <v>WPS ARMSTRONG ST-LEIGHTON RD HALLS HEAD</v>
          </cell>
          <cell r="H1014" t="str">
            <v>Main DB</v>
          </cell>
          <cell r="I1014" t="str">
            <v>W8003855</v>
          </cell>
          <cell r="J1014" t="str">
            <v>Main SB</v>
          </cell>
          <cell r="K1014" t="str">
            <v xml:space="preserve">49765- - </v>
          </cell>
          <cell r="M1014"/>
          <cell r="O1014">
            <v>415</v>
          </cell>
          <cell r="V1014" t="str">
            <v>Fuse</v>
          </cell>
          <cell r="W1014">
            <v>160</v>
          </cell>
          <cell r="AF1014">
            <v>2011</v>
          </cell>
          <cell r="AH1014" t="str">
            <v>Dave Sutton</v>
          </cell>
          <cell r="AI1014" t="str">
            <v>WC</v>
          </cell>
          <cell r="AJ1014"/>
        </row>
        <row r="1015">
          <cell r="E1015" t="str">
            <v>S8006155</v>
          </cell>
          <cell r="F1015" t="str">
            <v>SPS BUTTERCUP PWY HALLS HEAD</v>
          </cell>
          <cell r="H1015" t="str">
            <v>Supply Authority</v>
          </cell>
          <cell r="I1015" t="str">
            <v>S8006771</v>
          </cell>
          <cell r="J1015" t="str">
            <v>Main SB</v>
          </cell>
          <cell r="K1015" t="str">
            <v>GQ71-41-5</v>
          </cell>
          <cell r="M1015">
            <v>200</v>
          </cell>
          <cell r="O1015">
            <v>415</v>
          </cell>
          <cell r="S1015" t="str">
            <v>XLPE</v>
          </cell>
          <cell r="T1015" t="str">
            <v>16mm2</v>
          </cell>
          <cell r="V1015" t="str">
            <v>MCB</v>
          </cell>
          <cell r="W1015">
            <v>63</v>
          </cell>
          <cell r="AF1015">
            <v>2003</v>
          </cell>
          <cell r="AH1015" t="str">
            <v>Dave Sutton</v>
          </cell>
          <cell r="AI1015" t="str">
            <v>WC</v>
          </cell>
          <cell r="AJ1015"/>
        </row>
        <row r="1016">
          <cell r="E1016" t="str">
            <v>S8009219</v>
          </cell>
          <cell r="F1016" t="str">
            <v>SPS PEELWOOD PDE HALLS HEAD</v>
          </cell>
          <cell r="H1016" t="str">
            <v>Supply Authority</v>
          </cell>
          <cell r="I1016" t="str">
            <v>S8009226</v>
          </cell>
          <cell r="J1016" t="str">
            <v>Main SB</v>
          </cell>
          <cell r="K1016" t="str">
            <v>IO26-41-5</v>
          </cell>
          <cell r="M1016"/>
          <cell r="N1016">
            <v>22</v>
          </cell>
          <cell r="O1016">
            <v>415</v>
          </cell>
          <cell r="S1016" t="str">
            <v>PVC/PVC</v>
          </cell>
          <cell r="T1016" t="str">
            <v>4C 16mm2</v>
          </cell>
          <cell r="V1016" t="str">
            <v>Fuse</v>
          </cell>
          <cell r="W1016">
            <v>60</v>
          </cell>
          <cell r="X1016" t="str">
            <v>IO26-40-2</v>
          </cell>
          <cell r="AF1016">
            <v>2007</v>
          </cell>
          <cell r="AH1016" t="str">
            <v>Dave Sutton</v>
          </cell>
          <cell r="AI1016" t="str">
            <v>WC</v>
          </cell>
          <cell r="AJ1016"/>
        </row>
        <row r="1017">
          <cell r="E1017" t="str">
            <v>S0028274</v>
          </cell>
          <cell r="F1017" t="str">
            <v>SPS BEDELIA WY HAMERSLEY</v>
          </cell>
          <cell r="I1017" t="str">
            <v>S0028280</v>
          </cell>
          <cell r="J1017" t="str">
            <v>Main SB</v>
          </cell>
          <cell r="K1017" t="str">
            <v>11059-40-1</v>
          </cell>
          <cell r="M1017"/>
          <cell r="AF1017">
            <v>1970</v>
          </cell>
          <cell r="AH1017" t="str">
            <v>Dave Sutton</v>
          </cell>
          <cell r="AI1017" t="str">
            <v>WC</v>
          </cell>
          <cell r="AJ1017"/>
        </row>
        <row r="1018">
          <cell r="E1018" t="str">
            <v>S0028687</v>
          </cell>
          <cell r="F1018" t="str">
            <v>SPS WANNEROO RD HAMERSLEY</v>
          </cell>
          <cell r="H1018" t="str">
            <v>SEC Supply</v>
          </cell>
          <cell r="I1018" t="str">
            <v>S0028690</v>
          </cell>
          <cell r="J1018" t="str">
            <v>Main SB</v>
          </cell>
          <cell r="K1018" t="str">
            <v>AS64-41-5</v>
          </cell>
          <cell r="M1018"/>
          <cell r="O1018">
            <v>415</v>
          </cell>
          <cell r="V1018" t="str">
            <v>Fuse</v>
          </cell>
          <cell r="W1018">
            <v>50</v>
          </cell>
          <cell r="AF1018">
            <v>1989</v>
          </cell>
          <cell r="AH1018" t="str">
            <v>Dave Sutton</v>
          </cell>
          <cell r="AI1018" t="str">
            <v>WC</v>
          </cell>
          <cell r="AJ1018"/>
        </row>
        <row r="1019">
          <cell r="E1019" t="str">
            <v>S2000016</v>
          </cell>
          <cell r="F1019" t="str">
            <v>SPS BENNETT AV HAMILTON HILL</v>
          </cell>
          <cell r="H1019" t="str">
            <v>SEC Supply</v>
          </cell>
          <cell r="I1019" t="str">
            <v>S2000287</v>
          </cell>
          <cell r="J1019" t="str">
            <v>Main SB</v>
          </cell>
          <cell r="K1019" t="str">
            <v>08927-40-2</v>
          </cell>
          <cell r="M1019">
            <v>100</v>
          </cell>
          <cell r="N1019">
            <v>22</v>
          </cell>
          <cell r="O1019">
            <v>440</v>
          </cell>
          <cell r="S1019" t="str">
            <v>PVC</v>
          </cell>
          <cell r="T1019" t="str">
            <v>3x1C 120mm2</v>
          </cell>
          <cell r="V1019" t="str">
            <v>Fuse</v>
          </cell>
          <cell r="W1019">
            <v>250</v>
          </cell>
          <cell r="AF1019">
            <v>1999</v>
          </cell>
          <cell r="AH1019" t="str">
            <v>Dave Sutton</v>
          </cell>
          <cell r="AI1019" t="str">
            <v>WC</v>
          </cell>
          <cell r="AJ1019"/>
        </row>
        <row r="1020">
          <cell r="E1020" t="str">
            <v>S0033227</v>
          </cell>
          <cell r="F1020" t="str">
            <v>SPS HURFORD RD HAMILTON HILL</v>
          </cell>
          <cell r="H1020" t="str">
            <v>SEC Supply</v>
          </cell>
          <cell r="I1020" t="str">
            <v>S2003541</v>
          </cell>
          <cell r="J1020" t="str">
            <v>Main SB</v>
          </cell>
          <cell r="K1020" t="str">
            <v>CT56-41-4</v>
          </cell>
          <cell r="M1020"/>
          <cell r="O1020">
            <v>415</v>
          </cell>
          <cell r="T1020" t="str">
            <v>70mm2</v>
          </cell>
          <cell r="V1020" t="str">
            <v>MCB</v>
          </cell>
          <cell r="W1020">
            <v>150</v>
          </cell>
          <cell r="AF1020">
            <v>1993</v>
          </cell>
          <cell r="AH1020" t="str">
            <v>Dave Sutton</v>
          </cell>
          <cell r="AI1020" t="str">
            <v>WC</v>
          </cell>
          <cell r="AJ1020"/>
        </row>
        <row r="1021">
          <cell r="E1021" t="str">
            <v>S2003379</v>
          </cell>
          <cell r="F1021" t="str">
            <v>SPS GLENISTER RD HAMILTON HILL</v>
          </cell>
          <cell r="H1021" t="str">
            <v>Supply Authority</v>
          </cell>
          <cell r="I1021" t="str">
            <v>S2003383</v>
          </cell>
          <cell r="J1021" t="str">
            <v>Main SB</v>
          </cell>
          <cell r="K1021" t="str">
            <v>ES97-41-5</v>
          </cell>
          <cell r="M1021"/>
          <cell r="O1021">
            <v>415</v>
          </cell>
          <cell r="S1021" t="str">
            <v>XLPE/PVC</v>
          </cell>
          <cell r="T1021" t="str">
            <v>3x1C 25mm2</v>
          </cell>
          <cell r="V1021" t="str">
            <v>MCB</v>
          </cell>
          <cell r="W1021">
            <v>63</v>
          </cell>
          <cell r="AF1021">
            <v>2001</v>
          </cell>
          <cell r="AH1021" t="str">
            <v>Dave Sutton</v>
          </cell>
          <cell r="AI1021" t="str">
            <v>WC</v>
          </cell>
          <cell r="AJ1021"/>
        </row>
        <row r="1022">
          <cell r="E1022" t="str">
            <v>S0033205</v>
          </cell>
          <cell r="F1022" t="str">
            <v>SPS DODD ST HAMILTON HILL</v>
          </cell>
          <cell r="H1022" t="str">
            <v>SEC Supply</v>
          </cell>
          <cell r="I1022" t="str">
            <v>S0033209</v>
          </cell>
          <cell r="J1022" t="str">
            <v>Main SB</v>
          </cell>
          <cell r="K1022" t="str">
            <v>DC50-41-5</v>
          </cell>
          <cell r="M1022"/>
          <cell r="O1022">
            <v>415</v>
          </cell>
          <cell r="S1022" t="str">
            <v>PVC</v>
          </cell>
          <cell r="T1022" t="str">
            <v>10mm2</v>
          </cell>
          <cell r="V1022" t="str">
            <v>MCB</v>
          </cell>
          <cell r="W1022">
            <v>32</v>
          </cell>
          <cell r="AF1022">
            <v>1995</v>
          </cell>
          <cell r="AH1022" t="str">
            <v>Dave Sutton</v>
          </cell>
          <cell r="AI1022" t="str">
            <v>WC</v>
          </cell>
          <cell r="AJ1022"/>
        </row>
        <row r="1023">
          <cell r="E1023" t="str">
            <v>S0033222</v>
          </cell>
          <cell r="F1023" t="str">
            <v>SPS HALSTEAD ST HAMILTON HILL</v>
          </cell>
          <cell r="H1023" t="str">
            <v>Supply Authority</v>
          </cell>
          <cell r="I1023" t="str">
            <v>S0033226</v>
          </cell>
          <cell r="J1023" t="str">
            <v>Main SB</v>
          </cell>
          <cell r="K1023" t="str">
            <v>DT09-41-5</v>
          </cell>
          <cell r="M1023"/>
          <cell r="O1023">
            <v>415</v>
          </cell>
          <cell r="S1023" t="str">
            <v>PVC</v>
          </cell>
          <cell r="T1023" t="str">
            <v>10mm2</v>
          </cell>
          <cell r="V1023" t="str">
            <v>MCB</v>
          </cell>
          <cell r="W1023">
            <v>32</v>
          </cell>
          <cell r="AF1023">
            <v>1996</v>
          </cell>
          <cell r="AH1023" t="str">
            <v>Dave Sutton</v>
          </cell>
          <cell r="AI1023" t="str">
            <v>WC</v>
          </cell>
          <cell r="AJ1023"/>
        </row>
        <row r="1024">
          <cell r="E1024" t="str">
            <v>S2002879</v>
          </cell>
          <cell r="F1024" t="str">
            <v>SPS BLACKWOOD AV HAMILTON HILL</v>
          </cell>
          <cell r="H1024" t="str">
            <v>Supply Authority</v>
          </cell>
          <cell r="I1024" t="str">
            <v>S2002883</v>
          </cell>
          <cell r="J1024" t="str">
            <v>Main SB</v>
          </cell>
          <cell r="K1024" t="str">
            <v>DZ88-41-5</v>
          </cell>
          <cell r="M1024">
            <v>200</v>
          </cell>
          <cell r="O1024">
            <v>415</v>
          </cell>
          <cell r="S1024" t="str">
            <v>PYROLEX</v>
          </cell>
          <cell r="T1024" t="str">
            <v>10mm2</v>
          </cell>
          <cell r="V1024" t="str">
            <v>MCB</v>
          </cell>
          <cell r="W1024">
            <v>63</v>
          </cell>
          <cell r="AF1024">
            <v>1999</v>
          </cell>
          <cell r="AH1024" t="str">
            <v>Dave Sutton</v>
          </cell>
          <cell r="AI1024" t="str">
            <v>WC</v>
          </cell>
          <cell r="AJ1024"/>
        </row>
        <row r="1025">
          <cell r="E1025" t="str">
            <v>S2015574</v>
          </cell>
          <cell r="F1025" t="str">
            <v>SPS AMBERLEY WY HAMILTON HILL</v>
          </cell>
          <cell r="H1025" t="str">
            <v>Supply Authority</v>
          </cell>
          <cell r="I1025" t="str">
            <v>S2016906</v>
          </cell>
          <cell r="J1025" t="str">
            <v>Main SB</v>
          </cell>
          <cell r="K1025" t="str">
            <v>DX02-41-5</v>
          </cell>
          <cell r="M1025"/>
          <cell r="O1025">
            <v>415</v>
          </cell>
          <cell r="S1025" t="str">
            <v>XLPE</v>
          </cell>
          <cell r="T1025" t="str">
            <v>16mm2</v>
          </cell>
          <cell r="V1025" t="str">
            <v>MCB</v>
          </cell>
          <cell r="W1025">
            <v>63</v>
          </cell>
          <cell r="AF1025">
            <v>2003</v>
          </cell>
          <cell r="AH1025" t="str">
            <v>Dave Sutton</v>
          </cell>
          <cell r="AI1025" t="str">
            <v>WC</v>
          </cell>
          <cell r="AJ1025"/>
        </row>
        <row r="1026">
          <cell r="E1026" t="str">
            <v>S2018370</v>
          </cell>
          <cell r="F1026" t="str">
            <v>SPS COLLARED ST HARRISDALE</v>
          </cell>
          <cell r="H1026" t="str">
            <v>Supply Authority</v>
          </cell>
          <cell r="I1026" t="str">
            <v>S2030400</v>
          </cell>
          <cell r="J1026" t="str">
            <v>Main SB</v>
          </cell>
          <cell r="K1026" t="str">
            <v>HW91-41-5</v>
          </cell>
          <cell r="M1026">
            <v>500</v>
          </cell>
          <cell r="N1026">
            <v>22</v>
          </cell>
          <cell r="O1026">
            <v>415</v>
          </cell>
          <cell r="S1026" t="str">
            <v>PVC</v>
          </cell>
          <cell r="T1026" t="str">
            <v>120mm2</v>
          </cell>
          <cell r="V1026" t="str">
            <v>MCB</v>
          </cell>
          <cell r="W1026">
            <v>250</v>
          </cell>
          <cell r="X1026" t="str">
            <v>HW91-40-2</v>
          </cell>
          <cell r="AF1026">
            <v>2012</v>
          </cell>
          <cell r="AH1026" t="str">
            <v>Dave Sutton</v>
          </cell>
          <cell r="AI1026" t="str">
            <v>WC</v>
          </cell>
          <cell r="AJ1026"/>
        </row>
        <row r="1027">
          <cell r="E1027" t="str">
            <v>S2000136</v>
          </cell>
          <cell r="F1027" t="str">
            <v>SPS STIRLING CR HAZELMERE</v>
          </cell>
          <cell r="H1027" t="str">
            <v>Supply Authority</v>
          </cell>
          <cell r="I1027" t="str">
            <v>S2002459</v>
          </cell>
          <cell r="J1027" t="str">
            <v>Main SB</v>
          </cell>
          <cell r="K1027" t="str">
            <v>EC66-41-5</v>
          </cell>
          <cell r="M1027">
            <v>200</v>
          </cell>
          <cell r="O1027">
            <v>415</v>
          </cell>
          <cell r="S1027" t="str">
            <v>PYROLEX</v>
          </cell>
          <cell r="T1027" t="str">
            <v>10mm2</v>
          </cell>
          <cell r="V1027" t="str">
            <v>MCB</v>
          </cell>
          <cell r="W1027">
            <v>63</v>
          </cell>
          <cell r="AF1027">
            <v>1999</v>
          </cell>
          <cell r="AH1027" t="str">
            <v>Dave Sutton</v>
          </cell>
          <cell r="AI1027" t="str">
            <v>WC</v>
          </cell>
          <cell r="AJ1027"/>
        </row>
        <row r="1028">
          <cell r="E1028" t="str">
            <v>S2019810</v>
          </cell>
          <cell r="F1028" t="str">
            <v>SPS THE EMBANKMENT HAZELMERE</v>
          </cell>
          <cell r="H1028" t="str">
            <v>Supply Authority</v>
          </cell>
          <cell r="I1028" t="str">
            <v>S2019814</v>
          </cell>
          <cell r="J1028" t="str">
            <v>Main SB</v>
          </cell>
          <cell r="K1028" t="str">
            <v>JD02-41-5</v>
          </cell>
          <cell r="M1028"/>
          <cell r="N1028">
            <v>22</v>
          </cell>
          <cell r="O1028">
            <v>415</v>
          </cell>
          <cell r="S1028" t="str">
            <v>XLPE</v>
          </cell>
          <cell r="T1028" t="str">
            <v>16mm2</v>
          </cell>
          <cell r="V1028" t="str">
            <v>Fuse</v>
          </cell>
          <cell r="W1028">
            <v>60</v>
          </cell>
          <cell r="X1028" t="str">
            <v>JD02-40-2</v>
          </cell>
          <cell r="AF1028">
            <v>2008</v>
          </cell>
          <cell r="AH1028" t="str">
            <v>Dave Sutton</v>
          </cell>
          <cell r="AI1028" t="str">
            <v>WC</v>
          </cell>
          <cell r="AJ1028"/>
        </row>
        <row r="1029">
          <cell r="E1029" t="str">
            <v>S0027305</v>
          </cell>
          <cell r="F1029" t="str">
            <v>SPS PRINCE REGENT DR HEATHRIDGE</v>
          </cell>
          <cell r="I1029" t="str">
            <v>S0027309</v>
          </cell>
          <cell r="K1029" t="str">
            <v xml:space="preserve">18934- - </v>
          </cell>
          <cell r="M1029"/>
          <cell r="AF1029">
            <v>1984</v>
          </cell>
          <cell r="AH1029" t="str">
            <v>Dave Sutton</v>
          </cell>
          <cell r="AI1029" t="str">
            <v>WC</v>
          </cell>
          <cell r="AJ1029"/>
        </row>
        <row r="1030">
          <cell r="E1030" t="str">
            <v>S0029011</v>
          </cell>
          <cell r="F1030" t="str">
            <v>SPS PARKVIEW GDNS HELENA VALLEY</v>
          </cell>
          <cell r="H1030" t="str">
            <v>SEC Supply</v>
          </cell>
          <cell r="I1030" t="str">
            <v>S2003552</v>
          </cell>
          <cell r="J1030" t="str">
            <v>Main SB</v>
          </cell>
          <cell r="K1030" t="str">
            <v>CU86-41-4</v>
          </cell>
          <cell r="M1030"/>
          <cell r="O1030">
            <v>415</v>
          </cell>
          <cell r="V1030" t="str">
            <v>MCB</v>
          </cell>
          <cell r="W1030">
            <v>32</v>
          </cell>
          <cell r="AF1030">
            <v>1994</v>
          </cell>
          <cell r="AH1030" t="str">
            <v>Dave Sutton</v>
          </cell>
          <cell r="AI1030" t="str">
            <v>WC</v>
          </cell>
          <cell r="AJ1030"/>
        </row>
        <row r="1031">
          <cell r="E1031" t="str">
            <v>S0033530</v>
          </cell>
          <cell r="F1031" t="str">
            <v>SPS REDEMPTORA RD HENDERSON</v>
          </cell>
          <cell r="I1031" t="str">
            <v>S0033534</v>
          </cell>
          <cell r="J1031" t="str">
            <v>SB1</v>
          </cell>
          <cell r="K1031" t="str">
            <v>17573-40-2</v>
          </cell>
          <cell r="M1031"/>
          <cell r="AF1031">
            <v>1981</v>
          </cell>
          <cell r="AH1031" t="str">
            <v>Dave Sutton</v>
          </cell>
          <cell r="AI1031" t="str">
            <v>WC</v>
          </cell>
          <cell r="AJ1031"/>
        </row>
        <row r="1032">
          <cell r="E1032" t="str">
            <v>S2005793</v>
          </cell>
          <cell r="F1032" t="str">
            <v>SPS SUCCESS WY HENDERSON</v>
          </cell>
          <cell r="H1032" t="str">
            <v>Supply Authority</v>
          </cell>
          <cell r="I1032" t="str">
            <v>S2005797</v>
          </cell>
          <cell r="J1032" t="str">
            <v>Main SB</v>
          </cell>
          <cell r="K1032" t="str">
            <v>HA17-41-5</v>
          </cell>
          <cell r="M1032"/>
          <cell r="O1032">
            <v>415</v>
          </cell>
          <cell r="S1032" t="str">
            <v>PVC</v>
          </cell>
          <cell r="T1032" t="str">
            <v>25mm2</v>
          </cell>
          <cell r="V1032" t="str">
            <v>Fuse</v>
          </cell>
          <cell r="W1032">
            <v>100</v>
          </cell>
          <cell r="AF1032">
            <v>2005</v>
          </cell>
          <cell r="AH1032" t="str">
            <v>Dave Sutton</v>
          </cell>
          <cell r="AI1032" t="str">
            <v>WC</v>
          </cell>
          <cell r="AJ1032"/>
        </row>
        <row r="1033">
          <cell r="E1033" t="str">
            <v>S2009290</v>
          </cell>
          <cell r="F1033" t="str">
            <v>SPS STUART DR HENDERSON</v>
          </cell>
          <cell r="H1033" t="str">
            <v>SEC Supply</v>
          </cell>
          <cell r="I1033" t="str">
            <v>S2009294</v>
          </cell>
          <cell r="J1033" t="str">
            <v>Main SB</v>
          </cell>
          <cell r="K1033" t="str">
            <v>BN53-42-2</v>
          </cell>
          <cell r="M1033"/>
          <cell r="O1033">
            <v>415</v>
          </cell>
          <cell r="V1033" t="str">
            <v>Fuse</v>
          </cell>
          <cell r="W1033">
            <v>50</v>
          </cell>
          <cell r="AF1033">
            <v>2003</v>
          </cell>
          <cell r="AH1033" t="str">
            <v>Dave Sutton</v>
          </cell>
          <cell r="AI1033" t="str">
            <v>WC</v>
          </cell>
          <cell r="AJ1033"/>
        </row>
        <row r="1034">
          <cell r="E1034" t="str">
            <v>S2008270</v>
          </cell>
          <cell r="F1034" t="str">
            <v>SPS GNANGARA RD HENLEY BROOK</v>
          </cell>
          <cell r="H1034" t="str">
            <v>Supply Authority</v>
          </cell>
          <cell r="I1034" t="str">
            <v>S2008274</v>
          </cell>
          <cell r="J1034" t="str">
            <v>Main SB</v>
          </cell>
          <cell r="K1034" t="str">
            <v>GC22-41-5</v>
          </cell>
          <cell r="M1034">
            <v>200</v>
          </cell>
          <cell r="O1034">
            <v>415</v>
          </cell>
          <cell r="S1034" t="str">
            <v>PVC</v>
          </cell>
          <cell r="T1034" t="str">
            <v>16mm2</v>
          </cell>
          <cell r="V1034" t="str">
            <v>MCB</v>
          </cell>
          <cell r="W1034">
            <v>63</v>
          </cell>
          <cell r="AF1034">
            <v>2002</v>
          </cell>
          <cell r="AH1034" t="str">
            <v>Dave Sutton</v>
          </cell>
          <cell r="AI1034" t="str">
            <v>WC</v>
          </cell>
          <cell r="AJ1034"/>
        </row>
        <row r="1035">
          <cell r="E1035" t="str">
            <v>S2030759</v>
          </cell>
          <cell r="F1035" t="str">
            <v>SPS PARK ST HENLEY BROOK</v>
          </cell>
          <cell r="H1035" t="str">
            <v>Supply Authority</v>
          </cell>
          <cell r="I1035" t="str">
            <v>S2038396</v>
          </cell>
          <cell r="J1035" t="str">
            <v>Main SB</v>
          </cell>
          <cell r="K1035" t="str">
            <v>KJ51-41-5</v>
          </cell>
          <cell r="M1035"/>
          <cell r="O1035">
            <v>415</v>
          </cell>
          <cell r="S1035" t="str">
            <v>XLPE/PVC</v>
          </cell>
          <cell r="T1035" t="str">
            <v>1x4C 25mm2</v>
          </cell>
          <cell r="V1035" t="str">
            <v>Fuse</v>
          </cell>
          <cell r="W1035">
            <v>100</v>
          </cell>
          <cell r="X1035" t="str">
            <v>KJ51-40-2</v>
          </cell>
          <cell r="AF1035">
            <v>2014</v>
          </cell>
          <cell r="AH1035" t="str">
            <v>Dave Sutton</v>
          </cell>
          <cell r="AI1035" t="str">
            <v>WC</v>
          </cell>
          <cell r="AJ1035"/>
        </row>
        <row r="1036">
          <cell r="E1036" t="str">
            <v>S0033512</v>
          </cell>
          <cell r="F1036" t="str">
            <v>SPS WITTENOOM RD HIGH WYCOMBE</v>
          </cell>
          <cell r="H1036" t="str">
            <v>SEC Supply</v>
          </cell>
          <cell r="I1036" t="str">
            <v>S0033518</v>
          </cell>
          <cell r="J1036" t="str">
            <v>SB1</v>
          </cell>
          <cell r="K1036" t="str">
            <v>17728-0-1</v>
          </cell>
          <cell r="M1036"/>
          <cell r="Z1036" t="str">
            <v>Western Switchboard SMS Series</v>
          </cell>
          <cell r="AF1036">
            <v>1984</v>
          </cell>
          <cell r="AH1036" t="str">
            <v>Dave Sutton</v>
          </cell>
          <cell r="AI1036" t="str">
            <v>WC</v>
          </cell>
          <cell r="AJ1036"/>
        </row>
        <row r="1037">
          <cell r="E1037" t="str">
            <v>S0033519</v>
          </cell>
          <cell r="F1037" t="str">
            <v>SPS WORRELL AV HIGH WYCOMBE</v>
          </cell>
          <cell r="H1037" t="str">
            <v>SEC Supply</v>
          </cell>
          <cell r="I1037" t="str">
            <v>S0033523</v>
          </cell>
          <cell r="J1037" t="str">
            <v>Main SB</v>
          </cell>
          <cell r="K1037" t="str">
            <v>CC64-42-2</v>
          </cell>
          <cell r="M1037"/>
          <cell r="O1037">
            <v>415</v>
          </cell>
          <cell r="V1037" t="str">
            <v>Fuse</v>
          </cell>
          <cell r="W1037">
            <v>50</v>
          </cell>
          <cell r="AF1037">
            <v>1991</v>
          </cell>
          <cell r="AH1037" t="str">
            <v>Dave Sutton</v>
          </cell>
          <cell r="AI1037" t="str">
            <v>WC</v>
          </cell>
          <cell r="AJ1037"/>
        </row>
        <row r="1038">
          <cell r="E1038" t="str">
            <v>S2004868</v>
          </cell>
          <cell r="F1038" t="str">
            <v>SPS FOXTON BVD HIGH WYCOMBE</v>
          </cell>
          <cell r="H1038" t="str">
            <v>Supply Authority</v>
          </cell>
          <cell r="I1038" t="str">
            <v>S2004872</v>
          </cell>
          <cell r="J1038" t="str">
            <v>Main SB</v>
          </cell>
          <cell r="K1038" t="str">
            <v>GC02-41-5</v>
          </cell>
          <cell r="M1038"/>
          <cell r="O1038">
            <v>415</v>
          </cell>
          <cell r="S1038" t="str">
            <v>XLPE</v>
          </cell>
          <cell r="T1038" t="str">
            <v>16mm2</v>
          </cell>
          <cell r="V1038" t="str">
            <v>MCB</v>
          </cell>
          <cell r="W1038">
            <v>63</v>
          </cell>
          <cell r="AF1038">
            <v>2001</v>
          </cell>
          <cell r="AH1038" t="str">
            <v>Dave Sutton</v>
          </cell>
          <cell r="AI1038" t="str">
            <v>WC</v>
          </cell>
          <cell r="AJ1038"/>
        </row>
        <row r="1039">
          <cell r="E1039" t="str">
            <v>S2004873</v>
          </cell>
          <cell r="F1039" t="str">
            <v>SPS GROGAN RD HIGH WYCOMBE</v>
          </cell>
          <cell r="H1039" t="str">
            <v>Supply Authority</v>
          </cell>
          <cell r="I1039" t="str">
            <v>S2004877</v>
          </cell>
          <cell r="J1039" t="str">
            <v>Main SB</v>
          </cell>
          <cell r="K1039" t="str">
            <v>FY93-41-5</v>
          </cell>
          <cell r="M1039">
            <v>200</v>
          </cell>
          <cell r="O1039">
            <v>415</v>
          </cell>
          <cell r="S1039" t="str">
            <v>PVC</v>
          </cell>
          <cell r="T1039" t="str">
            <v>16mm2</v>
          </cell>
          <cell r="V1039" t="str">
            <v>Fuse</v>
          </cell>
          <cell r="W1039">
            <v>60</v>
          </cell>
          <cell r="X1039" t="str">
            <v>FY93-40-2</v>
          </cell>
          <cell r="AF1039">
            <v>2005</v>
          </cell>
          <cell r="AH1039" t="str">
            <v>Dave Sutton</v>
          </cell>
          <cell r="AI1039" t="str">
            <v>WC</v>
          </cell>
          <cell r="AJ1039"/>
        </row>
        <row r="1040">
          <cell r="E1040" t="str">
            <v>S0032809</v>
          </cell>
          <cell r="F1040" t="str">
            <v>SPS WHITELEY AV HILBERT</v>
          </cell>
          <cell r="H1040" t="str">
            <v>SEC Supply</v>
          </cell>
          <cell r="I1040" t="str">
            <v>S0032813</v>
          </cell>
          <cell r="J1040" t="str">
            <v>Main SB</v>
          </cell>
          <cell r="K1040" t="str">
            <v>AY92-41-2</v>
          </cell>
          <cell r="M1040"/>
          <cell r="V1040" t="str">
            <v>Fuse</v>
          </cell>
          <cell r="W1040">
            <v>50</v>
          </cell>
          <cell r="AF1040">
            <v>1988</v>
          </cell>
          <cell r="AH1040" t="str">
            <v>Dave Sutton</v>
          </cell>
          <cell r="AI1040" t="str">
            <v>WC</v>
          </cell>
          <cell r="AJ1040"/>
        </row>
        <row r="1041">
          <cell r="E1041" t="str">
            <v>S2017005</v>
          </cell>
          <cell r="F1041" t="str">
            <v>SPS FORREST RD TEMP HILBERT</v>
          </cell>
          <cell r="H1041" t="str">
            <v>Supply Authority</v>
          </cell>
          <cell r="I1041" t="str">
            <v>S2018307</v>
          </cell>
          <cell r="J1041" t="str">
            <v>Main SB</v>
          </cell>
          <cell r="K1041" t="str">
            <v>HB33-40-1</v>
          </cell>
          <cell r="M1041"/>
          <cell r="N1041">
            <v>22</v>
          </cell>
          <cell r="O1041">
            <v>415</v>
          </cell>
          <cell r="S1041" t="str">
            <v>PVC/PVC</v>
          </cell>
          <cell r="T1041" t="str">
            <v>16mm2</v>
          </cell>
          <cell r="V1041" t="str">
            <v>Fuse</v>
          </cell>
          <cell r="W1041">
            <v>60</v>
          </cell>
          <cell r="X1041" t="str">
            <v>HB33-40-2</v>
          </cell>
          <cell r="AF1041">
            <v>2005</v>
          </cell>
          <cell r="AH1041" t="str">
            <v>Dave Sutton</v>
          </cell>
          <cell r="AI1041" t="str">
            <v>WC</v>
          </cell>
          <cell r="AJ1041"/>
        </row>
        <row r="1042">
          <cell r="E1042" t="str">
            <v>S2019226</v>
          </cell>
          <cell r="F1042" t="str">
            <v>SPS VERMILION BVD HILBERT</v>
          </cell>
          <cell r="H1042" t="str">
            <v>Supply Authority</v>
          </cell>
          <cell r="I1042" t="str">
            <v>S2019799</v>
          </cell>
          <cell r="J1042" t="str">
            <v>Main SB</v>
          </cell>
          <cell r="K1042" t="str">
            <v>JT03-41-5</v>
          </cell>
          <cell r="M1042">
            <v>100</v>
          </cell>
          <cell r="N1042">
            <v>22</v>
          </cell>
          <cell r="O1042">
            <v>415</v>
          </cell>
          <cell r="S1042" t="str">
            <v>XLPE</v>
          </cell>
          <cell r="T1042" t="str">
            <v>4x1C 25mm2</v>
          </cell>
          <cell r="V1042" t="str">
            <v>Fuse</v>
          </cell>
          <cell r="W1042">
            <v>100</v>
          </cell>
          <cell r="X1042" t="str">
            <v>JT03-40-2</v>
          </cell>
          <cell r="AF1042">
            <v>2008</v>
          </cell>
          <cell r="AH1042" t="str">
            <v>Dave Sutton</v>
          </cell>
          <cell r="AI1042" t="str">
            <v>WC</v>
          </cell>
          <cell r="AJ1042"/>
        </row>
        <row r="1043">
          <cell r="E1043" t="str">
            <v>S0028545</v>
          </cell>
          <cell r="F1043" t="str">
            <v>SPS MAWSON CR HILLARYS</v>
          </cell>
          <cell r="I1043" t="str">
            <v>S0028551</v>
          </cell>
          <cell r="J1043" t="str">
            <v>Main SB</v>
          </cell>
          <cell r="K1043" t="str">
            <v>10865-10-1</v>
          </cell>
          <cell r="M1043"/>
          <cell r="AF1043">
            <v>1971</v>
          </cell>
          <cell r="AH1043" t="str">
            <v>Dave Sutton</v>
          </cell>
          <cell r="AI1043" t="str">
            <v>WC</v>
          </cell>
          <cell r="AJ1043"/>
        </row>
        <row r="1044">
          <cell r="E1044" t="str">
            <v>S0028485</v>
          </cell>
          <cell r="F1044" t="str">
            <v>SPS MARINA SOUTH HILLARYS</v>
          </cell>
          <cell r="H1044" t="str">
            <v>Supply Authority</v>
          </cell>
          <cell r="I1044" t="str">
            <v>S0028488</v>
          </cell>
          <cell r="J1044" t="str">
            <v>Main SB</v>
          </cell>
          <cell r="K1044" t="str">
            <v>KA23-41-5</v>
          </cell>
          <cell r="M1044"/>
          <cell r="O1044">
            <v>415</v>
          </cell>
          <cell r="V1044" t="str">
            <v>Fuse</v>
          </cell>
          <cell r="W1044">
            <v>63</v>
          </cell>
          <cell r="AF1044">
            <v>1988</v>
          </cell>
          <cell r="AH1044" t="str">
            <v>Dave Sutton</v>
          </cell>
          <cell r="AI1044" t="str">
            <v>WC</v>
          </cell>
          <cell r="AJ1044"/>
        </row>
        <row r="1045">
          <cell r="E1045" t="str">
            <v>S0028717</v>
          </cell>
          <cell r="F1045" t="str">
            <v>SPS WOODVILLE HTS HILLARYS</v>
          </cell>
          <cell r="H1045" t="str">
            <v>SEC Supply</v>
          </cell>
          <cell r="I1045" t="str">
            <v>S0028720</v>
          </cell>
          <cell r="J1045" t="str">
            <v>Main SB</v>
          </cell>
          <cell r="K1045" t="str">
            <v>BI12-41-2</v>
          </cell>
          <cell r="M1045"/>
          <cell r="V1045" t="str">
            <v>Fuse</v>
          </cell>
          <cell r="W1045">
            <v>80</v>
          </cell>
          <cell r="AF1045">
            <v>1989</v>
          </cell>
          <cell r="AH1045" t="str">
            <v>Dave Sutton</v>
          </cell>
          <cell r="AI1045" t="str">
            <v>WC</v>
          </cell>
          <cell r="AJ1045"/>
        </row>
        <row r="1046">
          <cell r="E1046" t="str">
            <v>S0028481</v>
          </cell>
          <cell r="F1046" t="str">
            <v>SPS MARINA NORTH HILLARYS</v>
          </cell>
          <cell r="I1046" t="str">
            <v>S0028484</v>
          </cell>
          <cell r="M1046"/>
          <cell r="AF1046">
            <v>1990</v>
          </cell>
          <cell r="AH1046" t="str">
            <v>Dave Sutton</v>
          </cell>
          <cell r="AI1046" t="str">
            <v>WC</v>
          </cell>
          <cell r="AJ1046"/>
        </row>
        <row r="1047">
          <cell r="E1047" t="str">
            <v>S0028698</v>
          </cell>
          <cell r="F1047" t="str">
            <v>SPS WATERFORD DR HILLARYS</v>
          </cell>
          <cell r="I1047" t="str">
            <v>S0028704</v>
          </cell>
          <cell r="K1047" t="str">
            <v>11307-10-1</v>
          </cell>
          <cell r="M1047"/>
          <cell r="AF1047">
            <v>1993</v>
          </cell>
          <cell r="AH1047" t="str">
            <v>Dave Sutton</v>
          </cell>
          <cell r="AI1047" t="str">
            <v>WC</v>
          </cell>
          <cell r="AJ1047"/>
        </row>
        <row r="1048">
          <cell r="E1048" t="str">
            <v>S0030405</v>
          </cell>
          <cell r="F1048" t="str">
            <v>SPS COOMEL CL HILLMAN</v>
          </cell>
          <cell r="I1048" t="str">
            <v>S0030411</v>
          </cell>
          <cell r="K1048" t="str">
            <v>10561-40-1</v>
          </cell>
          <cell r="M1048"/>
          <cell r="AF1048">
            <v>1969</v>
          </cell>
          <cell r="AH1048" t="str">
            <v>Dave Sutton</v>
          </cell>
          <cell r="AI1048" t="str">
            <v>WC</v>
          </cell>
          <cell r="AJ1048"/>
        </row>
        <row r="1049">
          <cell r="E1049" t="str">
            <v>S0030498</v>
          </cell>
          <cell r="F1049" t="str">
            <v>SPS WENDO CT HILLMAN</v>
          </cell>
          <cell r="H1049" t="str">
            <v>Western Power</v>
          </cell>
          <cell r="I1049" t="str">
            <v>S0030504</v>
          </cell>
          <cell r="J1049" t="str">
            <v>Main SB</v>
          </cell>
          <cell r="K1049" t="str">
            <v>DI83-41-5</v>
          </cell>
          <cell r="M1049"/>
          <cell r="O1049">
            <v>415</v>
          </cell>
          <cell r="V1049" t="str">
            <v>MCB</v>
          </cell>
          <cell r="W1049">
            <v>125</v>
          </cell>
          <cell r="AF1049">
            <v>1969</v>
          </cell>
          <cell r="AH1049" t="str">
            <v>Dave Sutton</v>
          </cell>
          <cell r="AI1049" t="str">
            <v>WC</v>
          </cell>
          <cell r="AJ1049"/>
        </row>
        <row r="1050">
          <cell r="E1050" t="str">
            <v>D0036683</v>
          </cell>
          <cell r="F1050" t="str">
            <v>DPS CALUME ST HILLMAN</v>
          </cell>
          <cell r="H1050" t="str">
            <v>SEC Supply</v>
          </cell>
          <cell r="I1050" t="str">
            <v>D0036687</v>
          </cell>
          <cell r="J1050" t="str">
            <v>Main SB</v>
          </cell>
          <cell r="K1050" t="str">
            <v>16219-40-2</v>
          </cell>
          <cell r="M1050"/>
          <cell r="AF1050">
            <v>1975</v>
          </cell>
          <cell r="AH1050" t="str">
            <v>Dave Sutton</v>
          </cell>
          <cell r="AI1050" t="str">
            <v>WC</v>
          </cell>
          <cell r="AJ1050"/>
        </row>
        <row r="1051">
          <cell r="E1051" t="str">
            <v>S0030498</v>
          </cell>
          <cell r="F1051" t="str">
            <v>SPS WENDO CT HILLMAN</v>
          </cell>
          <cell r="H1051" t="str">
            <v>Main SB</v>
          </cell>
          <cell r="J1051" t="str">
            <v>Lighting and small power DB</v>
          </cell>
          <cell r="K1051" t="str">
            <v>DI83-41-5</v>
          </cell>
          <cell r="M1051"/>
          <cell r="O1051">
            <v>415</v>
          </cell>
          <cell r="S1051" t="str">
            <v>MCB</v>
          </cell>
          <cell r="T1051">
            <v>125</v>
          </cell>
          <cell r="V1051" t="str">
            <v>MCB</v>
          </cell>
          <cell r="W1051">
            <v>32</v>
          </cell>
          <cell r="AF1051">
            <v>1969</v>
          </cell>
          <cell r="AH1051" t="str">
            <v>Dave Sutton</v>
          </cell>
          <cell r="AI1051" t="str">
            <v>WC</v>
          </cell>
        </row>
        <row r="1052">
          <cell r="E1052" t="str">
            <v>S0033383</v>
          </cell>
          <cell r="F1052" t="str">
            <v>SPS BAXTER CL HUNTINGDALE</v>
          </cell>
          <cell r="H1052" t="str">
            <v>SEC Supply</v>
          </cell>
          <cell r="I1052" t="str">
            <v>S0033387</v>
          </cell>
          <cell r="J1052" t="str">
            <v>Main SB</v>
          </cell>
          <cell r="K1052" t="str">
            <v>CD24-42-3</v>
          </cell>
          <cell r="M1052"/>
          <cell r="O1052">
            <v>415</v>
          </cell>
          <cell r="V1052" t="str">
            <v>MCB</v>
          </cell>
          <cell r="W1052">
            <v>50</v>
          </cell>
          <cell r="AF1052">
            <v>1991</v>
          </cell>
          <cell r="AH1052" t="str">
            <v>Dave Sutton</v>
          </cell>
          <cell r="AI1052" t="str">
            <v>WC</v>
          </cell>
          <cell r="AJ1052"/>
        </row>
        <row r="1053">
          <cell r="E1053" t="str">
            <v>S0027264</v>
          </cell>
          <cell r="F1053" t="str">
            <v>SPS BURNS BEACH RD ILUKA</v>
          </cell>
          <cell r="I1053" t="str">
            <v>S0027267</v>
          </cell>
          <cell r="K1053" t="str">
            <v>CG04-41-4</v>
          </cell>
          <cell r="M1053"/>
          <cell r="AF1053">
            <v>1992</v>
          </cell>
          <cell r="AH1053" t="str">
            <v>Dave Sutton</v>
          </cell>
          <cell r="AI1053" t="str">
            <v>WC</v>
          </cell>
          <cell r="AJ1053"/>
        </row>
        <row r="1054">
          <cell r="E1054" t="str">
            <v>S0027310</v>
          </cell>
          <cell r="F1054" t="str">
            <v>SPS SILVERSANDS DR ILUKA</v>
          </cell>
          <cell r="H1054" t="str">
            <v>SEC Supply</v>
          </cell>
          <cell r="I1054" t="str">
            <v>S2003557</v>
          </cell>
          <cell r="J1054" t="str">
            <v>Main SB</v>
          </cell>
          <cell r="K1054" t="str">
            <v>CW47-41-5</v>
          </cell>
          <cell r="M1054"/>
          <cell r="O1054">
            <v>415</v>
          </cell>
          <cell r="S1054" t="str">
            <v>PYROLEX</v>
          </cell>
          <cell r="T1054" t="str">
            <v>10mm2</v>
          </cell>
          <cell r="V1054" t="str">
            <v>MCB</v>
          </cell>
          <cell r="W1054">
            <v>80</v>
          </cell>
          <cell r="AF1054">
            <v>1994</v>
          </cell>
          <cell r="AH1054" t="str">
            <v>Dave Sutton</v>
          </cell>
          <cell r="AI1054" t="str">
            <v>WC</v>
          </cell>
          <cell r="AJ1054"/>
        </row>
        <row r="1055">
          <cell r="E1055" t="str">
            <v>D0036241</v>
          </cell>
          <cell r="F1055" t="str">
            <v>DPS HOMER ST INGLEWOOD</v>
          </cell>
          <cell r="I1055" t="str">
            <v>D0036245</v>
          </cell>
          <cell r="K1055" t="str">
            <v>09807-40-1</v>
          </cell>
          <cell r="M1055"/>
          <cell r="AF1055">
            <v>1965</v>
          </cell>
          <cell r="AH1055" t="str">
            <v>Dave Sutton</v>
          </cell>
          <cell r="AI1055" t="str">
            <v>WC</v>
          </cell>
          <cell r="AJ1055"/>
        </row>
        <row r="1056">
          <cell r="E1056" t="str">
            <v>S0031697</v>
          </cell>
          <cell r="F1056" t="str">
            <v>SPS HAMER PDE INGLEWOOD</v>
          </cell>
          <cell r="H1056" t="str">
            <v>SEC Supply</v>
          </cell>
          <cell r="I1056" t="str">
            <v>S0031701</v>
          </cell>
          <cell r="J1056" t="str">
            <v>Main SB</v>
          </cell>
          <cell r="K1056" t="str">
            <v>06989-40-2</v>
          </cell>
          <cell r="M1056"/>
          <cell r="V1056" t="str">
            <v>MCB</v>
          </cell>
          <cell r="W1056">
            <v>150</v>
          </cell>
          <cell r="AF1056">
            <v>1948</v>
          </cell>
          <cell r="AH1056" t="str">
            <v>Dave Sutton</v>
          </cell>
          <cell r="AI1056" t="str">
            <v>WC</v>
          </cell>
          <cell r="AJ1056"/>
        </row>
        <row r="1057">
          <cell r="E1057" t="str">
            <v>S0031721</v>
          </cell>
          <cell r="F1057" t="str">
            <v>SPS JOHN ST INGLEWOOD</v>
          </cell>
          <cell r="I1057" t="str">
            <v>S0031727</v>
          </cell>
          <cell r="K1057" t="str">
            <v>05767-10-1</v>
          </cell>
          <cell r="M1057"/>
          <cell r="AF1057">
            <v>1984</v>
          </cell>
          <cell r="AH1057" t="str">
            <v>Dave Sutton</v>
          </cell>
          <cell r="AI1057" t="str">
            <v>WC</v>
          </cell>
          <cell r="AJ1057"/>
        </row>
        <row r="1058">
          <cell r="E1058" t="str">
            <v>S2003419</v>
          </cell>
          <cell r="F1058" t="str">
            <v>SPS HOMER ST INGLEWOOD</v>
          </cell>
          <cell r="I1058" t="str">
            <v>S2003423</v>
          </cell>
          <cell r="K1058" t="str">
            <v>FH92-41-5</v>
          </cell>
          <cell r="M1058"/>
          <cell r="AF1058">
            <v>2001</v>
          </cell>
          <cell r="AH1058" t="str">
            <v>Dave Sutton</v>
          </cell>
          <cell r="AI1058" t="str">
            <v>WC</v>
          </cell>
          <cell r="AJ1058"/>
        </row>
        <row r="1059">
          <cell r="E1059" t="str">
            <v>S0028671</v>
          </cell>
          <cell r="F1059" t="str">
            <v>SPS TWYFORD PL INNALOO</v>
          </cell>
          <cell r="H1059" t="str">
            <v>SEC Supply</v>
          </cell>
          <cell r="I1059" t="str">
            <v>S2003560</v>
          </cell>
          <cell r="J1059" t="str">
            <v>Main SB</v>
          </cell>
          <cell r="K1059" t="str">
            <v>DB29-41-5</v>
          </cell>
          <cell r="M1059"/>
          <cell r="O1059">
            <v>415</v>
          </cell>
          <cell r="S1059" t="str">
            <v>PYROLEX</v>
          </cell>
          <cell r="T1059" t="str">
            <v>3x1C 16mm2</v>
          </cell>
          <cell r="V1059" t="str">
            <v>MCB</v>
          </cell>
          <cell r="W1059">
            <v>63</v>
          </cell>
          <cell r="AF1059">
            <v>1995</v>
          </cell>
          <cell r="AH1059" t="str">
            <v>Dave Sutton</v>
          </cell>
          <cell r="AI1059" t="str">
            <v>WC</v>
          </cell>
          <cell r="AJ1059"/>
        </row>
        <row r="1060">
          <cell r="E1060" t="str">
            <v>S0038060</v>
          </cell>
          <cell r="F1060" t="str">
            <v>SPS BORONIA ST INNALOO</v>
          </cell>
          <cell r="H1060" t="str">
            <v>Supply Authority</v>
          </cell>
          <cell r="I1060" t="str">
            <v>S0038064</v>
          </cell>
          <cell r="J1060" t="str">
            <v>Main SB</v>
          </cell>
          <cell r="K1060" t="str">
            <v>ED54-41-5</v>
          </cell>
          <cell r="M1060">
            <v>200</v>
          </cell>
          <cell r="O1060">
            <v>415</v>
          </cell>
          <cell r="V1060" t="str">
            <v>MCB</v>
          </cell>
          <cell r="W1060">
            <v>32</v>
          </cell>
          <cell r="AF1060">
            <v>1998</v>
          </cell>
          <cell r="AH1060" t="str">
            <v>Dave Sutton</v>
          </cell>
          <cell r="AI1060" t="str">
            <v>WC</v>
          </cell>
          <cell r="AJ1060"/>
        </row>
        <row r="1061">
          <cell r="E1061" t="str">
            <v>S0033109</v>
          </cell>
          <cell r="F1061" t="str">
            <v>SPS TENNANT ST ST JAMES</v>
          </cell>
          <cell r="I1061" t="str">
            <v>S0033115</v>
          </cell>
          <cell r="K1061" t="str">
            <v>12641-40-1</v>
          </cell>
          <cell r="M1061"/>
          <cell r="AF1061">
            <v>1975</v>
          </cell>
          <cell r="AH1061" t="str">
            <v>Dave Sutton</v>
          </cell>
          <cell r="AI1061" t="str">
            <v>WC</v>
          </cell>
          <cell r="AJ1061"/>
        </row>
        <row r="1062">
          <cell r="E1062" t="str">
            <v>S0033066</v>
          </cell>
          <cell r="F1062" t="str">
            <v>SPS PALMERSTON ST ST JAMES</v>
          </cell>
          <cell r="H1062" t="str">
            <v>Supply Authority</v>
          </cell>
          <cell r="I1062" t="str">
            <v>S2020179</v>
          </cell>
          <cell r="J1062" t="str">
            <v>SPD and Metering Panel</v>
          </cell>
          <cell r="K1062" t="str">
            <v>10993-42-5</v>
          </cell>
          <cell r="M1062"/>
          <cell r="O1062">
            <v>415</v>
          </cell>
          <cell r="S1062" t="str">
            <v>XLPE</v>
          </cell>
          <cell r="T1062" t="str">
            <v>4x1C 50mm2</v>
          </cell>
          <cell r="V1062" t="str">
            <v>MCB</v>
          </cell>
          <cell r="W1062">
            <v>250</v>
          </cell>
          <cell r="AF1062">
            <v>2007</v>
          </cell>
          <cell r="AH1062" t="str">
            <v>Dave Sutton</v>
          </cell>
          <cell r="AI1062" t="str">
            <v>WC</v>
          </cell>
          <cell r="AJ1062"/>
        </row>
        <row r="1063">
          <cell r="E1063" t="str">
            <v>S0033140</v>
          </cell>
          <cell r="F1063" t="str">
            <v>SPS WYNDHAM ST ST JAMES</v>
          </cell>
          <cell r="H1063" t="str">
            <v>Supply Authority</v>
          </cell>
          <cell r="I1063" t="str">
            <v>S0033144</v>
          </cell>
          <cell r="J1063" t="str">
            <v>Main SB</v>
          </cell>
          <cell r="K1063" t="str">
            <v>DW09-41-5</v>
          </cell>
          <cell r="M1063"/>
          <cell r="O1063">
            <v>415</v>
          </cell>
          <cell r="S1063" t="str">
            <v>PYROLEX</v>
          </cell>
          <cell r="T1063" t="str">
            <v>10mm2</v>
          </cell>
          <cell r="V1063" t="str">
            <v>MCB</v>
          </cell>
          <cell r="W1063">
            <v>32</v>
          </cell>
          <cell r="AF1063">
            <v>1996</v>
          </cell>
          <cell r="AH1063" t="str">
            <v>Dave Sutton</v>
          </cell>
          <cell r="AI1063" t="str">
            <v>WC</v>
          </cell>
          <cell r="AJ1063"/>
        </row>
        <row r="1064">
          <cell r="E1064" t="str">
            <v>S0032955</v>
          </cell>
          <cell r="F1064" t="str">
            <v>SPS BONE ST ST JAMES</v>
          </cell>
          <cell r="I1064" t="str">
            <v>S0032961</v>
          </cell>
          <cell r="K1064" t="str">
            <v xml:space="preserve">08031- - </v>
          </cell>
          <cell r="M1064"/>
          <cell r="AF1064">
            <v>2001</v>
          </cell>
          <cell r="AH1064" t="str">
            <v>Dave Sutton</v>
          </cell>
          <cell r="AI1064" t="str">
            <v>WC</v>
          </cell>
          <cell r="AJ1064"/>
        </row>
        <row r="1065">
          <cell r="E1065" t="str">
            <v>S0033009</v>
          </cell>
          <cell r="F1065" t="str">
            <v>SPS HILL VIEW TCE ST JAMES</v>
          </cell>
          <cell r="I1065" t="str">
            <v>S2020175</v>
          </cell>
          <cell r="K1065" t="str">
            <v xml:space="preserve">08625- - </v>
          </cell>
          <cell r="M1065"/>
          <cell r="AF1065">
            <v>2005</v>
          </cell>
          <cell r="AH1065" t="str">
            <v>Dave Sutton</v>
          </cell>
          <cell r="AI1065" t="str">
            <v>WC</v>
          </cell>
          <cell r="AJ1065"/>
        </row>
        <row r="1066">
          <cell r="E1066" t="str">
            <v>S0033066</v>
          </cell>
          <cell r="F1066" t="str">
            <v>SPS PALMERSTON ST ST JAMES</v>
          </cell>
          <cell r="H1066" t="str">
            <v>SPD and Metering Panel</v>
          </cell>
          <cell r="J1066" t="str">
            <v>Main SB</v>
          </cell>
          <cell r="K1066" t="str">
            <v>10993-42-5</v>
          </cell>
          <cell r="M1066"/>
          <cell r="S1066" t="str">
            <v>XLPE/PVC</v>
          </cell>
          <cell r="T1066" t="str">
            <v>50mm2</v>
          </cell>
          <cell r="V1066" t="str">
            <v>MCB</v>
          </cell>
          <cell r="W1066">
            <v>160</v>
          </cell>
          <cell r="AF1066">
            <v>2007</v>
          </cell>
          <cell r="AH1066" t="str">
            <v>Dave Sutton</v>
          </cell>
          <cell r="AI1066" t="str">
            <v>WC</v>
          </cell>
          <cell r="AJ1066"/>
        </row>
        <row r="1067">
          <cell r="E1067" t="str">
            <v>S2023229</v>
          </cell>
          <cell r="F1067" t="str">
            <v>SPS MARRIOTT RD JANDAKOT</v>
          </cell>
          <cell r="I1067" t="str">
            <v>S2023235</v>
          </cell>
          <cell r="M1067"/>
          <cell r="AF1067">
            <v>2009</v>
          </cell>
          <cell r="AH1067" t="str">
            <v>Dave Sutton</v>
          </cell>
          <cell r="AI1067" t="str">
            <v>WC</v>
          </cell>
          <cell r="AJ1067" t="str">
            <v>Genset onsite (135kVA)</v>
          </cell>
        </row>
        <row r="1068">
          <cell r="E1068" t="str">
            <v>S2003384</v>
          </cell>
          <cell r="F1068" t="str">
            <v>SPS VERDE DR JANDAKOT</v>
          </cell>
          <cell r="H1068" t="str">
            <v>Supply Authority</v>
          </cell>
          <cell r="I1068" t="str">
            <v>S2003388</v>
          </cell>
          <cell r="J1068" t="str">
            <v>Main SB</v>
          </cell>
          <cell r="K1068" t="str">
            <v>FT69-41-5</v>
          </cell>
          <cell r="M1068">
            <v>200</v>
          </cell>
          <cell r="N1068">
            <v>22</v>
          </cell>
          <cell r="O1068">
            <v>415</v>
          </cell>
          <cell r="S1068" t="str">
            <v>XLPE</v>
          </cell>
          <cell r="T1068" t="str">
            <v>16mm2</v>
          </cell>
          <cell r="V1068" t="str">
            <v>MCB</v>
          </cell>
          <cell r="W1068">
            <v>63</v>
          </cell>
          <cell r="AF1068">
            <v>2003</v>
          </cell>
          <cell r="AH1068" t="str">
            <v>Dave Sutton</v>
          </cell>
          <cell r="AI1068" t="str">
            <v>WC</v>
          </cell>
          <cell r="AJ1068"/>
        </row>
        <row r="1069">
          <cell r="E1069" t="str">
            <v>S0028965</v>
          </cell>
          <cell r="F1069" t="str">
            <v>SPS DE GREY RTT JANE BROOK</v>
          </cell>
          <cell r="H1069" t="str">
            <v>SEC Supply</v>
          </cell>
          <cell r="I1069" t="str">
            <v>S2003533</v>
          </cell>
          <cell r="J1069" t="str">
            <v>Main SB</v>
          </cell>
          <cell r="K1069" t="str">
            <v>DE39-41-5</v>
          </cell>
          <cell r="M1069"/>
          <cell r="O1069">
            <v>415</v>
          </cell>
          <cell r="S1069" t="str">
            <v>PVC/PVC</v>
          </cell>
          <cell r="T1069" t="str">
            <v>10mm2</v>
          </cell>
          <cell r="V1069" t="str">
            <v>MCB</v>
          </cell>
          <cell r="W1069">
            <v>32</v>
          </cell>
          <cell r="AF1069">
            <v>2001</v>
          </cell>
          <cell r="AH1069" t="str">
            <v>Dave Sutton</v>
          </cell>
          <cell r="AI1069" t="str">
            <v>WC</v>
          </cell>
          <cell r="AJ1069"/>
        </row>
        <row r="1070">
          <cell r="E1070" t="str">
            <v>W2000005</v>
          </cell>
          <cell r="F1070" t="str">
            <v>WPS SCARP RD JARRAHDALE</v>
          </cell>
          <cell r="I1070" t="str">
            <v>W2000010</v>
          </cell>
          <cell r="K1070" t="str">
            <v>44751-1-2</v>
          </cell>
          <cell r="M1070">
            <v>200</v>
          </cell>
          <cell r="AF1070">
            <v>1982</v>
          </cell>
          <cell r="AH1070" t="str">
            <v>Dave Sutton</v>
          </cell>
          <cell r="AI1070" t="str">
            <v>WC</v>
          </cell>
          <cell r="AJ1070" t="str">
            <v>Genset onsite</v>
          </cell>
        </row>
        <row r="1071">
          <cell r="E1071" t="str">
            <v>S0032270</v>
          </cell>
          <cell r="F1071" t="str">
            <v>SPS JERSEY ST JOLIMONT</v>
          </cell>
          <cell r="I1071" t="str">
            <v>S0032276</v>
          </cell>
          <cell r="K1071" t="str">
            <v>05365-40-1</v>
          </cell>
          <cell r="AF1071">
            <v>1932</v>
          </cell>
          <cell r="AH1071" t="str">
            <v>Dave Sutton</v>
          </cell>
          <cell r="AI1071" t="str">
            <v>WC</v>
          </cell>
          <cell r="AJ1071"/>
        </row>
        <row r="1072">
          <cell r="E1072" t="str">
            <v>W0035689</v>
          </cell>
          <cell r="F1072" t="str">
            <v>WPS LADY EVELYN RTT JOONDALUP</v>
          </cell>
          <cell r="I1072" t="str">
            <v>W0035694</v>
          </cell>
          <cell r="M1072">
            <v>200</v>
          </cell>
          <cell r="AF1072">
            <v>1990</v>
          </cell>
          <cell r="AH1072" t="str">
            <v>Dave Sutton</v>
          </cell>
          <cell r="AI1072" t="str">
            <v>WC</v>
          </cell>
          <cell r="AJ1072" t="str">
            <v>Genset onsite (400kVA)</v>
          </cell>
        </row>
        <row r="1073">
          <cell r="E1073" t="str">
            <v>S0027301</v>
          </cell>
          <cell r="F1073" t="str">
            <v>SPS OHRID PL JOONDALUP</v>
          </cell>
          <cell r="H1073" t="str">
            <v>Supply Authority</v>
          </cell>
          <cell r="I1073" t="str">
            <v>S2003548</v>
          </cell>
          <cell r="J1073" t="str">
            <v>Main SB</v>
          </cell>
          <cell r="K1073" t="str">
            <v>EE41-41-5</v>
          </cell>
          <cell r="M1073">
            <v>200</v>
          </cell>
          <cell r="O1073">
            <v>415</v>
          </cell>
          <cell r="S1073" t="str">
            <v>PVC</v>
          </cell>
          <cell r="T1073" t="str">
            <v>10mm2</v>
          </cell>
          <cell r="V1073" t="str">
            <v>MCB</v>
          </cell>
          <cell r="W1073">
            <v>63</v>
          </cell>
          <cell r="AF1073">
            <v>1997</v>
          </cell>
          <cell r="AH1073" t="str">
            <v>Dave Sutton</v>
          </cell>
          <cell r="AI1073" t="str">
            <v>WC</v>
          </cell>
          <cell r="AJ1073"/>
        </row>
        <row r="1074">
          <cell r="E1074" t="str">
            <v>S0028325</v>
          </cell>
          <cell r="F1074" t="str">
            <v>SPS DAMPIER AV KALLAROO</v>
          </cell>
          <cell r="I1074" t="str">
            <v>S0028331</v>
          </cell>
          <cell r="K1074" t="str">
            <v xml:space="preserve">11428- - </v>
          </cell>
          <cell r="M1074"/>
          <cell r="AF1074">
            <v>1971</v>
          </cell>
          <cell r="AH1074" t="str">
            <v>Dave Sutton</v>
          </cell>
          <cell r="AI1074" t="str">
            <v>WC</v>
          </cell>
          <cell r="AJ1074"/>
        </row>
        <row r="1075">
          <cell r="E1075" t="str">
            <v>S0028306</v>
          </cell>
          <cell r="F1075" t="str">
            <v>SPS CONTEST CL KALLAROO</v>
          </cell>
          <cell r="I1075" t="str">
            <v>S0028312</v>
          </cell>
          <cell r="J1075" t="str">
            <v>Main SB</v>
          </cell>
          <cell r="K1075" t="str">
            <v>12675-4-8</v>
          </cell>
          <cell r="M1075"/>
          <cell r="AF1075">
            <v>1976</v>
          </cell>
          <cell r="AH1075" t="str">
            <v>Dave Sutton</v>
          </cell>
          <cell r="AI1075" t="str">
            <v>WC</v>
          </cell>
          <cell r="AJ1075"/>
        </row>
        <row r="1076">
          <cell r="E1076" t="str">
            <v>S0028653</v>
          </cell>
          <cell r="F1076" t="str">
            <v>SPS STANFORD RD KALLAROO</v>
          </cell>
          <cell r="I1076" t="str">
            <v>S0028659</v>
          </cell>
          <cell r="K1076" t="str">
            <v>11506-40-1</v>
          </cell>
          <cell r="M1076"/>
          <cell r="AF1076">
            <v>1972</v>
          </cell>
          <cell r="AH1076" t="str">
            <v>Dave Sutton</v>
          </cell>
          <cell r="AI1076" t="str">
            <v>WC</v>
          </cell>
          <cell r="AJ1076"/>
        </row>
        <row r="1077">
          <cell r="E1077" t="str">
            <v>S0034053</v>
          </cell>
          <cell r="F1077" t="str">
            <v>SPS GOSS AV KARAWARA</v>
          </cell>
          <cell r="H1077" t="str">
            <v>SEC Supply</v>
          </cell>
          <cell r="I1077" t="str">
            <v>S0034057</v>
          </cell>
          <cell r="J1077" t="str">
            <v>Main SB</v>
          </cell>
          <cell r="K1077" t="str">
            <v>07537-40-1</v>
          </cell>
          <cell r="M1077"/>
          <cell r="AF1077">
            <v>1976</v>
          </cell>
          <cell r="AH1077" t="str">
            <v>Dave Sutton</v>
          </cell>
          <cell r="AI1077" t="str">
            <v>WC</v>
          </cell>
          <cell r="AJ1077"/>
        </row>
        <row r="1078">
          <cell r="E1078" t="str">
            <v>S2003429</v>
          </cell>
          <cell r="F1078" t="str">
            <v>SPS BARTLETT CR KARRINYUP</v>
          </cell>
          <cell r="I1078" t="str">
            <v>S2003433</v>
          </cell>
          <cell r="K1078" t="str">
            <v>FC14-41-5</v>
          </cell>
          <cell r="M1078"/>
          <cell r="AF1078">
            <v>2001</v>
          </cell>
          <cell r="AH1078" t="str">
            <v>Dave Sutton</v>
          </cell>
          <cell r="AI1078" t="str">
            <v>WC</v>
          </cell>
          <cell r="AJ1078"/>
        </row>
        <row r="1079">
          <cell r="E1079" t="str">
            <v>S2007296</v>
          </cell>
          <cell r="F1079" t="str">
            <v>SPS RINALDI CR KARRINYUP</v>
          </cell>
          <cell r="I1079" t="str">
            <v>S2007781</v>
          </cell>
          <cell r="K1079" t="str">
            <v>GE75-41-5</v>
          </cell>
          <cell r="M1079"/>
          <cell r="AF1079">
            <v>2002</v>
          </cell>
          <cell r="AH1079" t="str">
            <v>Dave Sutton</v>
          </cell>
          <cell r="AI1079" t="str">
            <v>WC</v>
          </cell>
          <cell r="AJ1079"/>
        </row>
        <row r="1080">
          <cell r="E1080" t="str">
            <v>W0035063</v>
          </cell>
          <cell r="F1080" t="str">
            <v>WPS ARNEL ST KELMSCOTT</v>
          </cell>
          <cell r="H1080" t="str">
            <v>Main Switch Cubicle 10803-41-2</v>
          </cell>
          <cell r="I1080" t="str">
            <v>W0035068</v>
          </cell>
          <cell r="J1080" t="str">
            <v>Main SB</v>
          </cell>
          <cell r="K1080" t="str">
            <v>10803-40-1</v>
          </cell>
          <cell r="M1080"/>
          <cell r="AF1080">
            <v>1966</v>
          </cell>
          <cell r="AH1080" t="str">
            <v>Dave Sutton</v>
          </cell>
          <cell r="AI1080" t="str">
            <v>WC</v>
          </cell>
          <cell r="AJ1080"/>
        </row>
        <row r="1081">
          <cell r="E1081" t="str">
            <v>W0035115</v>
          </cell>
          <cell r="F1081" t="str">
            <v>WPS SCOTT RD KELMSCOTT</v>
          </cell>
          <cell r="H1081" t="str">
            <v>Main Switch Cubicle 10764-41-2</v>
          </cell>
          <cell r="I1081" t="str">
            <v>W0035120</v>
          </cell>
          <cell r="K1081" t="str">
            <v>10764-10-1</v>
          </cell>
          <cell r="M1081"/>
          <cell r="AF1081">
            <v>1970</v>
          </cell>
          <cell r="AH1081" t="str">
            <v>Dave Sutton</v>
          </cell>
          <cell r="AI1081" t="str">
            <v>WC</v>
          </cell>
          <cell r="AJ1081"/>
        </row>
        <row r="1082">
          <cell r="E1082" t="str">
            <v>S0032743</v>
          </cell>
          <cell r="F1082" t="str">
            <v>SPS CAMMILLO RD KELMSCOTT</v>
          </cell>
          <cell r="H1082" t="str">
            <v>SEC Supply</v>
          </cell>
          <cell r="I1082" t="str">
            <v>S0032747</v>
          </cell>
          <cell r="J1082" t="str">
            <v>Main SB</v>
          </cell>
          <cell r="K1082" t="str">
            <v>14993-40-3</v>
          </cell>
          <cell r="M1082"/>
          <cell r="V1082" t="str">
            <v>Fuse</v>
          </cell>
          <cell r="W1082">
            <v>50</v>
          </cell>
          <cell r="AF1082">
            <v>1979</v>
          </cell>
          <cell r="AH1082" t="str">
            <v>Dave Sutton</v>
          </cell>
          <cell r="AI1082" t="str">
            <v>WC</v>
          </cell>
          <cell r="AJ1082"/>
        </row>
        <row r="1083">
          <cell r="E1083" t="str">
            <v>S0032736</v>
          </cell>
          <cell r="F1083" t="str">
            <v>SPS BROOKSIDE AV KELMSCOTT</v>
          </cell>
          <cell r="I1083" t="str">
            <v>S0032742</v>
          </cell>
          <cell r="K1083" t="str">
            <v>10839-10-1</v>
          </cell>
          <cell r="M1083"/>
          <cell r="AF1083">
            <v>1972</v>
          </cell>
          <cell r="AH1083" t="str">
            <v>Dave Sutton</v>
          </cell>
          <cell r="AI1083" t="str">
            <v>WC</v>
          </cell>
          <cell r="AJ1083"/>
        </row>
        <row r="1084">
          <cell r="E1084" t="str">
            <v>S0032771</v>
          </cell>
          <cell r="F1084" t="str">
            <v>SPS PAGE RD KELMSCOTT</v>
          </cell>
          <cell r="H1084" t="str">
            <v>SEC Supply</v>
          </cell>
          <cell r="I1084" t="str">
            <v>S0032775</v>
          </cell>
          <cell r="J1084" t="str">
            <v>Main SB</v>
          </cell>
          <cell r="K1084" t="str">
            <v>AR21-111-12</v>
          </cell>
          <cell r="M1084"/>
          <cell r="O1084">
            <v>440</v>
          </cell>
          <cell r="V1084" t="str">
            <v>Fuse</v>
          </cell>
          <cell r="W1084">
            <v>35</v>
          </cell>
          <cell r="AF1084">
            <v>1986</v>
          </cell>
          <cell r="AH1084" t="str">
            <v>Dave Sutton</v>
          </cell>
          <cell r="AI1084" t="str">
            <v>WC</v>
          </cell>
          <cell r="AJ1084"/>
        </row>
        <row r="1085">
          <cell r="E1085" t="str">
            <v>S2003221</v>
          </cell>
          <cell r="F1085" t="str">
            <v>SPS BROOKTON HWY KELMSCOTT</v>
          </cell>
          <cell r="H1085" t="str">
            <v>Supply Authority</v>
          </cell>
          <cell r="I1085" t="str">
            <v>S2003225</v>
          </cell>
          <cell r="J1085" t="str">
            <v>Main SB</v>
          </cell>
          <cell r="K1085" t="str">
            <v>EJ35-41-5</v>
          </cell>
          <cell r="M1085">
            <v>200</v>
          </cell>
          <cell r="O1085">
            <v>415</v>
          </cell>
          <cell r="S1085" t="str">
            <v>PVC</v>
          </cell>
          <cell r="T1085" t="str">
            <v>16mm2</v>
          </cell>
          <cell r="V1085" t="str">
            <v>MCB</v>
          </cell>
          <cell r="W1085">
            <v>63</v>
          </cell>
          <cell r="AF1085">
            <v>2000</v>
          </cell>
          <cell r="AH1085" t="str">
            <v>Dave Sutton</v>
          </cell>
          <cell r="AI1085" t="str">
            <v>WC</v>
          </cell>
          <cell r="AJ1085"/>
        </row>
        <row r="1086">
          <cell r="E1086" t="str">
            <v>S0034065</v>
          </cell>
          <cell r="F1086" t="str">
            <v>SPS GWENYFRED RD KENSINGTON</v>
          </cell>
          <cell r="I1086" t="str">
            <v>S0034071</v>
          </cell>
          <cell r="K1086" t="str">
            <v>13475-40-1</v>
          </cell>
          <cell r="M1086"/>
          <cell r="AF1086">
            <v>1974</v>
          </cell>
          <cell r="AH1086" t="str">
            <v>Dave Sutton</v>
          </cell>
          <cell r="AI1086" t="str">
            <v>WC</v>
          </cell>
          <cell r="AJ1086"/>
        </row>
        <row r="1087">
          <cell r="E1087" t="str">
            <v>S0033004</v>
          </cell>
          <cell r="F1087" t="str">
            <v>SPS HAYMAN RD KENSINGTON</v>
          </cell>
          <cell r="I1087" t="str">
            <v>S0033008</v>
          </cell>
          <cell r="K1087" t="str">
            <v xml:space="preserve">AJ38- - </v>
          </cell>
          <cell r="M1087"/>
          <cell r="AF1087">
            <v>1985</v>
          </cell>
          <cell r="AH1087" t="str">
            <v>Dave Sutton</v>
          </cell>
          <cell r="AI1087" t="str">
            <v>WC</v>
          </cell>
          <cell r="AJ1087"/>
        </row>
        <row r="1088">
          <cell r="E1088" t="str">
            <v>S0033487</v>
          </cell>
          <cell r="F1088" t="str">
            <v>SPS ROYAL ST KENWICK</v>
          </cell>
          <cell r="H1088" t="str">
            <v>SEC Supply</v>
          </cell>
          <cell r="I1088" t="str">
            <v>S0033493</v>
          </cell>
          <cell r="J1088" t="str">
            <v>Main SB</v>
          </cell>
          <cell r="K1088" t="str">
            <v>17027-40-2</v>
          </cell>
          <cell r="M1088">
            <v>63</v>
          </cell>
          <cell r="V1088" t="str">
            <v>Fuse</v>
          </cell>
          <cell r="W1088">
            <v>150</v>
          </cell>
          <cell r="AF1088">
            <v>1980</v>
          </cell>
          <cell r="AH1088" t="str">
            <v>Dave Sutton</v>
          </cell>
          <cell r="AI1088" t="str">
            <v>WC</v>
          </cell>
          <cell r="AJ1088"/>
        </row>
        <row r="1089">
          <cell r="E1089" t="str">
            <v>S0033469</v>
          </cell>
          <cell r="F1089" t="str">
            <v>SPS MASTERS ST KENWICK</v>
          </cell>
          <cell r="I1089" t="str">
            <v>S0033475</v>
          </cell>
          <cell r="K1089" t="str">
            <v>11612-0-21</v>
          </cell>
          <cell r="M1089"/>
          <cell r="AF1089">
            <v>1974</v>
          </cell>
          <cell r="AH1089" t="str">
            <v>Dave Sutton</v>
          </cell>
          <cell r="AI1089" t="str">
            <v>WC</v>
          </cell>
          <cell r="AJ1089"/>
        </row>
        <row r="1090">
          <cell r="E1090" t="str">
            <v>S0033412</v>
          </cell>
          <cell r="F1090" t="str">
            <v>SPS GAYHURST RD KENWICK</v>
          </cell>
          <cell r="I1090" t="str">
            <v>S0033418</v>
          </cell>
          <cell r="K1090" t="str">
            <v>12269-10-1</v>
          </cell>
          <cell r="M1090"/>
          <cell r="AF1090">
            <v>1975</v>
          </cell>
          <cell r="AH1090" t="str">
            <v>Dave Sutton</v>
          </cell>
          <cell r="AI1090" t="str">
            <v>WC</v>
          </cell>
          <cell r="AJ1090"/>
        </row>
        <row r="1091">
          <cell r="E1091" t="str">
            <v>S0033506</v>
          </cell>
          <cell r="F1091" t="str">
            <v>SPS WANAPING RD KENWICK</v>
          </cell>
          <cell r="H1091" t="str">
            <v>Supply Authority</v>
          </cell>
          <cell r="I1091" t="str">
            <v>S0033510</v>
          </cell>
          <cell r="J1091" t="str">
            <v>Main SB</v>
          </cell>
          <cell r="K1091" t="str">
            <v>DK37-41-5</v>
          </cell>
          <cell r="M1091">
            <v>200</v>
          </cell>
          <cell r="O1091">
            <v>415</v>
          </cell>
          <cell r="V1091" t="str">
            <v>MCB</v>
          </cell>
          <cell r="W1091">
            <v>32</v>
          </cell>
          <cell r="AF1091">
            <v>1998</v>
          </cell>
          <cell r="AH1091" t="str">
            <v>Dave Sutton</v>
          </cell>
          <cell r="AI1091" t="str">
            <v>WC</v>
          </cell>
          <cell r="AJ1091"/>
        </row>
        <row r="1092">
          <cell r="E1092" t="str">
            <v>D0036398</v>
          </cell>
          <cell r="F1092" t="str">
            <v>DPS FULHAM ST KEWDALE</v>
          </cell>
          <cell r="H1092" t="str">
            <v>SEC Supply</v>
          </cell>
          <cell r="I1092" t="str">
            <v>D0036402</v>
          </cell>
          <cell r="J1092" t="str">
            <v>Main SB</v>
          </cell>
          <cell r="K1092" t="str">
            <v>AH22-41-4</v>
          </cell>
          <cell r="M1092"/>
          <cell r="V1092" t="str">
            <v>Fuse</v>
          </cell>
          <cell r="W1092">
            <v>50</v>
          </cell>
          <cell r="AF1092">
            <v>1962</v>
          </cell>
          <cell r="AH1092" t="str">
            <v>Dave Sutton</v>
          </cell>
          <cell r="AI1092" t="str">
            <v>WC</v>
          </cell>
          <cell r="AJ1092"/>
        </row>
        <row r="1093">
          <cell r="E1093" t="str">
            <v>S0033054</v>
          </cell>
          <cell r="F1093" t="str">
            <v>SPS MILES RD KEWDALE</v>
          </cell>
          <cell r="I1093" t="str">
            <v>S0033060</v>
          </cell>
          <cell r="K1093" t="str">
            <v>11469-2-1</v>
          </cell>
          <cell r="M1093"/>
          <cell r="AF1093">
            <v>1971</v>
          </cell>
          <cell r="AH1093" t="str">
            <v>Dave Sutton</v>
          </cell>
          <cell r="AI1093" t="str">
            <v>WC</v>
          </cell>
          <cell r="AJ1093"/>
        </row>
        <row r="1094">
          <cell r="E1094" t="str">
            <v>S2002894</v>
          </cell>
          <cell r="F1094" t="str">
            <v>SPS BALLANTYNE RD KEWDALE</v>
          </cell>
          <cell r="H1094" t="str">
            <v>Supply Authority</v>
          </cell>
          <cell r="I1094" t="str">
            <v>S2002898</v>
          </cell>
          <cell r="J1094" t="str">
            <v>Main SB</v>
          </cell>
          <cell r="K1094" t="str">
            <v>EQ60-42-2</v>
          </cell>
          <cell r="M1094"/>
          <cell r="O1094">
            <v>415</v>
          </cell>
          <cell r="S1094" t="str">
            <v>PYROLEX</v>
          </cell>
          <cell r="T1094" t="str">
            <v>35mm2</v>
          </cell>
          <cell r="V1094" t="str">
            <v>Fuse</v>
          </cell>
          <cell r="W1094">
            <v>32</v>
          </cell>
          <cell r="AF1094">
            <v>1999</v>
          </cell>
          <cell r="AH1094" t="str">
            <v>Dave Sutton</v>
          </cell>
          <cell r="AI1094" t="str">
            <v>WC</v>
          </cell>
          <cell r="AJ1094"/>
        </row>
        <row r="1095">
          <cell r="E1095" t="str">
            <v>S0032964</v>
          </cell>
          <cell r="F1095" t="str">
            <v>SPS CHISHOLM CR KEWDALE</v>
          </cell>
          <cell r="H1095" t="str">
            <v>SEC Supply</v>
          </cell>
          <cell r="I1095" t="str">
            <v>S0032968</v>
          </cell>
          <cell r="J1095" t="str">
            <v>Main SB</v>
          </cell>
          <cell r="K1095" t="str">
            <v>BR08-41-1</v>
          </cell>
          <cell r="M1095"/>
          <cell r="O1095">
            <v>415</v>
          </cell>
          <cell r="V1095" t="str">
            <v>Fuse</v>
          </cell>
          <cell r="W1095">
            <v>40</v>
          </cell>
          <cell r="AF1095">
            <v>1992</v>
          </cell>
          <cell r="AH1095" t="str">
            <v>Dave Sutton</v>
          </cell>
          <cell r="AI1095" t="str">
            <v>WC</v>
          </cell>
          <cell r="AJ1095"/>
        </row>
        <row r="1096">
          <cell r="E1096" t="str">
            <v>S0034113</v>
          </cell>
          <cell r="F1096" t="str">
            <v>SPS KNUTSFORD AV KEWDALE</v>
          </cell>
          <cell r="H1096" t="str">
            <v>SEC Supply</v>
          </cell>
          <cell r="I1096" t="str">
            <v>S0034117</v>
          </cell>
          <cell r="J1096" t="str">
            <v>Main SB</v>
          </cell>
          <cell r="K1096" t="str">
            <v>CM42-41-5</v>
          </cell>
          <cell r="M1096"/>
          <cell r="O1096">
            <v>415</v>
          </cell>
          <cell r="V1096" t="str">
            <v>MCB</v>
          </cell>
          <cell r="W1096">
            <v>63</v>
          </cell>
          <cell r="AF1096">
            <v>1993</v>
          </cell>
          <cell r="AH1096" t="str">
            <v>Dave Sutton</v>
          </cell>
          <cell r="AI1096" t="str">
            <v>WC</v>
          </cell>
          <cell r="AJ1096"/>
        </row>
        <row r="1097">
          <cell r="E1097" t="str">
            <v>S2000268</v>
          </cell>
          <cell r="F1097" t="str">
            <v>SPS COHN ST KEWDALE</v>
          </cell>
          <cell r="H1097" t="str">
            <v>Supply Authority</v>
          </cell>
          <cell r="I1097" t="str">
            <v>S2000278</v>
          </cell>
          <cell r="J1097" t="str">
            <v>Main SB</v>
          </cell>
          <cell r="K1097" t="str">
            <v>EL34-41-5</v>
          </cell>
          <cell r="M1097">
            <v>200</v>
          </cell>
          <cell r="O1097">
            <v>415</v>
          </cell>
          <cell r="V1097" t="str">
            <v>MCB</v>
          </cell>
          <cell r="W1097">
            <v>32</v>
          </cell>
          <cell r="AF1097">
            <v>1999</v>
          </cell>
          <cell r="AH1097" t="str">
            <v>Dave Sutton</v>
          </cell>
          <cell r="AI1097" t="str">
            <v>WC</v>
          </cell>
          <cell r="AJ1097"/>
        </row>
        <row r="1098">
          <cell r="E1098" t="str">
            <v>S2002894</v>
          </cell>
          <cell r="F1098" t="str">
            <v>SPS BALLANTYNE RD KEWDALE</v>
          </cell>
          <cell r="H1098" t="str">
            <v>Main SB</v>
          </cell>
          <cell r="J1098" t="str">
            <v>Pump Cubicle</v>
          </cell>
          <cell r="K1098" t="str">
            <v>EQ60-41-5</v>
          </cell>
          <cell r="M1098"/>
          <cell r="S1098" t="str">
            <v>XLPE</v>
          </cell>
          <cell r="T1098" t="str">
            <v>25mm2</v>
          </cell>
          <cell r="V1098" t="str">
            <v>MCB</v>
          </cell>
          <cell r="W1098">
            <v>32</v>
          </cell>
          <cell r="AF1098">
            <v>1999</v>
          </cell>
          <cell r="AH1098" t="str">
            <v>Dave Sutton</v>
          </cell>
          <cell r="AI1098" t="str">
            <v>WC</v>
          </cell>
          <cell r="AJ1098"/>
        </row>
        <row r="1099">
          <cell r="E1099" t="str">
            <v>S0030066</v>
          </cell>
          <cell r="F1099" t="str">
            <v>SPS BOTTLEBRUSH DR KIARA</v>
          </cell>
          <cell r="I1099" t="str">
            <v>S0030070</v>
          </cell>
          <cell r="K1099" t="str">
            <v>BB04-41-2</v>
          </cell>
          <cell r="M1099"/>
          <cell r="AF1099">
            <v>1988</v>
          </cell>
          <cell r="AH1099" t="str">
            <v>Dave Sutton</v>
          </cell>
          <cell r="AI1099" t="str">
            <v>WC</v>
          </cell>
          <cell r="AJ1099"/>
        </row>
        <row r="1100">
          <cell r="E1100" t="str">
            <v>W0034616</v>
          </cell>
          <cell r="F1100" t="str">
            <v>WPS FRASER AV KINGS PARK</v>
          </cell>
          <cell r="I1100" t="str">
            <v>W0034621</v>
          </cell>
          <cell r="M1100">
            <v>500</v>
          </cell>
          <cell r="AF1100">
            <v>1960</v>
          </cell>
          <cell r="AH1100" t="str">
            <v>Dave Sutton</v>
          </cell>
          <cell r="AI1100" t="str">
            <v>WC</v>
          </cell>
          <cell r="AJ1100"/>
        </row>
        <row r="1101">
          <cell r="E1101" t="str">
            <v>S0028423</v>
          </cell>
          <cell r="F1101" t="str">
            <v>SPS GOOLLELAL DR KINGSLEY</v>
          </cell>
          <cell r="I1101" t="str">
            <v>S0028429</v>
          </cell>
          <cell r="J1101" t="str">
            <v>Main SB</v>
          </cell>
          <cell r="K1101" t="str">
            <v>14165-40-1</v>
          </cell>
          <cell r="M1101"/>
          <cell r="AF1101">
            <v>1976</v>
          </cell>
          <cell r="AH1101" t="str">
            <v>Dave Sutton</v>
          </cell>
          <cell r="AI1101" t="str">
            <v>WC</v>
          </cell>
          <cell r="AJ1101"/>
        </row>
        <row r="1102">
          <cell r="E1102" t="str">
            <v>S0028519</v>
          </cell>
          <cell r="F1102" t="str">
            <v>SPS KINGSLEY DR KINGSLEY</v>
          </cell>
          <cell r="I1102" t="str">
            <v>S0028525</v>
          </cell>
          <cell r="K1102" t="str">
            <v xml:space="preserve">14724- - </v>
          </cell>
          <cell r="M1102"/>
          <cell r="AF1102">
            <v>1978</v>
          </cell>
          <cell r="AH1102" t="str">
            <v>Dave Sutton</v>
          </cell>
          <cell r="AI1102" t="str">
            <v>WC</v>
          </cell>
          <cell r="AJ1102"/>
        </row>
        <row r="1103">
          <cell r="E1103" t="str">
            <v>S0028571</v>
          </cell>
          <cell r="F1103" t="str">
            <v>SPS MUIRHEAD WY KINGSLEY</v>
          </cell>
          <cell r="H1103" t="str">
            <v>SEC Supply</v>
          </cell>
          <cell r="I1103" t="str">
            <v>S0028574</v>
          </cell>
          <cell r="J1103" t="str">
            <v>Main SB</v>
          </cell>
          <cell r="K1103" t="str">
            <v>BM15-41-2</v>
          </cell>
          <cell r="M1103"/>
          <cell r="V1103" t="str">
            <v>Fuse</v>
          </cell>
          <cell r="W1103">
            <v>50</v>
          </cell>
          <cell r="AF1103">
            <v>1989</v>
          </cell>
          <cell r="AH1103" t="str">
            <v>Dave Sutton</v>
          </cell>
          <cell r="AI1103" t="str">
            <v>WC</v>
          </cell>
          <cell r="AJ1103"/>
        </row>
        <row r="1104">
          <cell r="E1104" t="str">
            <v>S2003353</v>
          </cell>
          <cell r="F1104" t="str">
            <v>SPS WOODLAKE RT KINGSLEY</v>
          </cell>
          <cell r="H1104" t="str">
            <v>Supply Authority</v>
          </cell>
          <cell r="I1104" t="str">
            <v>S2003357</v>
          </cell>
          <cell r="J1104" t="str">
            <v>Main SB</v>
          </cell>
          <cell r="K1104" t="str">
            <v>FI64-41-5</v>
          </cell>
          <cell r="M1104"/>
          <cell r="O1104">
            <v>415</v>
          </cell>
          <cell r="S1104" t="str">
            <v>PYROLEX</v>
          </cell>
          <cell r="T1104" t="str">
            <v>16mm2</v>
          </cell>
          <cell r="V1104" t="str">
            <v>MCB</v>
          </cell>
          <cell r="W1104">
            <v>63</v>
          </cell>
          <cell r="AF1104">
            <v>2000</v>
          </cell>
          <cell r="AH1104" t="str">
            <v>Dave Sutton</v>
          </cell>
          <cell r="AI1104" t="str">
            <v>WC</v>
          </cell>
          <cell r="AJ1104"/>
        </row>
        <row r="1105">
          <cell r="E1105" t="str">
            <v>S0029126</v>
          </cell>
          <cell r="F1105" t="str">
            <v>SPS LOCHY CL KINROSS</v>
          </cell>
          <cell r="H1105" t="str">
            <v>SEC Supply</v>
          </cell>
          <cell r="I1105" t="str">
            <v>S2003544</v>
          </cell>
          <cell r="J1105" t="str">
            <v>Main SB</v>
          </cell>
          <cell r="K1105" t="str">
            <v>DB44-41-5</v>
          </cell>
          <cell r="M1105"/>
          <cell r="O1105">
            <v>415</v>
          </cell>
          <cell r="S1105" t="str">
            <v>PYROLEX</v>
          </cell>
          <cell r="T1105" t="str">
            <v>3x1C 25mm2</v>
          </cell>
          <cell r="V1105" t="str">
            <v>MCB</v>
          </cell>
          <cell r="W1105">
            <v>125</v>
          </cell>
          <cell r="AF1105">
            <v>1995</v>
          </cell>
          <cell r="AH1105" t="str">
            <v>Dave Sutton</v>
          </cell>
          <cell r="AI1105" t="str">
            <v>WC</v>
          </cell>
          <cell r="AJ1105"/>
        </row>
        <row r="1106">
          <cell r="E1106" t="str">
            <v>S0027273</v>
          </cell>
          <cell r="F1106" t="str">
            <v>SPS DUNSCORE WY KINROSS</v>
          </cell>
          <cell r="H1106" t="str">
            <v>SEC Supply</v>
          </cell>
          <cell r="I1106" t="str">
            <v>S0027276</v>
          </cell>
          <cell r="J1106" t="str">
            <v>Main SB</v>
          </cell>
          <cell r="K1106" t="str">
            <v>BY66-41-4</v>
          </cell>
          <cell r="M1106"/>
          <cell r="O1106">
            <v>415</v>
          </cell>
          <cell r="S1106" t="str">
            <v>XLPE/PVC</v>
          </cell>
          <cell r="T1106" t="str">
            <v>3x1C 16mm2</v>
          </cell>
          <cell r="V1106" t="str">
            <v>Fuse</v>
          </cell>
          <cell r="W1106">
            <v>160</v>
          </cell>
          <cell r="AF1106">
            <v>2000</v>
          </cell>
          <cell r="AH1106" t="str">
            <v>Dave Sutton</v>
          </cell>
          <cell r="AI1106" t="str">
            <v>WC</v>
          </cell>
          <cell r="AJ1106"/>
        </row>
        <row r="1107">
          <cell r="E1107" t="str">
            <v>S0029122</v>
          </cell>
          <cell r="F1107" t="str">
            <v>SPS FALKLAND AV KINROSS</v>
          </cell>
          <cell r="I1107" t="str">
            <v>S0029125</v>
          </cell>
          <cell r="K1107" t="str">
            <v xml:space="preserve">CM98- - </v>
          </cell>
          <cell r="M1107"/>
          <cell r="AF1107">
            <v>1992</v>
          </cell>
          <cell r="AH1107" t="str">
            <v>Dave Sutton</v>
          </cell>
          <cell r="AI1107" t="str">
            <v>WC</v>
          </cell>
          <cell r="AJ1107"/>
        </row>
        <row r="1108">
          <cell r="E1108" t="str">
            <v>S0028604</v>
          </cell>
          <cell r="F1108" t="str">
            <v>SPS RENDELL WY KOONDOOLA</v>
          </cell>
          <cell r="I1108" t="str">
            <v>S0028610</v>
          </cell>
          <cell r="J1108" t="str">
            <v>Main SB</v>
          </cell>
          <cell r="K1108" t="str">
            <v>12207-10-1</v>
          </cell>
          <cell r="M1108"/>
          <cell r="AF1108">
            <v>1975</v>
          </cell>
          <cell r="AH1108" t="str">
            <v>Dave Sutton</v>
          </cell>
          <cell r="AI1108" t="str">
            <v>WC</v>
          </cell>
          <cell r="AJ1108"/>
        </row>
        <row r="1109">
          <cell r="E1109" t="str">
            <v>S0030301</v>
          </cell>
          <cell r="F1109" t="str">
            <v>SPS MEARES AV KWINANA</v>
          </cell>
          <cell r="H1109" t="str">
            <v>SEC Supply</v>
          </cell>
          <cell r="I1109" t="str">
            <v>S0030305</v>
          </cell>
          <cell r="J1109" t="str">
            <v>SB1</v>
          </cell>
          <cell r="K1109" t="str">
            <v>AF78-40-1</v>
          </cell>
          <cell r="M1109"/>
          <cell r="AF1109">
            <v>1985</v>
          </cell>
          <cell r="AH1109" t="str">
            <v>Dave Sutton</v>
          </cell>
          <cell r="AI1109" t="str">
            <v>WC</v>
          </cell>
          <cell r="AJ1109"/>
        </row>
        <row r="1110">
          <cell r="E1110" t="str">
            <v>S8009182</v>
          </cell>
          <cell r="F1110" t="str">
            <v>SPS BADGERUP BVD LAKELANDS</v>
          </cell>
          <cell r="H1110" t="str">
            <v>Supply Authority</v>
          </cell>
          <cell r="I1110" t="str">
            <v>S8009312</v>
          </cell>
          <cell r="J1110" t="str">
            <v>Main SB</v>
          </cell>
          <cell r="K1110" t="str">
            <v>IF81-41-5</v>
          </cell>
          <cell r="M1110"/>
          <cell r="N1110">
            <v>22</v>
          </cell>
          <cell r="O1110">
            <v>415</v>
          </cell>
          <cell r="S1110" t="str">
            <v>XLPE/PVC</v>
          </cell>
          <cell r="T1110" t="str">
            <v>3x1C 25mm2</v>
          </cell>
          <cell r="V1110" t="str">
            <v>Fuse</v>
          </cell>
          <cell r="W1110">
            <v>100</v>
          </cell>
          <cell r="X1110" t="str">
            <v>IF81-40-2</v>
          </cell>
          <cell r="AF1110">
            <v>2007</v>
          </cell>
          <cell r="AH1110" t="str">
            <v>Dave Sutton</v>
          </cell>
          <cell r="AI1110" t="str">
            <v>WC</v>
          </cell>
          <cell r="AJ1110"/>
        </row>
        <row r="1111">
          <cell r="E1111" t="str">
            <v>W8005680</v>
          </cell>
          <cell r="F1111" t="str">
            <v>WPS YINDANA BVD LAKELANDS BOOSTER</v>
          </cell>
          <cell r="H1111" t="str">
            <v>Supply Authority</v>
          </cell>
          <cell r="I1111" t="str">
            <v>W8005682</v>
          </cell>
          <cell r="J1111" t="str">
            <v>Main SB</v>
          </cell>
          <cell r="K1111" t="str">
            <v>IS73-41-5</v>
          </cell>
          <cell r="M1111"/>
          <cell r="O1111">
            <v>415</v>
          </cell>
          <cell r="S1111" t="str">
            <v>XLPE</v>
          </cell>
          <cell r="T1111" t="str">
            <v>25mm2</v>
          </cell>
          <cell r="V1111" t="str">
            <v>Fuse</v>
          </cell>
          <cell r="W1111">
            <v>100</v>
          </cell>
          <cell r="AF1111">
            <v>2007</v>
          </cell>
          <cell r="AH1111" t="str">
            <v>Dave Sutton</v>
          </cell>
          <cell r="AI1111" t="str">
            <v>WC</v>
          </cell>
          <cell r="AJ1111"/>
        </row>
        <row r="1112">
          <cell r="E1112" t="str">
            <v>S8009183</v>
          </cell>
          <cell r="F1112" t="str">
            <v>SPS WARBURTON TRL LAKELANDS</v>
          </cell>
          <cell r="H1112" t="str">
            <v>Supply Authority</v>
          </cell>
          <cell r="I1112" t="str">
            <v>S8009326</v>
          </cell>
          <cell r="J1112" t="str">
            <v>Main SB</v>
          </cell>
          <cell r="K1112" t="str">
            <v>HW74-41-5</v>
          </cell>
          <cell r="M1112"/>
          <cell r="N1112">
            <v>22</v>
          </cell>
          <cell r="O1112">
            <v>415</v>
          </cell>
          <cell r="S1112" t="str">
            <v>XLPE/PVC</v>
          </cell>
          <cell r="T1112" t="str">
            <v>3x1C 25mm2</v>
          </cell>
          <cell r="V1112" t="str">
            <v>Fuse</v>
          </cell>
          <cell r="W1112">
            <v>100</v>
          </cell>
          <cell r="X1112" t="str">
            <v>HW74-40-2</v>
          </cell>
          <cell r="AF1112">
            <v>2007</v>
          </cell>
          <cell r="AH1112" t="str">
            <v>Dave Sutton</v>
          </cell>
          <cell r="AI1112" t="str">
            <v>WC</v>
          </cell>
          <cell r="AJ1112"/>
        </row>
        <row r="1113">
          <cell r="E1113" t="str">
            <v>S0029341</v>
          </cell>
          <cell r="F1113" t="str">
            <v>SPS ROGERS WY LANDSDALE</v>
          </cell>
          <cell r="I1113" t="str">
            <v>S0029347</v>
          </cell>
          <cell r="J1113" t="str">
            <v>Main SB</v>
          </cell>
          <cell r="K1113" t="str">
            <v>14287-40-3</v>
          </cell>
          <cell r="M1113"/>
          <cell r="AF1113">
            <v>1978</v>
          </cell>
          <cell r="AH1113" t="str">
            <v>Dave Sutton</v>
          </cell>
          <cell r="AI1113" t="str">
            <v>WC</v>
          </cell>
          <cell r="AJ1113"/>
        </row>
        <row r="1114">
          <cell r="E1114" t="str">
            <v>S2023465</v>
          </cell>
          <cell r="F1114" t="str">
            <v>SPS ALHAMBRA PWY LANDSDALE</v>
          </cell>
          <cell r="H1114" t="str">
            <v>Supply Authority</v>
          </cell>
          <cell r="I1114" t="str">
            <v>S2030442</v>
          </cell>
          <cell r="J1114" t="str">
            <v>Main SB</v>
          </cell>
          <cell r="K1114" t="str">
            <v>KA58-41-5</v>
          </cell>
          <cell r="M1114">
            <v>1000</v>
          </cell>
          <cell r="N1114">
            <v>22</v>
          </cell>
          <cell r="O1114">
            <v>415</v>
          </cell>
          <cell r="S1114" t="str">
            <v>XLPE</v>
          </cell>
          <cell r="T1114" t="str">
            <v>4x1C 150mm2</v>
          </cell>
          <cell r="V1114" t="str">
            <v>MCB</v>
          </cell>
          <cell r="W1114">
            <v>250</v>
          </cell>
          <cell r="X1114" t="str">
            <v>KA58-40-2</v>
          </cell>
          <cell r="AF1114">
            <v>2011</v>
          </cell>
          <cell r="AH1114" t="str">
            <v>Dave Sutton</v>
          </cell>
          <cell r="AI1114" t="str">
            <v>WC</v>
          </cell>
          <cell r="AJ1114"/>
        </row>
        <row r="1115">
          <cell r="E1115" t="str">
            <v>S0029348</v>
          </cell>
          <cell r="F1115" t="str">
            <v>SPS WARRADALE TCE LANDSDALE</v>
          </cell>
          <cell r="H1115" t="str">
            <v>SEC Supply</v>
          </cell>
          <cell r="I1115" t="str">
            <v>S2003568</v>
          </cell>
          <cell r="J1115" t="str">
            <v>Main SB</v>
          </cell>
          <cell r="K1115" t="str">
            <v>CZ43-41-5</v>
          </cell>
          <cell r="M1115"/>
          <cell r="O1115">
            <v>415</v>
          </cell>
          <cell r="V1115" t="str">
            <v>MCB</v>
          </cell>
          <cell r="W1115">
            <v>80</v>
          </cell>
          <cell r="AF1115">
            <v>1995</v>
          </cell>
          <cell r="AH1115" t="str">
            <v>Dave Sutton</v>
          </cell>
          <cell r="AI1115" t="str">
            <v>WC</v>
          </cell>
          <cell r="AJ1115"/>
        </row>
        <row r="1116">
          <cell r="E1116" t="str">
            <v>S2015121</v>
          </cell>
          <cell r="F1116" t="str">
            <v>SPS KINGSWAY LANDSDALE</v>
          </cell>
          <cell r="H1116" t="str">
            <v>Supply Authority</v>
          </cell>
          <cell r="I1116" t="str">
            <v>S2017021</v>
          </cell>
          <cell r="J1116" t="str">
            <v>Main SB</v>
          </cell>
          <cell r="K1116" t="str">
            <v>GQ99-41-5</v>
          </cell>
          <cell r="M1116">
            <v>200</v>
          </cell>
          <cell r="N1116">
            <v>22</v>
          </cell>
          <cell r="O1116">
            <v>415</v>
          </cell>
          <cell r="S1116" t="str">
            <v>PVC</v>
          </cell>
          <cell r="T1116" t="str">
            <v>16mm2</v>
          </cell>
          <cell r="V1116" t="str">
            <v>MCB</v>
          </cell>
          <cell r="W1116">
            <v>63</v>
          </cell>
          <cell r="X1116" t="str">
            <v>GQ99-40-2</v>
          </cell>
          <cell r="AF1116">
            <v>2004</v>
          </cell>
          <cell r="AH1116" t="str">
            <v>Dave Sutton</v>
          </cell>
          <cell r="AI1116" t="str">
            <v>WC</v>
          </cell>
          <cell r="AJ1116"/>
        </row>
        <row r="1117">
          <cell r="E1117" t="str">
            <v>S2018378</v>
          </cell>
          <cell r="F1117" t="str">
            <v>SPS LANDSDALE RD LANDSDALE</v>
          </cell>
          <cell r="H1117" t="str">
            <v>Supply Authority</v>
          </cell>
          <cell r="I1117" t="str">
            <v>S2019036</v>
          </cell>
          <cell r="J1117" t="str">
            <v>Main SB</v>
          </cell>
          <cell r="K1117" t="str">
            <v>HX38-41-5</v>
          </cell>
          <cell r="M1117">
            <v>200</v>
          </cell>
          <cell r="N1117">
            <v>22</v>
          </cell>
          <cell r="O1117">
            <v>415</v>
          </cell>
          <cell r="S1117" t="str">
            <v>XLPE</v>
          </cell>
          <cell r="T1117" t="str">
            <v>16mm2</v>
          </cell>
          <cell r="V1117" t="str">
            <v>Fuse</v>
          </cell>
          <cell r="W1117">
            <v>60</v>
          </cell>
          <cell r="X1117" t="str">
            <v>HX38-40-2</v>
          </cell>
          <cell r="AF1117">
            <v>2006</v>
          </cell>
          <cell r="AH1117" t="str">
            <v>Dave Sutton</v>
          </cell>
          <cell r="AI1117" t="str">
            <v>WC</v>
          </cell>
          <cell r="AJ1117"/>
        </row>
        <row r="1118">
          <cell r="E1118" t="str">
            <v>S2032923</v>
          </cell>
          <cell r="F1118" t="str">
            <v>SPS MALMAISON WY LANDSDALE</v>
          </cell>
          <cell r="H1118" t="str">
            <v>Supply Authority</v>
          </cell>
          <cell r="I1118" t="str">
            <v>S2037577</v>
          </cell>
          <cell r="J1118" t="str">
            <v>Main SB</v>
          </cell>
          <cell r="K1118" t="str">
            <v>KM07-41-5</v>
          </cell>
          <cell r="M1118"/>
          <cell r="N1118">
            <v>22</v>
          </cell>
          <cell r="O1118">
            <v>415</v>
          </cell>
          <cell r="S1118" t="str">
            <v>XLPE/PVC</v>
          </cell>
          <cell r="T1118" t="str">
            <v>1x4C 25mm2</v>
          </cell>
          <cell r="V1118" t="str">
            <v>Fuse</v>
          </cell>
          <cell r="W1118">
            <v>80</v>
          </cell>
          <cell r="X1118" t="str">
            <v>KM07-40-2</v>
          </cell>
          <cell r="AF1118">
            <v>2013</v>
          </cell>
          <cell r="AH1118" t="str">
            <v>Dave Sutton</v>
          </cell>
          <cell r="AI1118" t="str">
            <v>WC</v>
          </cell>
          <cell r="AJ1118"/>
        </row>
        <row r="1119">
          <cell r="E1119" t="str">
            <v>S0034291</v>
          </cell>
          <cell r="F1119" t="str">
            <v>SPS ELLISON DR LANGFORD</v>
          </cell>
          <cell r="I1119" t="str">
            <v>S0034297</v>
          </cell>
          <cell r="K1119" t="str">
            <v>11182-10-1</v>
          </cell>
          <cell r="M1119"/>
          <cell r="AF1119">
            <v>1973</v>
          </cell>
          <cell r="AH1119" t="str">
            <v>Dave Sutton</v>
          </cell>
          <cell r="AI1119" t="str">
            <v>WC</v>
          </cell>
          <cell r="AJ1119"/>
        </row>
        <row r="1120">
          <cell r="E1120" t="str">
            <v>S0034223</v>
          </cell>
          <cell r="F1120" t="str">
            <v>SPS BROOKMAN AV LANGFORD</v>
          </cell>
          <cell r="H1120" t="str">
            <v>SEC Supply</v>
          </cell>
          <cell r="I1120" t="str">
            <v>S0034229</v>
          </cell>
          <cell r="J1120" t="str">
            <v>Main SB</v>
          </cell>
          <cell r="K1120" t="str">
            <v>11655-9-7</v>
          </cell>
          <cell r="M1120"/>
          <cell r="V1120" t="str">
            <v>Fuse</v>
          </cell>
          <cell r="W1120">
            <v>36</v>
          </cell>
          <cell r="AF1120">
            <v>1972</v>
          </cell>
          <cell r="AH1120" t="str">
            <v>Dave Sutton</v>
          </cell>
          <cell r="AI1120" t="str">
            <v>WC</v>
          </cell>
          <cell r="AJ1120"/>
        </row>
        <row r="1121">
          <cell r="E1121" t="str">
            <v>S0034452</v>
          </cell>
          <cell r="F1121" t="str">
            <v>SPS VALONIA RD LANGFORD</v>
          </cell>
          <cell r="H1121" t="str">
            <v>SEC Supply</v>
          </cell>
          <cell r="I1121" t="str">
            <v>S0034458</v>
          </cell>
          <cell r="J1121" t="str">
            <v>Main SB</v>
          </cell>
          <cell r="K1121" t="str">
            <v>11670-40-1</v>
          </cell>
          <cell r="M1121"/>
          <cell r="V1121" t="str">
            <v>Fuse</v>
          </cell>
          <cell r="W1121">
            <v>36</v>
          </cell>
          <cell r="AF1121">
            <v>1972</v>
          </cell>
          <cell r="AH1121" t="str">
            <v>Dave Sutton</v>
          </cell>
          <cell r="AI1121" t="str">
            <v>WC</v>
          </cell>
          <cell r="AJ1121"/>
        </row>
        <row r="1122">
          <cell r="E1122" t="str">
            <v>S0034431</v>
          </cell>
          <cell r="F1122" t="str">
            <v>SPS RUBY AV LANGFORD</v>
          </cell>
          <cell r="H1122" t="str">
            <v>SEC Supply</v>
          </cell>
          <cell r="I1122" t="str">
            <v>S0034437</v>
          </cell>
          <cell r="J1122" t="str">
            <v>Main SB</v>
          </cell>
          <cell r="K1122" t="str">
            <v>13801-40-1</v>
          </cell>
          <cell r="M1122"/>
          <cell r="V1122" t="str">
            <v>Fuse</v>
          </cell>
          <cell r="W1122">
            <v>55</v>
          </cell>
          <cell r="AF1122">
            <v>1974</v>
          </cell>
          <cell r="AH1122" t="str">
            <v>Dave Sutton</v>
          </cell>
          <cell r="AI1122" t="str">
            <v>WC</v>
          </cell>
          <cell r="AJ1122"/>
        </row>
        <row r="1123">
          <cell r="E1123" t="str">
            <v>S0034130</v>
          </cell>
          <cell r="F1123" t="str">
            <v>SPS MIDGLEY ST LATHLAIN</v>
          </cell>
          <cell r="H1123" t="str">
            <v>SEC Supply</v>
          </cell>
          <cell r="I1123" t="str">
            <v>S0034136</v>
          </cell>
          <cell r="J1123" t="str">
            <v>Main SB</v>
          </cell>
          <cell r="K1123" t="str">
            <v>13675-40-2</v>
          </cell>
          <cell r="M1123"/>
          <cell r="AF1123">
            <v>1979</v>
          </cell>
          <cell r="AH1123" t="str">
            <v>Dave Sutton</v>
          </cell>
          <cell r="AI1123" t="str">
            <v>WC</v>
          </cell>
          <cell r="AJ1123"/>
        </row>
        <row r="1124">
          <cell r="E1124" t="str">
            <v>S0030289</v>
          </cell>
          <cell r="F1124" t="str">
            <v>SPS DALRYMPLE DR TEMP LEDA</v>
          </cell>
          <cell r="H1124" t="str">
            <v>SEC Supply</v>
          </cell>
          <cell r="I1124" t="str">
            <v>S0030293</v>
          </cell>
          <cell r="J1124" t="str">
            <v>Main SB</v>
          </cell>
          <cell r="K1124" t="str">
            <v>BS99-42-5</v>
          </cell>
          <cell r="M1124">
            <v>100</v>
          </cell>
          <cell r="N1124">
            <v>22</v>
          </cell>
          <cell r="O1124">
            <v>415</v>
          </cell>
          <cell r="V1124" t="str">
            <v>Fuse</v>
          </cell>
          <cell r="W1124">
            <v>200</v>
          </cell>
          <cell r="AF1124">
            <v>1992</v>
          </cell>
          <cell r="AH1124" t="str">
            <v>Dave Sutton</v>
          </cell>
          <cell r="AI1124" t="str">
            <v>WC</v>
          </cell>
          <cell r="AJ1124"/>
        </row>
        <row r="1125">
          <cell r="E1125" t="str">
            <v>S0030313</v>
          </cell>
          <cell r="F1125" t="str">
            <v>SPS SLOAN DR LEDA</v>
          </cell>
          <cell r="I1125" t="str">
            <v>S0030317</v>
          </cell>
          <cell r="K1125" t="str">
            <v>BT02-42-2</v>
          </cell>
          <cell r="M1125"/>
          <cell r="AF1125">
            <v>1992</v>
          </cell>
          <cell r="AH1125" t="str">
            <v>Dave Sutton</v>
          </cell>
          <cell r="AI1125" t="str">
            <v>WC</v>
          </cell>
          <cell r="AJ1125"/>
        </row>
        <row r="1126">
          <cell r="E1126" t="str">
            <v>S0031654</v>
          </cell>
          <cell r="F1126" t="str">
            <v>SPS BRENTHAM ST LEEDERVILLE</v>
          </cell>
          <cell r="I1126" t="str">
            <v>S0031660</v>
          </cell>
          <cell r="J1126" t="str">
            <v>Main SB</v>
          </cell>
          <cell r="K1126" t="str">
            <v>12141-10-1</v>
          </cell>
          <cell r="M1126"/>
          <cell r="AF1126">
            <v>1975</v>
          </cell>
          <cell r="AH1126" t="str">
            <v>Dave Sutton</v>
          </cell>
          <cell r="AI1126" t="str">
            <v>WC</v>
          </cell>
          <cell r="AJ1126"/>
        </row>
        <row r="1127">
          <cell r="E1127" t="str">
            <v>S0033800</v>
          </cell>
          <cell r="F1127" t="str">
            <v>SPS MEHARRY RD LEEMING</v>
          </cell>
          <cell r="I1127" t="str">
            <v>S0033806</v>
          </cell>
          <cell r="J1127" t="str">
            <v>Main SB</v>
          </cell>
          <cell r="K1127" t="str">
            <v>14595-40-4</v>
          </cell>
          <cell r="M1127"/>
          <cell r="AF1127">
            <v>1975</v>
          </cell>
          <cell r="AH1127" t="str">
            <v>Dave Sutton</v>
          </cell>
          <cell r="AI1127" t="str">
            <v>WC</v>
          </cell>
          <cell r="AJ1127"/>
        </row>
        <row r="1128">
          <cell r="E1128" t="str">
            <v>S0033873</v>
          </cell>
          <cell r="F1128" t="str">
            <v>SPS WETHERED ST LEEMING</v>
          </cell>
          <cell r="I1128" t="str">
            <v>S0033879</v>
          </cell>
          <cell r="J1128" t="str">
            <v>Main SB</v>
          </cell>
          <cell r="K1128" t="str">
            <v>14594-40-1</v>
          </cell>
          <cell r="M1128"/>
          <cell r="AF1128">
            <v>1975</v>
          </cell>
          <cell r="AH1128" t="str">
            <v>Dave Sutton</v>
          </cell>
          <cell r="AI1128" t="str">
            <v>WC</v>
          </cell>
          <cell r="AJ1128"/>
        </row>
        <row r="1129">
          <cell r="E1129" t="str">
            <v>S0033619</v>
          </cell>
          <cell r="F1129" t="str">
            <v>SPS CHALMERS PL LEEMING</v>
          </cell>
          <cell r="I1129" t="str">
            <v>S0033625</v>
          </cell>
          <cell r="J1129" t="str">
            <v>Main SB</v>
          </cell>
          <cell r="K1129" t="str">
            <v>15521-40-4</v>
          </cell>
          <cell r="M1129"/>
          <cell r="AF1129">
            <v>1977</v>
          </cell>
          <cell r="AH1129" t="str">
            <v>Dave Sutton</v>
          </cell>
          <cell r="AI1129" t="str">
            <v>WC</v>
          </cell>
          <cell r="AJ1129"/>
        </row>
        <row r="1130">
          <cell r="E1130" t="str">
            <v>S0033588</v>
          </cell>
          <cell r="F1130" t="str">
            <v>SPS ANDRENE CT LEEMING</v>
          </cell>
          <cell r="H1130" t="str">
            <v>SEC Supply</v>
          </cell>
          <cell r="I1130" t="str">
            <v>S0033592</v>
          </cell>
          <cell r="J1130" t="str">
            <v>SB1</v>
          </cell>
          <cell r="K1130" t="str">
            <v>18085-40-1</v>
          </cell>
          <cell r="M1130"/>
          <cell r="S1130" t="str">
            <v>PVC</v>
          </cell>
          <cell r="T1130" t="str">
            <v>4x1C 4mm2</v>
          </cell>
          <cell r="V1130" t="str">
            <v>MCB</v>
          </cell>
          <cell r="W1130">
            <v>55</v>
          </cell>
          <cell r="AF1130">
            <v>1981</v>
          </cell>
          <cell r="AH1130" t="str">
            <v>Dave Sutton</v>
          </cell>
          <cell r="AI1130" t="str">
            <v>WC</v>
          </cell>
          <cell r="AJ1130"/>
        </row>
        <row r="1131">
          <cell r="E1131" t="str">
            <v>D0036505</v>
          </cell>
          <cell r="F1131" t="str">
            <v>DPS ANDRENE CT LEEMING</v>
          </cell>
          <cell r="H1131" t="str">
            <v>SEC Supply</v>
          </cell>
          <cell r="I1131" t="str">
            <v>D0036509</v>
          </cell>
          <cell r="J1131" t="str">
            <v>SB1</v>
          </cell>
          <cell r="K1131" t="str">
            <v>AG39-5-4</v>
          </cell>
          <cell r="M1131"/>
          <cell r="S1131" t="str">
            <v>PVC/PVC</v>
          </cell>
          <cell r="T1131" t="str">
            <v>4x1C 10mm2</v>
          </cell>
          <cell r="V1131" t="str">
            <v>MCB</v>
          </cell>
          <cell r="W1131">
            <v>80</v>
          </cell>
          <cell r="AF1131">
            <v>1985</v>
          </cell>
          <cell r="AH1131" t="str">
            <v>Dave Sutton</v>
          </cell>
          <cell r="AI1131" t="str">
            <v>WC</v>
          </cell>
          <cell r="AJ1131"/>
        </row>
        <row r="1132">
          <cell r="E1132" t="str">
            <v>S0034260</v>
          </cell>
          <cell r="F1132" t="str">
            <v>SPS CASTLEMAIN HTS LEEMING</v>
          </cell>
          <cell r="H1132" t="str">
            <v>SEC Supply</v>
          </cell>
          <cell r="I1132" t="str">
            <v>S0034264</v>
          </cell>
          <cell r="J1132" t="str">
            <v>Main SB</v>
          </cell>
          <cell r="K1132" t="str">
            <v>AP66-54-11</v>
          </cell>
          <cell r="M1132"/>
          <cell r="O1132">
            <v>440</v>
          </cell>
          <cell r="S1132" t="str">
            <v>PVC/PVC</v>
          </cell>
          <cell r="T1132" t="str">
            <v>4x1C 6mm2</v>
          </cell>
          <cell r="V1132" t="str">
            <v>Fuse</v>
          </cell>
          <cell r="W1132">
            <v>100</v>
          </cell>
          <cell r="AF1132">
            <v>1986</v>
          </cell>
          <cell r="AH1132" t="str">
            <v>Dave Sutton</v>
          </cell>
          <cell r="AI1132" t="str">
            <v>WC</v>
          </cell>
          <cell r="AJ1132"/>
        </row>
        <row r="1133">
          <cell r="E1133" t="str">
            <v>S0030166</v>
          </cell>
          <cell r="F1133" t="str">
            <v>SPS JENNINGS WY LOCKRIDGE</v>
          </cell>
          <cell r="I1133" t="str">
            <v>S0030172</v>
          </cell>
          <cell r="J1133" t="str">
            <v>Main SB</v>
          </cell>
          <cell r="K1133" t="str">
            <v>10249-40-1</v>
          </cell>
          <cell r="M1133"/>
          <cell r="AF1133">
            <v>1970</v>
          </cell>
          <cell r="AH1133" t="str">
            <v>Dave Sutton</v>
          </cell>
          <cell r="AI1133" t="str">
            <v>WC</v>
          </cell>
          <cell r="AJ1133"/>
        </row>
        <row r="1134">
          <cell r="E1134" t="str">
            <v>S0030177</v>
          </cell>
          <cell r="F1134" t="str">
            <v>SPS LORD ST LOCKRIDGE</v>
          </cell>
          <cell r="I1134" t="str">
            <v>S0030183</v>
          </cell>
          <cell r="J1134" t="str">
            <v>Main SB</v>
          </cell>
          <cell r="K1134" t="str">
            <v>10898-40-1</v>
          </cell>
          <cell r="M1134"/>
          <cell r="AF1134">
            <v>1976</v>
          </cell>
          <cell r="AH1134" t="str">
            <v>Dave Sutton</v>
          </cell>
          <cell r="AI1134" t="str">
            <v>WC</v>
          </cell>
          <cell r="AJ1134"/>
        </row>
        <row r="1135">
          <cell r="E1135" t="str">
            <v>S0034298</v>
          </cell>
          <cell r="F1135" t="str">
            <v>SPS FLEETWOOD RD LYNWOOD</v>
          </cell>
          <cell r="I1135" t="str">
            <v>S0034304</v>
          </cell>
          <cell r="M1135"/>
          <cell r="AF1135">
            <v>1971</v>
          </cell>
          <cell r="AH1135" t="str">
            <v>Dave Sutton</v>
          </cell>
          <cell r="AI1135" t="str">
            <v>WC</v>
          </cell>
          <cell r="AJ1135"/>
        </row>
        <row r="1136">
          <cell r="E1136" t="str">
            <v>S0033419</v>
          </cell>
          <cell r="F1136" t="str">
            <v>SPS HELM ST MADDINGTON</v>
          </cell>
          <cell r="I1136" t="str">
            <v>S0033425</v>
          </cell>
          <cell r="J1136" t="str">
            <v>Main SB</v>
          </cell>
          <cell r="K1136" t="str">
            <v>12267-10-1</v>
          </cell>
          <cell r="M1136"/>
          <cell r="AF1136">
            <v>1974</v>
          </cell>
          <cell r="AH1136" t="str">
            <v>Dave Sutton</v>
          </cell>
          <cell r="AI1136" t="str">
            <v>WC</v>
          </cell>
          <cell r="AJ1136"/>
        </row>
        <row r="1137">
          <cell r="E1137" t="str">
            <v>S0033355</v>
          </cell>
          <cell r="F1137" t="str">
            <v>SPS ALLOA ST MADDINGTON</v>
          </cell>
          <cell r="H1137" t="str">
            <v>Supply Authority</v>
          </cell>
          <cell r="I1137" t="str">
            <v>S0033359</v>
          </cell>
          <cell r="J1137" t="str">
            <v>Main SB</v>
          </cell>
          <cell r="K1137" t="str">
            <v>14399-41-5</v>
          </cell>
          <cell r="M1137">
            <v>200</v>
          </cell>
          <cell r="V1137" t="str">
            <v>MCB</v>
          </cell>
          <cell r="W1137">
            <v>32</v>
          </cell>
          <cell r="AF1137">
            <v>1968</v>
          </cell>
          <cell r="AH1137" t="str">
            <v>Dave Sutton</v>
          </cell>
          <cell r="AI1137" t="str">
            <v>WC</v>
          </cell>
          <cell r="AJ1137"/>
        </row>
        <row r="1138">
          <cell r="E1138" t="str">
            <v>S0033388</v>
          </cell>
          <cell r="F1138" t="str">
            <v>SPS CLIFTON ST MADDINGTON</v>
          </cell>
          <cell r="I1138" t="str">
            <v>S0033394</v>
          </cell>
          <cell r="J1138" t="str">
            <v>Main SB</v>
          </cell>
          <cell r="K1138" t="str">
            <v>12270-10-1</v>
          </cell>
          <cell r="M1138"/>
          <cell r="AF1138">
            <v>1972</v>
          </cell>
          <cell r="AH1138" t="str">
            <v>Dave Sutton</v>
          </cell>
          <cell r="AI1138" t="str">
            <v>WC</v>
          </cell>
          <cell r="AJ1138"/>
        </row>
        <row r="1139">
          <cell r="E1139" t="str">
            <v>S0033426</v>
          </cell>
          <cell r="F1139" t="str">
            <v>SPS HERBERT ST MADDINGTON</v>
          </cell>
          <cell r="I1139" t="str">
            <v>S0033430</v>
          </cell>
          <cell r="K1139" t="str">
            <v xml:space="preserve">17735- - </v>
          </cell>
          <cell r="M1139"/>
          <cell r="AF1139">
            <v>1980</v>
          </cell>
          <cell r="AH1139" t="str">
            <v>Dave Sutton</v>
          </cell>
          <cell r="AI1139" t="str">
            <v>WC</v>
          </cell>
          <cell r="AJ1139"/>
        </row>
        <row r="1140">
          <cell r="E1140" t="str">
            <v>S0033462</v>
          </cell>
          <cell r="F1140" t="str">
            <v>SPS MALCOLM RD MADDINGTON</v>
          </cell>
          <cell r="H1140" t="str">
            <v>SEC Supply</v>
          </cell>
          <cell r="I1140" t="str">
            <v>S0033468</v>
          </cell>
          <cell r="J1140" t="str">
            <v>SB1</v>
          </cell>
          <cell r="K1140" t="str">
            <v>14398-40-1</v>
          </cell>
          <cell r="M1140"/>
          <cell r="S1140" t="str">
            <v>PVC</v>
          </cell>
          <cell r="T1140" t="str">
            <v>3x1C 6mm2</v>
          </cell>
          <cell r="V1140" t="str">
            <v>MCB</v>
          </cell>
          <cell r="W1140">
            <v>80</v>
          </cell>
          <cell r="AF1140">
            <v>1984</v>
          </cell>
          <cell r="AH1140" t="str">
            <v>Dave Sutton</v>
          </cell>
          <cell r="AI1140" t="str">
            <v>WC</v>
          </cell>
          <cell r="AJ1140"/>
        </row>
        <row r="1141">
          <cell r="E1141" t="str">
            <v>S8007064</v>
          </cell>
          <cell r="F1141" t="str">
            <v>SPS ABEONA PDE MADORA BAY</v>
          </cell>
          <cell r="H1141" t="str">
            <v>Supply Authority</v>
          </cell>
          <cell r="I1141" t="str">
            <v>S8007070</v>
          </cell>
          <cell r="J1141" t="str">
            <v>Main SB</v>
          </cell>
          <cell r="K1141" t="str">
            <v>GV10-41-5</v>
          </cell>
          <cell r="M1141"/>
          <cell r="O1141">
            <v>415</v>
          </cell>
          <cell r="S1141" t="str">
            <v>XLPE</v>
          </cell>
          <cell r="T1141" t="str">
            <v>16mm2</v>
          </cell>
          <cell r="V1141" t="str">
            <v>Fuse</v>
          </cell>
          <cell r="AF1141">
            <v>2004</v>
          </cell>
          <cell r="AH1141" t="str">
            <v>Dave Sutton</v>
          </cell>
          <cell r="AI1141" t="str">
            <v>WC</v>
          </cell>
          <cell r="AJ1141"/>
        </row>
        <row r="1142">
          <cell r="E1142" t="str">
            <v>W0035496</v>
          </cell>
          <cell r="F1142" t="str">
            <v>WPS BROOKING RD MAHOGANY CREEK</v>
          </cell>
          <cell r="H1142" t="str">
            <v>SEC Supply</v>
          </cell>
          <cell r="I1142" t="str">
            <v>W0035501</v>
          </cell>
          <cell r="J1142" t="str">
            <v>Main SB</v>
          </cell>
          <cell r="K1142" t="str">
            <v>15055-40-2</v>
          </cell>
          <cell r="M1142"/>
          <cell r="V1142" t="str">
            <v>MCB</v>
          </cell>
          <cell r="W1142">
            <v>150</v>
          </cell>
          <cell r="AF1142">
            <v>1977</v>
          </cell>
          <cell r="AH1142" t="str">
            <v>Dave Sutton</v>
          </cell>
          <cell r="AI1142" t="str">
            <v>WC</v>
          </cell>
          <cell r="AJ1142"/>
        </row>
        <row r="1143">
          <cell r="E1143" t="str">
            <v>W0035885</v>
          </cell>
          <cell r="F1143" t="str">
            <v>WPS KALAMUNDA RD MAIDA VALE</v>
          </cell>
          <cell r="H1143" t="str">
            <v>SEC Supply</v>
          </cell>
          <cell r="I1143" t="str">
            <v>W0035892</v>
          </cell>
          <cell r="J1143" t="str">
            <v>Pump Station Switchboard</v>
          </cell>
          <cell r="K1143" t="str">
            <v>BQ90-41-5</v>
          </cell>
          <cell r="M1143">
            <v>200</v>
          </cell>
          <cell r="N1143">
            <v>22</v>
          </cell>
          <cell r="O1143">
            <v>440</v>
          </cell>
          <cell r="V1143" t="str">
            <v>MCB</v>
          </cell>
          <cell r="W1143">
            <v>400</v>
          </cell>
          <cell r="X1143" t="str">
            <v>BQ90-41-5</v>
          </cell>
          <cell r="AF1143">
            <v>1963</v>
          </cell>
          <cell r="AH1143" t="str">
            <v>Dave Sutton</v>
          </cell>
          <cell r="AI1143" t="str">
            <v>WC</v>
          </cell>
          <cell r="AJ1143"/>
        </row>
        <row r="1144">
          <cell r="E1144" t="str">
            <v>S0028459</v>
          </cell>
          <cell r="F1144" t="str">
            <v>SPS HARRIS RD MALAGA</v>
          </cell>
          <cell r="H1144" t="str">
            <v>Supply Authority</v>
          </cell>
          <cell r="I1144" t="str">
            <v>S0028466</v>
          </cell>
          <cell r="J1144" t="str">
            <v>Main SB</v>
          </cell>
          <cell r="K1144" t="str">
            <v>EG31-41-5</v>
          </cell>
          <cell r="M1144">
            <v>200</v>
          </cell>
          <cell r="V1144" t="str">
            <v>MCB</v>
          </cell>
          <cell r="W1144">
            <v>32</v>
          </cell>
          <cell r="AF1144">
            <v>1982</v>
          </cell>
          <cell r="AH1144" t="str">
            <v>Dave Sutton</v>
          </cell>
          <cell r="AI1144" t="str">
            <v>WC</v>
          </cell>
          <cell r="AJ1144"/>
        </row>
        <row r="1145">
          <cell r="E1145" t="str">
            <v>S0028496</v>
          </cell>
          <cell r="F1145" t="str">
            <v>SPS IRVINE DR MALAGA</v>
          </cell>
          <cell r="H1145" t="str">
            <v>Supply Authority</v>
          </cell>
          <cell r="I1145" t="str">
            <v>S0028501</v>
          </cell>
          <cell r="J1145" t="str">
            <v>Main SB</v>
          </cell>
          <cell r="K1145" t="str">
            <v>EG30-41-5</v>
          </cell>
          <cell r="M1145">
            <v>200</v>
          </cell>
          <cell r="S1145" t="str">
            <v>PVC</v>
          </cell>
          <cell r="T1145" t="str">
            <v>10mm2</v>
          </cell>
          <cell r="V1145" t="str">
            <v>MCB</v>
          </cell>
          <cell r="W1145">
            <v>100</v>
          </cell>
          <cell r="AF1145">
            <v>1982</v>
          </cell>
          <cell r="AH1145" t="str">
            <v>Dave Sutton</v>
          </cell>
          <cell r="AI1145" t="str">
            <v>WC</v>
          </cell>
          <cell r="AJ1145"/>
        </row>
        <row r="1146">
          <cell r="E1146" t="str">
            <v>S2003424</v>
          </cell>
          <cell r="F1146" t="str">
            <v>SPS MULGUL RD MALAGA</v>
          </cell>
          <cell r="I1146" t="str">
            <v>S2003428</v>
          </cell>
          <cell r="K1146" t="str">
            <v>FP66-41-5</v>
          </cell>
          <cell r="M1146"/>
          <cell r="AF1146">
            <v>2001</v>
          </cell>
          <cell r="AH1146" t="str">
            <v>Dave Sutton</v>
          </cell>
          <cell r="AI1146" t="str">
            <v>WC</v>
          </cell>
          <cell r="AJ1146"/>
        </row>
        <row r="1147">
          <cell r="E1147" t="str">
            <v>S0028496</v>
          </cell>
          <cell r="F1147" t="str">
            <v>SPS IRVINE DR MALAGA</v>
          </cell>
          <cell r="H1147" t="str">
            <v>Main SB</v>
          </cell>
          <cell r="J1147" t="str">
            <v>Lighting and small power DB</v>
          </cell>
          <cell r="K1147" t="str">
            <v>EG30-41-5</v>
          </cell>
          <cell r="V1147" t="str">
            <v>MCB</v>
          </cell>
          <cell r="W1147">
            <v>80</v>
          </cell>
          <cell r="AF1147">
            <v>1982</v>
          </cell>
          <cell r="AH1147" t="str">
            <v>Dave Sutton</v>
          </cell>
          <cell r="AI1147" t="str">
            <v>WC</v>
          </cell>
          <cell r="AJ1147"/>
        </row>
        <row r="1148">
          <cell r="E1148" t="str">
            <v>W0045915</v>
          </cell>
          <cell r="F1148" t="str">
            <v>WPS DOWER ST MANDURAH</v>
          </cell>
          <cell r="H1148" t="str">
            <v>SEC Supply</v>
          </cell>
          <cell r="I1148" t="str">
            <v>W8003761</v>
          </cell>
          <cell r="J1148" t="str">
            <v>Main SB</v>
          </cell>
          <cell r="K1148" t="str">
            <v>48833-41-5</v>
          </cell>
          <cell r="M1148">
            <v>200</v>
          </cell>
          <cell r="V1148" t="str">
            <v>MCB</v>
          </cell>
          <cell r="W1148">
            <v>400</v>
          </cell>
          <cell r="AF1148">
            <v>1974</v>
          </cell>
          <cell r="AH1148" t="str">
            <v>Dave Sutton</v>
          </cell>
          <cell r="AI1148" t="str">
            <v>WC</v>
          </cell>
          <cell r="AJ1148"/>
        </row>
        <row r="1149">
          <cell r="E1149" t="str">
            <v>S0044763</v>
          </cell>
          <cell r="F1149" t="str">
            <v>SPS ROCKFORD ST MANDURAH</v>
          </cell>
          <cell r="H1149" t="str">
            <v>Supply Authority</v>
          </cell>
          <cell r="I1149" t="str">
            <v>S8003443</v>
          </cell>
          <cell r="J1149" t="str">
            <v>Main SB</v>
          </cell>
          <cell r="K1149" t="str">
            <v>53334-2-1</v>
          </cell>
          <cell r="M1149"/>
          <cell r="O1149">
            <v>440</v>
          </cell>
          <cell r="V1149" t="str">
            <v>Fuse</v>
          </cell>
          <cell r="W1149">
            <v>25</v>
          </cell>
          <cell r="AF1149">
            <v>1977</v>
          </cell>
          <cell r="AH1149" t="str">
            <v>Dave Sutton</v>
          </cell>
          <cell r="AI1149" t="str">
            <v>WC</v>
          </cell>
          <cell r="AJ1149"/>
        </row>
        <row r="1150">
          <cell r="E1150" t="str">
            <v>S0044791</v>
          </cell>
          <cell r="F1150" t="str">
            <v>SPS THOMSON ST MANDURAH</v>
          </cell>
          <cell r="H1150" t="str">
            <v>Supply Authority</v>
          </cell>
          <cell r="I1150" t="str">
            <v>S8003414</v>
          </cell>
          <cell r="J1150" t="str">
            <v>Main SB</v>
          </cell>
          <cell r="K1150" t="str">
            <v>51371-41-5</v>
          </cell>
          <cell r="M1150">
            <v>200</v>
          </cell>
          <cell r="O1150">
            <v>415</v>
          </cell>
          <cell r="S1150" t="str">
            <v>XLPE</v>
          </cell>
          <cell r="T1150" t="str">
            <v>16mm2</v>
          </cell>
          <cell r="V1150" t="str">
            <v>Fuse</v>
          </cell>
          <cell r="W1150">
            <v>60</v>
          </cell>
          <cell r="AF1150">
            <v>1977</v>
          </cell>
          <cell r="AH1150" t="str">
            <v>Dave Sutton</v>
          </cell>
          <cell r="AI1150" t="str">
            <v>WC</v>
          </cell>
          <cell r="AJ1150"/>
        </row>
        <row r="1151">
          <cell r="E1151" t="str">
            <v>S0044714</v>
          </cell>
          <cell r="F1151" t="str">
            <v>SPS GIBLA ST MANDURAH</v>
          </cell>
          <cell r="H1151" t="str">
            <v>SEC Supply</v>
          </cell>
          <cell r="I1151" t="str">
            <v>S8003494</v>
          </cell>
          <cell r="J1151" t="str">
            <v>Main SB</v>
          </cell>
          <cell r="K1151" t="str">
            <v>51482-2-1</v>
          </cell>
          <cell r="M1151"/>
          <cell r="O1151">
            <v>440</v>
          </cell>
          <cell r="AF1151">
            <v>1979</v>
          </cell>
          <cell r="AH1151" t="str">
            <v>Dave Sutton</v>
          </cell>
          <cell r="AI1151" t="str">
            <v>WC</v>
          </cell>
          <cell r="AJ1151"/>
        </row>
        <row r="1152">
          <cell r="E1152" t="str">
            <v>S0044710</v>
          </cell>
          <cell r="F1152" t="str">
            <v>SPS FOURTH AVE MANDURAH</v>
          </cell>
          <cell r="I1152" t="str">
            <v>S8003477</v>
          </cell>
          <cell r="J1152" t="str">
            <v>Main SB</v>
          </cell>
          <cell r="K1152" t="str">
            <v>52394-3-1</v>
          </cell>
          <cell r="M1152"/>
          <cell r="S1152" t="str">
            <v>EPR</v>
          </cell>
          <cell r="T1152" t="str">
            <v>16mm2</v>
          </cell>
          <cell r="V1152" t="str">
            <v>Fuse</v>
          </cell>
          <cell r="W1152">
            <v>32</v>
          </cell>
          <cell r="AF1152">
            <v>1981</v>
          </cell>
          <cell r="AH1152" t="str">
            <v>Dave Sutton</v>
          </cell>
          <cell r="AI1152" t="str">
            <v>WC</v>
          </cell>
          <cell r="AJ1152"/>
        </row>
        <row r="1153">
          <cell r="E1153" t="str">
            <v>S8000830</v>
          </cell>
          <cell r="F1153" t="str">
            <v>SPS BREAKWATER PDE MANDURAH</v>
          </cell>
          <cell r="I1153" t="str">
            <v>S8003376</v>
          </cell>
          <cell r="K1153" t="str">
            <v xml:space="preserve">FR84- - </v>
          </cell>
          <cell r="M1153"/>
          <cell r="AF1153">
            <v>2000</v>
          </cell>
          <cell r="AH1153" t="str">
            <v>Dave Sutton</v>
          </cell>
          <cell r="AI1153" t="str">
            <v>WC</v>
          </cell>
          <cell r="AJ1153"/>
        </row>
        <row r="1154">
          <cell r="E1154" t="str">
            <v>S8005430</v>
          </cell>
          <cell r="F1154" t="str">
            <v>SPS MARCO POLO DR MANDURAH</v>
          </cell>
          <cell r="H1154" t="str">
            <v>Supply Authority</v>
          </cell>
          <cell r="I1154" t="str">
            <v>S8006107</v>
          </cell>
          <cell r="J1154" t="str">
            <v>Main SB</v>
          </cell>
          <cell r="K1154" t="str">
            <v>GJ07-41-5</v>
          </cell>
          <cell r="M1154"/>
          <cell r="O1154">
            <v>415</v>
          </cell>
          <cell r="S1154" t="str">
            <v>PVC</v>
          </cell>
          <cell r="T1154" t="str">
            <v>10mm2</v>
          </cell>
          <cell r="V1154" t="str">
            <v>MCB</v>
          </cell>
          <cell r="W1154">
            <v>32</v>
          </cell>
          <cell r="AF1154">
            <v>2003</v>
          </cell>
          <cell r="AH1154" t="str">
            <v>Dave Sutton</v>
          </cell>
          <cell r="AI1154" t="str">
            <v>WC</v>
          </cell>
          <cell r="AJ1154"/>
        </row>
        <row r="1155">
          <cell r="E1155" t="str">
            <v>S8006744</v>
          </cell>
          <cell r="F1155" t="str">
            <v>SPS PALMER WY MANDURAH</v>
          </cell>
          <cell r="H1155" t="str">
            <v>Supply Authority</v>
          </cell>
          <cell r="I1155" t="str">
            <v>S8006752</v>
          </cell>
          <cell r="J1155" t="str">
            <v>Main SB</v>
          </cell>
          <cell r="K1155" t="str">
            <v>GH10-41-5</v>
          </cell>
          <cell r="M1155"/>
          <cell r="O1155">
            <v>415</v>
          </cell>
          <cell r="S1155" t="str">
            <v>XLPE</v>
          </cell>
          <cell r="T1155" t="str">
            <v>16mm2</v>
          </cell>
          <cell r="V1155" t="str">
            <v>MCB</v>
          </cell>
          <cell r="W1155">
            <v>80</v>
          </cell>
          <cell r="AF1155">
            <v>2003</v>
          </cell>
          <cell r="AH1155" t="str">
            <v>Dave Sutton</v>
          </cell>
          <cell r="AI1155" t="str">
            <v>WC</v>
          </cell>
          <cell r="AJ1155"/>
        </row>
        <row r="1156">
          <cell r="E1156" t="str">
            <v>S8007747</v>
          </cell>
          <cell r="F1156" t="str">
            <v>SPS LANYON ST MANDURAH</v>
          </cell>
          <cell r="H1156" t="str">
            <v>Supply Authority</v>
          </cell>
          <cell r="I1156" t="str">
            <v>S8007799</v>
          </cell>
          <cell r="J1156" t="str">
            <v>Main SB</v>
          </cell>
          <cell r="K1156" t="str">
            <v>GH48-41-5</v>
          </cell>
          <cell r="M1156">
            <v>200</v>
          </cell>
          <cell r="O1156">
            <v>415</v>
          </cell>
          <cell r="S1156" t="str">
            <v>PVC</v>
          </cell>
          <cell r="T1156" t="str">
            <v>16mm2</v>
          </cell>
          <cell r="V1156" t="str">
            <v>Fuse</v>
          </cell>
          <cell r="W1156">
            <v>60</v>
          </cell>
          <cell r="X1156" t="str">
            <v>GH48-40-2</v>
          </cell>
          <cell r="AF1156">
            <v>2005</v>
          </cell>
          <cell r="AH1156" t="str">
            <v>Dave Sutton</v>
          </cell>
          <cell r="AI1156" t="str">
            <v>WC</v>
          </cell>
          <cell r="AJ1156"/>
        </row>
        <row r="1157">
          <cell r="E1157" t="str">
            <v>S8007748</v>
          </cell>
          <cell r="F1157" t="str">
            <v>SPS PARK RD MANDURAH</v>
          </cell>
          <cell r="H1157" t="str">
            <v>Supply Authority</v>
          </cell>
          <cell r="I1157" t="str">
            <v>S8007801</v>
          </cell>
          <cell r="J1157" t="str">
            <v>Main SB</v>
          </cell>
          <cell r="K1157" t="str">
            <v>GH12-41-5</v>
          </cell>
          <cell r="M1157">
            <v>200</v>
          </cell>
          <cell r="O1157">
            <v>415</v>
          </cell>
          <cell r="S1157" t="str">
            <v>PVC</v>
          </cell>
          <cell r="T1157" t="str">
            <v>16mm2</v>
          </cell>
          <cell r="V1157" t="str">
            <v>Fuse</v>
          </cell>
          <cell r="W1157">
            <v>60</v>
          </cell>
          <cell r="X1157" t="str">
            <v>GH12-40-2</v>
          </cell>
          <cell r="AF1157">
            <v>2005</v>
          </cell>
          <cell r="AH1157" t="str">
            <v>Dave Sutton</v>
          </cell>
          <cell r="AI1157" t="str">
            <v>WC</v>
          </cell>
          <cell r="AJ1157"/>
        </row>
        <row r="1158">
          <cell r="E1158" t="str">
            <v>S0034058</v>
          </cell>
          <cell r="F1158" t="str">
            <v>SPS GRIFFIN CR MANNING</v>
          </cell>
          <cell r="I1158" t="str">
            <v>S0034064</v>
          </cell>
          <cell r="J1158" t="str">
            <v>Main SB</v>
          </cell>
          <cell r="K1158" t="str">
            <v>10994-40-1</v>
          </cell>
          <cell r="M1158"/>
          <cell r="AF1158">
            <v>1955</v>
          </cell>
          <cell r="AH1158" t="str">
            <v>Dave Sutton</v>
          </cell>
          <cell r="AI1158" t="str">
            <v>WC</v>
          </cell>
          <cell r="AJ1158"/>
        </row>
        <row r="1159">
          <cell r="E1159" t="str">
            <v>S0034106</v>
          </cell>
          <cell r="F1159" t="str">
            <v>SPS JARMAN AV MANNING</v>
          </cell>
          <cell r="H1159" t="str">
            <v>Supply Authority</v>
          </cell>
          <cell r="I1159" t="str">
            <v>S2020177</v>
          </cell>
          <cell r="J1159" t="str">
            <v>Main SB</v>
          </cell>
          <cell r="K1159" t="str">
            <v>EF15-41-5</v>
          </cell>
          <cell r="M1159"/>
          <cell r="O1159">
            <v>415</v>
          </cell>
          <cell r="S1159" t="str">
            <v>XLPE</v>
          </cell>
          <cell r="T1159" t="str">
            <v>16mm2</v>
          </cell>
          <cell r="V1159" t="str">
            <v>MCB</v>
          </cell>
          <cell r="W1159">
            <v>63</v>
          </cell>
          <cell r="AF1159">
            <v>2003</v>
          </cell>
          <cell r="AH1159" t="str">
            <v>Dave Sutton</v>
          </cell>
          <cell r="AI1159" t="str">
            <v>WC</v>
          </cell>
          <cell r="AJ1159"/>
        </row>
        <row r="1160">
          <cell r="E1160" t="str">
            <v>S0028552</v>
          </cell>
          <cell r="F1160" t="str">
            <v>SPS MCKIRDY WY MARMION</v>
          </cell>
          <cell r="H1160" t="str">
            <v>SEC Supply</v>
          </cell>
          <cell r="I1160" t="str">
            <v>S0028558</v>
          </cell>
          <cell r="J1160" t="str">
            <v>Main SB</v>
          </cell>
          <cell r="K1160" t="str">
            <v>13025-40-2</v>
          </cell>
          <cell r="M1160"/>
          <cell r="V1160" t="str">
            <v>Fuse</v>
          </cell>
          <cell r="W1160">
            <v>100</v>
          </cell>
          <cell r="AF1160">
            <v>1974</v>
          </cell>
          <cell r="AH1160" t="str">
            <v>Dave Sutton</v>
          </cell>
          <cell r="AI1160" t="str">
            <v>WC</v>
          </cell>
          <cell r="AJ1160"/>
        </row>
        <row r="1161">
          <cell r="E1161" t="str">
            <v>S2019110</v>
          </cell>
          <cell r="F1161" t="str">
            <v>SPS WEST COAST DR MARMION</v>
          </cell>
          <cell r="H1161" t="str">
            <v>Supply Authority</v>
          </cell>
          <cell r="I1161" t="str">
            <v>S2022982</v>
          </cell>
          <cell r="J1161" t="str">
            <v>Main SB</v>
          </cell>
          <cell r="K1161" t="str">
            <v>IN62-41-5</v>
          </cell>
          <cell r="M1161">
            <v>315</v>
          </cell>
          <cell r="N1161">
            <v>22</v>
          </cell>
          <cell r="O1161">
            <v>433</v>
          </cell>
          <cell r="S1161" t="str">
            <v>EPR/EPR</v>
          </cell>
          <cell r="T1161" t="str">
            <v>16mm2</v>
          </cell>
          <cell r="V1161" t="str">
            <v>Fuse</v>
          </cell>
          <cell r="W1161">
            <v>60</v>
          </cell>
          <cell r="X1161" t="str">
            <v>IN62-40-2</v>
          </cell>
          <cell r="AF1161">
            <v>2008</v>
          </cell>
          <cell r="AH1161" t="str">
            <v>Dave Sutton</v>
          </cell>
          <cell r="AI1161" t="str">
            <v>WC</v>
          </cell>
          <cell r="AJ1161"/>
        </row>
        <row r="1162">
          <cell r="E1162" t="str">
            <v>S0031683</v>
          </cell>
          <cell r="F1162" t="str">
            <v>SPS DEELEY ST MAYLANDS</v>
          </cell>
          <cell r="H1162" t="str">
            <v>SEC Supply</v>
          </cell>
          <cell r="I1162" t="str">
            <v>S0031689</v>
          </cell>
          <cell r="J1162" t="str">
            <v>Main SB</v>
          </cell>
          <cell r="K1162" t="str">
            <v>05972-40-1</v>
          </cell>
          <cell r="M1162"/>
          <cell r="V1162" t="str">
            <v>Fuse</v>
          </cell>
          <cell r="W1162">
            <v>100</v>
          </cell>
          <cell r="AF1162">
            <v>1979</v>
          </cell>
          <cell r="AH1162" t="str">
            <v>Dave Sutton</v>
          </cell>
          <cell r="AI1162" t="str">
            <v>WC</v>
          </cell>
          <cell r="AJ1162"/>
        </row>
        <row r="1163">
          <cell r="E1163" t="str">
            <v>S0031728</v>
          </cell>
          <cell r="F1163" t="str">
            <v>SPS JOHNSON RD MAYLANDS</v>
          </cell>
          <cell r="H1163" t="str">
            <v>SEC Supply</v>
          </cell>
          <cell r="I1163" t="str">
            <v>S0031732</v>
          </cell>
          <cell r="J1163" t="str">
            <v>Main SB</v>
          </cell>
          <cell r="K1163" t="str">
            <v>11984-40-1</v>
          </cell>
          <cell r="M1163"/>
          <cell r="V1163" t="str">
            <v>Fuse</v>
          </cell>
          <cell r="W1163">
            <v>100</v>
          </cell>
          <cell r="AF1163">
            <v>1984</v>
          </cell>
          <cell r="AH1163" t="str">
            <v>Dave Sutton</v>
          </cell>
          <cell r="AI1163" t="str">
            <v>WC</v>
          </cell>
          <cell r="AJ1163"/>
        </row>
        <row r="1164">
          <cell r="E1164" t="str">
            <v>S0031733</v>
          </cell>
          <cell r="F1164" t="str">
            <v>SPS KELVIN ST MAYLANDS</v>
          </cell>
          <cell r="I1164" t="str">
            <v>S0031739</v>
          </cell>
          <cell r="J1164" t="str">
            <v>Main SB</v>
          </cell>
          <cell r="K1164" t="str">
            <v>10135-40-1</v>
          </cell>
          <cell r="M1164"/>
          <cell r="AF1164">
            <v>1968</v>
          </cell>
          <cell r="AH1164" t="str">
            <v>Dave Sutton</v>
          </cell>
          <cell r="AI1164" t="str">
            <v>WC</v>
          </cell>
          <cell r="AJ1164"/>
        </row>
        <row r="1165">
          <cell r="E1165" t="str">
            <v>S0031661</v>
          </cell>
          <cell r="F1165" t="str">
            <v>SPS CALEDONIAN AV MAYLANDS</v>
          </cell>
          <cell r="I1165" t="str">
            <v>S0031667</v>
          </cell>
          <cell r="K1165" t="str">
            <v>05847-10-1</v>
          </cell>
          <cell r="M1165"/>
          <cell r="AF1165">
            <v>1937</v>
          </cell>
          <cell r="AH1165" t="str">
            <v>Dave Sutton</v>
          </cell>
          <cell r="AI1165" t="str">
            <v>WC</v>
          </cell>
          <cell r="AJ1165"/>
        </row>
        <row r="1166">
          <cell r="E1166" t="str">
            <v>S0038065</v>
          </cell>
          <cell r="F1166" t="str">
            <v>SPS KITTYHAWK VIEW MAYLANDS</v>
          </cell>
          <cell r="I1166" t="str">
            <v>S0038069</v>
          </cell>
          <cell r="K1166" t="str">
            <v>EP55-41-5</v>
          </cell>
          <cell r="M1166"/>
          <cell r="AF1166">
            <v>1998</v>
          </cell>
          <cell r="AH1166" t="str">
            <v>Dave Sutton</v>
          </cell>
          <cell r="AI1166" t="str">
            <v>WC</v>
          </cell>
          <cell r="AJ1166"/>
        </row>
        <row r="1167">
          <cell r="E1167" t="str">
            <v>S0044751</v>
          </cell>
          <cell r="F1167" t="str">
            <v>SPS OAKMONT AVE MEADOW SPRINGS</v>
          </cell>
          <cell r="I1167" t="str">
            <v>S8003543</v>
          </cell>
          <cell r="J1167" t="str">
            <v>Main SB</v>
          </cell>
          <cell r="K1167" t="str">
            <v>BR27-41-5</v>
          </cell>
          <cell r="M1167"/>
          <cell r="O1167">
            <v>415</v>
          </cell>
          <cell r="V1167" t="str">
            <v>Fuse</v>
          </cell>
          <cell r="W1167">
            <v>50</v>
          </cell>
          <cell r="AF1167">
            <v>1989</v>
          </cell>
          <cell r="AH1167" t="str">
            <v>Dave Sutton</v>
          </cell>
          <cell r="AI1167" t="str">
            <v>WC</v>
          </cell>
          <cell r="AJ1167"/>
        </row>
        <row r="1168">
          <cell r="E1168" t="str">
            <v>S8003705</v>
          </cell>
          <cell r="F1168" t="str">
            <v>SPS PEBBLE BEACH BVD MEADOW SPRINGS</v>
          </cell>
          <cell r="H1168" t="str">
            <v>Supply Authority</v>
          </cell>
          <cell r="I1168" t="str">
            <v>S8004000</v>
          </cell>
          <cell r="J1168" t="str">
            <v>Main SB</v>
          </cell>
          <cell r="K1168" t="str">
            <v>EM52-42-5</v>
          </cell>
          <cell r="M1168">
            <v>200</v>
          </cell>
          <cell r="O1168">
            <v>415</v>
          </cell>
          <cell r="S1168" t="str">
            <v>XLPE</v>
          </cell>
          <cell r="T1168" t="str">
            <v>25mm2</v>
          </cell>
          <cell r="V1168" t="str">
            <v>MCB</v>
          </cell>
          <cell r="W1168">
            <v>100</v>
          </cell>
          <cell r="AF1168">
            <v>2002</v>
          </cell>
          <cell r="AH1168" t="str">
            <v>Dave Sutton</v>
          </cell>
          <cell r="AI1168" t="str">
            <v>WC</v>
          </cell>
          <cell r="AJ1168"/>
        </row>
        <row r="1169">
          <cell r="E1169" t="str">
            <v>S2000030</v>
          </cell>
          <cell r="F1169" t="str">
            <v>SPS TUCKER ST MEDINA</v>
          </cell>
          <cell r="I1169" t="str">
            <v>S2000185</v>
          </cell>
          <cell r="K1169" t="str">
            <v>EN21-41-5</v>
          </cell>
          <cell r="M1169"/>
          <cell r="AF1169">
            <v>1999</v>
          </cell>
          <cell r="AH1169" t="str">
            <v>Dave Sutton</v>
          </cell>
          <cell r="AI1169" t="str">
            <v>WC</v>
          </cell>
          <cell r="AJ1169"/>
        </row>
        <row r="1170">
          <cell r="E1170" t="str">
            <v>S0030071</v>
          </cell>
          <cell r="F1170" t="str">
            <v>SPS BRADFORD ST MENORA</v>
          </cell>
          <cell r="I1170" t="str">
            <v>S0030078</v>
          </cell>
          <cell r="K1170" t="str">
            <v xml:space="preserve">05886- - </v>
          </cell>
          <cell r="M1170"/>
          <cell r="AF1170">
            <v>1994</v>
          </cell>
          <cell r="AH1170" t="str">
            <v>Dave Sutton</v>
          </cell>
          <cell r="AI1170" t="str">
            <v>WC</v>
          </cell>
          <cell r="AJ1170"/>
        </row>
        <row r="1171">
          <cell r="E1171" t="str">
            <v>S0029100</v>
          </cell>
          <cell r="F1171" t="str">
            <v>SPS BALTIMORE PDE MERRIWA</v>
          </cell>
          <cell r="I1171" t="str">
            <v>S0029103</v>
          </cell>
          <cell r="K1171" t="str">
            <v>BQ79-333-0</v>
          </cell>
          <cell r="M1171"/>
          <cell r="AF1171">
            <v>1993</v>
          </cell>
          <cell r="AH1171" t="str">
            <v>Dave Sutton</v>
          </cell>
          <cell r="AI1171" t="str">
            <v>WC</v>
          </cell>
          <cell r="AJ1171"/>
        </row>
        <row r="1172">
          <cell r="E1172" t="str">
            <v>W0035366</v>
          </cell>
          <cell r="F1172" t="str">
            <v>WPS GREAT NORTHERN HWY MIDDLE SWAN</v>
          </cell>
          <cell r="I1172" t="str">
            <v>W0035371</v>
          </cell>
          <cell r="J1172" t="str">
            <v>Main SB</v>
          </cell>
          <cell r="K1172" t="str">
            <v>BY60-44-4</v>
          </cell>
          <cell r="M1172">
            <v>160</v>
          </cell>
          <cell r="O1172">
            <v>415</v>
          </cell>
          <cell r="V1172" t="str">
            <v>MCB</v>
          </cell>
          <cell r="W1172">
            <v>400</v>
          </cell>
          <cell r="X1172" t="str">
            <v>BY60-44-4</v>
          </cell>
          <cell r="AF1172">
            <v>1973</v>
          </cell>
          <cell r="AH1172" t="str">
            <v>Dave Sutton</v>
          </cell>
          <cell r="AI1172" t="str">
            <v>WC</v>
          </cell>
          <cell r="AJ1172"/>
        </row>
        <row r="1173">
          <cell r="E1173" t="str">
            <v>S0029002</v>
          </cell>
          <cell r="F1173" t="str">
            <v>SPS LLOYD ST NTH MIDDLE SWAN</v>
          </cell>
          <cell r="I1173" t="str">
            <v>S0029005</v>
          </cell>
          <cell r="K1173" t="str">
            <v>BJ11-41-2</v>
          </cell>
          <cell r="M1173"/>
          <cell r="AF1173">
            <v>1989</v>
          </cell>
          <cell r="AH1173" t="str">
            <v>Dave Sutton</v>
          </cell>
          <cell r="AI1173" t="str">
            <v>WC</v>
          </cell>
          <cell r="AJ1173"/>
        </row>
        <row r="1174">
          <cell r="E1174" t="str">
            <v>S0029006</v>
          </cell>
          <cell r="F1174" t="str">
            <v>SPS LLOYD ST STH MIDDLE SWAN</v>
          </cell>
          <cell r="H1174" t="str">
            <v>Supply Authority</v>
          </cell>
          <cell r="I1174" t="str">
            <v>S0029010</v>
          </cell>
          <cell r="J1174" t="str">
            <v>Main SB</v>
          </cell>
          <cell r="K1174" t="str">
            <v>AU82-2-10</v>
          </cell>
          <cell r="M1174"/>
          <cell r="S1174" t="str">
            <v>PVC/PVC</v>
          </cell>
          <cell r="T1174" t="str">
            <v>4C 6mm2</v>
          </cell>
          <cell r="V1174" t="str">
            <v>Fuse</v>
          </cell>
          <cell r="W1174">
            <v>35</v>
          </cell>
          <cell r="AF1174">
            <v>1986</v>
          </cell>
          <cell r="AH1174" t="str">
            <v>Dave Sutton</v>
          </cell>
          <cell r="AI1174" t="str">
            <v>WC</v>
          </cell>
          <cell r="AJ1174"/>
        </row>
        <row r="1175">
          <cell r="E1175" t="str">
            <v>S2003198</v>
          </cell>
          <cell r="F1175" t="str">
            <v>SPS EVELINE RD MIDDLE SWAN</v>
          </cell>
          <cell r="H1175" t="str">
            <v>Supply Authority</v>
          </cell>
          <cell r="I1175" t="str">
            <v>S2003202</v>
          </cell>
          <cell r="J1175" t="str">
            <v>Main SB</v>
          </cell>
          <cell r="K1175" t="str">
            <v>EK22-41-5</v>
          </cell>
          <cell r="M1175"/>
          <cell r="O1175">
            <v>415</v>
          </cell>
          <cell r="V1175" t="str">
            <v>MCB</v>
          </cell>
          <cell r="W1175">
            <v>32</v>
          </cell>
          <cell r="AF1175">
            <v>2000</v>
          </cell>
          <cell r="AH1175" t="str">
            <v>Dave Sutton</v>
          </cell>
          <cell r="AI1175" t="str">
            <v>WC</v>
          </cell>
          <cell r="AJ1175"/>
        </row>
        <row r="1176">
          <cell r="E1176" t="str">
            <v>S0028985</v>
          </cell>
          <cell r="F1176" t="str">
            <v>SPS FLORA ST MIDLAND</v>
          </cell>
          <cell r="I1176" t="str">
            <v>S0028996</v>
          </cell>
          <cell r="J1176" t="str">
            <v>MOTOR CONTROL</v>
          </cell>
          <cell r="M1176">
            <v>500</v>
          </cell>
          <cell r="AF1176">
            <v>1976</v>
          </cell>
          <cell r="AH1176" t="str">
            <v>Dave Sutton</v>
          </cell>
          <cell r="AI1176" t="str">
            <v>WC</v>
          </cell>
          <cell r="AJ1176" t="str">
            <v>Walk-in Site &amp; Genset onsite (650kVA) - project in the system</v>
          </cell>
        </row>
        <row r="1177">
          <cell r="E1177" t="str">
            <v>S0028957</v>
          </cell>
          <cell r="F1177" t="str">
            <v>SPS CHARLES ST MIDLAND</v>
          </cell>
          <cell r="H1177" t="str">
            <v>Supply Authority</v>
          </cell>
          <cell r="I1177" t="str">
            <v>S2006793</v>
          </cell>
          <cell r="J1177" t="str">
            <v>Main SB</v>
          </cell>
          <cell r="K1177" t="str">
            <v>EQ40-42-3</v>
          </cell>
          <cell r="M1177">
            <v>300</v>
          </cell>
          <cell r="V1177" t="str">
            <v>MCB</v>
          </cell>
          <cell r="W1177">
            <v>160</v>
          </cell>
          <cell r="X1177" t="str">
            <v>EQ40-42-3</v>
          </cell>
          <cell r="AF1177">
            <v>1999</v>
          </cell>
          <cell r="AH1177" t="str">
            <v>Dave Sutton</v>
          </cell>
          <cell r="AI1177" t="str">
            <v>WC</v>
          </cell>
          <cell r="AJ1177"/>
        </row>
        <row r="1178">
          <cell r="E1178" t="str">
            <v>S0028985</v>
          </cell>
          <cell r="F1178" t="str">
            <v>SPS FLORA ST MIDLAND</v>
          </cell>
          <cell r="H1178" t="str">
            <v>SEC Supply</v>
          </cell>
          <cell r="I1178" t="str">
            <v>S2030905</v>
          </cell>
          <cell r="J1178" t="str">
            <v>ELECT INSTALL SPS FLORA ST MIDLAND</v>
          </cell>
          <cell r="K1178" t="str">
            <v>12211-40-1</v>
          </cell>
          <cell r="M1178">
            <v>500</v>
          </cell>
          <cell r="V1178" t="str">
            <v>MCB</v>
          </cell>
          <cell r="W1178">
            <v>800</v>
          </cell>
          <cell r="AF1178">
            <v>1974</v>
          </cell>
          <cell r="AH1178" t="str">
            <v>Dave Sutton</v>
          </cell>
          <cell r="AI1178" t="str">
            <v>WC</v>
          </cell>
          <cell r="AJ1178" t="str">
            <v>Check project CS03032, Drawing 12211-40-6 suggest removing existing switchboard. 2x400kW motors onsite.</v>
          </cell>
        </row>
        <row r="1179">
          <cell r="E1179" t="str">
            <v>S0029130</v>
          </cell>
          <cell r="F1179" t="str">
            <v>SPS OCEAN FALLS BVD MINDARIE</v>
          </cell>
          <cell r="H1179" t="str">
            <v>SEC Supply</v>
          </cell>
          <cell r="I1179" t="str">
            <v>S0029134</v>
          </cell>
          <cell r="J1179" t="str">
            <v>Main SB</v>
          </cell>
          <cell r="K1179" t="str">
            <v>BH66-41-2</v>
          </cell>
          <cell r="M1179"/>
          <cell r="AF1179">
            <v>1988</v>
          </cell>
          <cell r="AH1179" t="str">
            <v>Dave Sutton</v>
          </cell>
          <cell r="AI1179" t="str">
            <v>WC</v>
          </cell>
          <cell r="AJ1179"/>
        </row>
        <row r="1180">
          <cell r="E1180" t="str">
            <v>S0029137</v>
          </cell>
          <cell r="F1180" t="str">
            <v>SPS ROSSLARE PROM MINDARIE</v>
          </cell>
          <cell r="H1180" t="str">
            <v>SEC Supply</v>
          </cell>
          <cell r="I1180" t="str">
            <v>S0029140</v>
          </cell>
          <cell r="J1180" t="str">
            <v>Main SB</v>
          </cell>
          <cell r="K1180" t="str">
            <v>BH65-41-2</v>
          </cell>
          <cell r="M1180"/>
          <cell r="V1180" t="str">
            <v>Fuse</v>
          </cell>
          <cell r="W1180">
            <v>200</v>
          </cell>
          <cell r="AA1180">
            <v>415</v>
          </cell>
          <cell r="AF1180">
            <v>1988</v>
          </cell>
          <cell r="AH1180" t="str">
            <v>Dave Sutton</v>
          </cell>
          <cell r="AI1180" t="str">
            <v>WC</v>
          </cell>
          <cell r="AJ1180"/>
        </row>
        <row r="1181">
          <cell r="E1181" t="str">
            <v>S0029135</v>
          </cell>
          <cell r="F1181" t="str">
            <v>SPS QUINNS RD MINDARIE</v>
          </cell>
          <cell r="H1181" t="str">
            <v>Supply Authority</v>
          </cell>
          <cell r="I1181" t="str">
            <v>S2009286</v>
          </cell>
          <cell r="J1181" t="str">
            <v>Main SB</v>
          </cell>
          <cell r="K1181" t="str">
            <v>GD95-41-5</v>
          </cell>
          <cell r="M1181">
            <v>200</v>
          </cell>
          <cell r="O1181">
            <v>415</v>
          </cell>
          <cell r="S1181" t="str">
            <v>XLPE/PVC</v>
          </cell>
          <cell r="T1181" t="str">
            <v>4x1C 25mm2</v>
          </cell>
          <cell r="V1181" t="str">
            <v>MCB</v>
          </cell>
          <cell r="W1181">
            <v>100</v>
          </cell>
          <cell r="AF1181">
            <v>2002</v>
          </cell>
          <cell r="AH1181" t="str">
            <v>Dave Sutton</v>
          </cell>
          <cell r="AI1181" t="str">
            <v>WC</v>
          </cell>
          <cell r="AJ1181"/>
        </row>
        <row r="1182">
          <cell r="E1182" t="str">
            <v>W0035565</v>
          </cell>
          <cell r="F1182" t="str">
            <v>WPS AVONDALE CR MINDARIE</v>
          </cell>
          <cell r="H1182" t="str">
            <v>Supply Authority</v>
          </cell>
          <cell r="I1182" t="str">
            <v>W2000244</v>
          </cell>
          <cell r="J1182" t="str">
            <v>Main SB</v>
          </cell>
          <cell r="K1182" t="str">
            <v>EX50-40-1</v>
          </cell>
          <cell r="M1182"/>
          <cell r="S1182" t="str">
            <v>PVC/PVC</v>
          </cell>
          <cell r="T1182" t="str">
            <v>25mm2</v>
          </cell>
          <cell r="V1182" t="str">
            <v>MCB</v>
          </cell>
          <cell r="W1182">
            <v>100</v>
          </cell>
          <cell r="AF1182">
            <v>1999</v>
          </cell>
          <cell r="AH1182" t="str">
            <v>Dave Sutton</v>
          </cell>
          <cell r="AI1182" t="str">
            <v>WC</v>
          </cell>
          <cell r="AJ1182"/>
        </row>
        <row r="1183">
          <cell r="E1183" t="str">
            <v>S0028578</v>
          </cell>
          <cell r="F1183" t="str">
            <v>SPS PINEWOOD GRN MIRRABOOKA</v>
          </cell>
          <cell r="H1183" t="str">
            <v>SEC Supply</v>
          </cell>
          <cell r="I1183" t="str">
            <v>S0028582</v>
          </cell>
          <cell r="J1183" t="str">
            <v>Main SB</v>
          </cell>
          <cell r="K1183" t="str">
            <v>19154-11-0</v>
          </cell>
          <cell r="M1183"/>
          <cell r="AF1183">
            <v>1985</v>
          </cell>
          <cell r="AH1183" t="str">
            <v>Dave Sutton</v>
          </cell>
          <cell r="AI1183" t="str">
            <v>WC</v>
          </cell>
          <cell r="AJ1183"/>
        </row>
        <row r="1184">
          <cell r="E1184" t="str">
            <v>S0030028</v>
          </cell>
          <cell r="F1184" t="str">
            <v>SPS BEECHBORO RD MORLEY</v>
          </cell>
          <cell r="H1184" t="str">
            <v>SEC Supply</v>
          </cell>
          <cell r="I1184" t="str">
            <v>S0030034</v>
          </cell>
          <cell r="J1184" t="str">
            <v>Main SB</v>
          </cell>
          <cell r="K1184" t="str">
            <v>17548-40-3</v>
          </cell>
          <cell r="M1184"/>
          <cell r="V1184" t="str">
            <v>Fuse</v>
          </cell>
          <cell r="W1184">
            <v>75</v>
          </cell>
          <cell r="AF1184">
            <v>1981</v>
          </cell>
          <cell r="AH1184" t="str">
            <v>Dave Sutton</v>
          </cell>
          <cell r="AI1184" t="str">
            <v>WC</v>
          </cell>
          <cell r="AJ1184"/>
        </row>
        <row r="1185">
          <cell r="E1185" t="str">
            <v>D0036060</v>
          </cell>
          <cell r="F1185" t="str">
            <v>DPS COLLIER RD MORLEY</v>
          </cell>
          <cell r="I1185" t="str">
            <v>D0036066</v>
          </cell>
          <cell r="K1185" t="str">
            <v xml:space="preserve">AG95- - </v>
          </cell>
          <cell r="M1185"/>
          <cell r="AF1185">
            <v>1963</v>
          </cell>
          <cell r="AH1185" t="str">
            <v>Dave Sutton</v>
          </cell>
          <cell r="AI1185" t="str">
            <v>WC</v>
          </cell>
          <cell r="AJ1185"/>
        </row>
        <row r="1186">
          <cell r="E1186" t="str">
            <v>D0036100</v>
          </cell>
          <cell r="F1186" t="str">
            <v>DPS MCGILVRAY AVE MORLEY</v>
          </cell>
          <cell r="H1186" t="str">
            <v>SEC Supply</v>
          </cell>
          <cell r="I1186" t="str">
            <v>D0036104</v>
          </cell>
          <cell r="J1186" t="str">
            <v>SB1</v>
          </cell>
          <cell r="K1186" t="str">
            <v>AH95-40-1</v>
          </cell>
          <cell r="M1186"/>
          <cell r="S1186" t="str">
            <v>PVC</v>
          </cell>
          <cell r="T1186" t="str">
            <v>3x1C 25mm2</v>
          </cell>
          <cell r="V1186" t="str">
            <v>MCB</v>
          </cell>
          <cell r="W1186">
            <v>100</v>
          </cell>
          <cell r="AF1186">
            <v>1965</v>
          </cell>
          <cell r="AH1186" t="str">
            <v>Dave Sutton</v>
          </cell>
          <cell r="AI1186" t="str">
            <v>WC</v>
          </cell>
          <cell r="AJ1186"/>
        </row>
        <row r="1187">
          <cell r="E1187" t="str">
            <v>D0036092</v>
          </cell>
          <cell r="F1187" t="str">
            <v>DPS CHARLWOOD WY MORLEY</v>
          </cell>
          <cell r="H1187" t="str">
            <v>SEC Supply</v>
          </cell>
          <cell r="I1187" t="str">
            <v>D0036097</v>
          </cell>
          <cell r="J1187" t="str">
            <v>Main SB</v>
          </cell>
          <cell r="K1187" t="str">
            <v>BM72-41-3</v>
          </cell>
          <cell r="M1187"/>
          <cell r="T1187" t="str">
            <v>25mm2</v>
          </cell>
          <cell r="W1187">
            <v>100</v>
          </cell>
          <cell r="AF1187">
            <v>1972</v>
          </cell>
          <cell r="AH1187" t="str">
            <v>Dave Sutton</v>
          </cell>
          <cell r="AI1187" t="str">
            <v>WC</v>
          </cell>
          <cell r="AJ1187"/>
        </row>
        <row r="1188">
          <cell r="E1188" t="str">
            <v>S0030099</v>
          </cell>
          <cell r="F1188" t="str">
            <v>SPS COLLIER RD MORLEY</v>
          </cell>
          <cell r="I1188" t="str">
            <v>S0030105</v>
          </cell>
          <cell r="K1188" t="str">
            <v>CX09-41-5</v>
          </cell>
          <cell r="M1188"/>
          <cell r="AF1188">
            <v>1994</v>
          </cell>
          <cell r="AH1188" t="str">
            <v>Dave Sutton</v>
          </cell>
          <cell r="AI1188" t="str">
            <v>WC</v>
          </cell>
          <cell r="AJ1188"/>
        </row>
        <row r="1189">
          <cell r="E1189" t="str">
            <v>S2000029</v>
          </cell>
          <cell r="F1189" t="str">
            <v>SPS ELSTEAD WY MORLEY</v>
          </cell>
          <cell r="I1189" t="str">
            <v>S2000272</v>
          </cell>
          <cell r="K1189" t="str">
            <v>EP33-41-5</v>
          </cell>
          <cell r="M1189"/>
          <cell r="AF1189">
            <v>1999</v>
          </cell>
          <cell r="AH1189" t="str">
            <v>Dave Sutton</v>
          </cell>
          <cell r="AI1189" t="str">
            <v>WC</v>
          </cell>
          <cell r="AJ1189"/>
        </row>
        <row r="1190">
          <cell r="E1190" t="str">
            <v>S2002884</v>
          </cell>
          <cell r="F1190" t="str">
            <v>SPS MCGILVRAY AV STH MORLEY</v>
          </cell>
          <cell r="I1190" t="str">
            <v>S2002888</v>
          </cell>
          <cell r="K1190" t="str">
            <v>EV06-41-5</v>
          </cell>
          <cell r="M1190"/>
          <cell r="AF1190">
            <v>1999</v>
          </cell>
          <cell r="AH1190" t="str">
            <v>Dave Sutton</v>
          </cell>
          <cell r="AI1190" t="str">
            <v>WC</v>
          </cell>
          <cell r="AJ1190"/>
        </row>
        <row r="1191">
          <cell r="E1191" t="str">
            <v>S2007287</v>
          </cell>
          <cell r="F1191" t="str">
            <v>SPS SOLAS RD MORLEY</v>
          </cell>
          <cell r="I1191" t="str">
            <v>S2007291</v>
          </cell>
          <cell r="K1191" t="str">
            <v>FU51-41-5</v>
          </cell>
          <cell r="M1191"/>
          <cell r="AF1191">
            <v>2002</v>
          </cell>
          <cell r="AH1191" t="str">
            <v>Dave Sutton</v>
          </cell>
          <cell r="AI1191" t="str">
            <v>WC</v>
          </cell>
          <cell r="AJ1191"/>
        </row>
        <row r="1192">
          <cell r="E1192" t="str">
            <v>W0034560</v>
          </cell>
          <cell r="F1192" t="str">
            <v>WPS TURNBULL WY MOSMAN PARK</v>
          </cell>
          <cell r="H1192" t="str">
            <v>SEC Supply</v>
          </cell>
          <cell r="I1192" t="str">
            <v>W0034565</v>
          </cell>
          <cell r="J1192" t="str">
            <v>Main SB</v>
          </cell>
          <cell r="K1192" t="str">
            <v>CD71-41-5</v>
          </cell>
          <cell r="M1192">
            <v>200</v>
          </cell>
          <cell r="O1192">
            <v>415</v>
          </cell>
          <cell r="V1192" t="str">
            <v>Fuse</v>
          </cell>
          <cell r="W1192">
            <v>200</v>
          </cell>
          <cell r="AF1192">
            <v>1956</v>
          </cell>
          <cell r="AH1192" t="str">
            <v>Dave Sutton</v>
          </cell>
          <cell r="AI1192" t="str">
            <v>WC</v>
          </cell>
          <cell r="AJ1192"/>
        </row>
        <row r="1193">
          <cell r="E1193" t="str">
            <v>S0032621</v>
          </cell>
          <cell r="F1193" t="str">
            <v>SPS GLENN AV MOSMAN PARK</v>
          </cell>
          <cell r="I1193" t="str">
            <v>S0032626</v>
          </cell>
          <cell r="K1193" t="str">
            <v xml:space="preserve">08907- - </v>
          </cell>
          <cell r="M1193"/>
          <cell r="AF1193">
            <v>1962</v>
          </cell>
          <cell r="AH1193" t="str">
            <v>Dave Sutton</v>
          </cell>
          <cell r="AI1193" t="str">
            <v>WC</v>
          </cell>
          <cell r="AJ1193"/>
        </row>
        <row r="1194">
          <cell r="E1194" t="str">
            <v>S0032654</v>
          </cell>
          <cell r="F1194" t="str">
            <v>SPS MARLBOROUGH ST MOSMAN PARK</v>
          </cell>
          <cell r="I1194" t="str">
            <v>S0032660</v>
          </cell>
          <cell r="J1194" t="str">
            <v>Main SB</v>
          </cell>
          <cell r="K1194" t="str">
            <v>13216-40-3</v>
          </cell>
          <cell r="M1194"/>
          <cell r="V1194" t="str">
            <v>Fuse</v>
          </cell>
          <cell r="W1194">
            <v>100</v>
          </cell>
          <cell r="AF1194">
            <v>1976</v>
          </cell>
          <cell r="AH1194" t="str">
            <v>Dave Sutton</v>
          </cell>
          <cell r="AI1194" t="str">
            <v>WC</v>
          </cell>
          <cell r="AJ1194"/>
        </row>
        <row r="1195">
          <cell r="E1195" t="str">
            <v>S0032627</v>
          </cell>
          <cell r="F1195" t="str">
            <v>SPS GLYDE ST MOSMAN PARK</v>
          </cell>
          <cell r="H1195" t="str">
            <v>SEC Supply</v>
          </cell>
          <cell r="I1195" t="str">
            <v>S0032631</v>
          </cell>
          <cell r="J1195" t="str">
            <v>SB1</v>
          </cell>
          <cell r="K1195" t="str">
            <v>05940-40-1</v>
          </cell>
          <cell r="M1195"/>
          <cell r="S1195" t="str">
            <v>PVC/PVC</v>
          </cell>
          <cell r="T1195" t="str">
            <v>3x1C 6mm2</v>
          </cell>
          <cell r="V1195" t="str">
            <v>MCB</v>
          </cell>
          <cell r="W1195">
            <v>80</v>
          </cell>
          <cell r="AF1195">
            <v>1985</v>
          </cell>
          <cell r="AH1195" t="str">
            <v>Dave Sutton</v>
          </cell>
          <cell r="AI1195" t="str">
            <v>WC</v>
          </cell>
          <cell r="AJ1195"/>
        </row>
        <row r="1196">
          <cell r="E1196" t="str">
            <v>S0032723</v>
          </cell>
          <cell r="F1196" t="str">
            <v>SPS WELLINGTON ST MOSMAN PK</v>
          </cell>
          <cell r="I1196" t="str">
            <v>S0032727</v>
          </cell>
          <cell r="K1196" t="str">
            <v xml:space="preserve">BU33- - </v>
          </cell>
          <cell r="M1196"/>
          <cell r="AF1196">
            <v>1989</v>
          </cell>
          <cell r="AH1196" t="str">
            <v>Dave Sutton</v>
          </cell>
          <cell r="AI1196" t="str">
            <v>WC</v>
          </cell>
          <cell r="AJ1196"/>
        </row>
        <row r="1197">
          <cell r="E1197" t="str">
            <v>S0032695</v>
          </cell>
          <cell r="F1197" t="str">
            <v>SPS THE COOMBE MOSMAN PARK</v>
          </cell>
          <cell r="I1197" t="str">
            <v>S0032701</v>
          </cell>
          <cell r="K1197" t="str">
            <v>BM83-41-4</v>
          </cell>
          <cell r="M1197"/>
          <cell r="AF1197">
            <v>1991</v>
          </cell>
          <cell r="AH1197" t="str">
            <v>Dave Sutton</v>
          </cell>
          <cell r="AI1197" t="str">
            <v>WC</v>
          </cell>
          <cell r="AJ1197"/>
        </row>
        <row r="1198">
          <cell r="E1198" t="str">
            <v>S0032608</v>
          </cell>
          <cell r="F1198" t="str">
            <v>SPS ECCLESBORNE ST MOSMAN PARK</v>
          </cell>
          <cell r="I1198" t="str">
            <v>S0032612</v>
          </cell>
          <cell r="K1198" t="str">
            <v>CH21-41-4</v>
          </cell>
          <cell r="M1198"/>
          <cell r="AF1198">
            <v>1991</v>
          </cell>
          <cell r="AH1198" t="str">
            <v>Dave Sutton</v>
          </cell>
          <cell r="AI1198" t="str">
            <v>WC</v>
          </cell>
          <cell r="AJ1198"/>
        </row>
        <row r="1199">
          <cell r="E1199" t="str">
            <v>S0032682</v>
          </cell>
          <cell r="F1199" t="str">
            <v>SPS STONE ST MOSMAN PARK</v>
          </cell>
          <cell r="H1199" t="str">
            <v>Supply Authority</v>
          </cell>
          <cell r="I1199" t="str">
            <v>S0032686</v>
          </cell>
          <cell r="J1199" t="str">
            <v>Main SB</v>
          </cell>
          <cell r="K1199" t="str">
            <v>ES55-41-5</v>
          </cell>
          <cell r="M1199">
            <v>200</v>
          </cell>
          <cell r="O1199">
            <v>415</v>
          </cell>
          <cell r="S1199" t="str">
            <v>PYROLEX</v>
          </cell>
          <cell r="T1199" t="str">
            <v>10mm2</v>
          </cell>
          <cell r="V1199" t="str">
            <v>MCB</v>
          </cell>
          <cell r="W1199">
            <v>63</v>
          </cell>
          <cell r="AF1199">
            <v>1998</v>
          </cell>
          <cell r="AH1199" t="str">
            <v>Dave Sutton</v>
          </cell>
          <cell r="AI1199" t="str">
            <v>WC</v>
          </cell>
          <cell r="AJ1199"/>
        </row>
        <row r="1200">
          <cell r="E1200" t="str">
            <v>S2003399</v>
          </cell>
          <cell r="F1200" t="str">
            <v>SPS HUTCHINSON AV MOSMAN PARK</v>
          </cell>
          <cell r="H1200" t="str">
            <v>Supply Authority</v>
          </cell>
          <cell r="I1200" t="str">
            <v>S2003403</v>
          </cell>
          <cell r="J1200" t="str">
            <v>Main SB</v>
          </cell>
          <cell r="K1200" t="str">
            <v>FQ96-41-5</v>
          </cell>
          <cell r="M1200">
            <v>200</v>
          </cell>
          <cell r="O1200">
            <v>415</v>
          </cell>
          <cell r="V1200" t="str">
            <v>MCB</v>
          </cell>
          <cell r="W1200">
            <v>32</v>
          </cell>
          <cell r="AF1200">
            <v>2001</v>
          </cell>
          <cell r="AH1200" t="str">
            <v>Dave Sutton</v>
          </cell>
          <cell r="AI1200" t="str">
            <v>WC</v>
          </cell>
          <cell r="AJ1200"/>
        </row>
        <row r="1201">
          <cell r="E1201" t="str">
            <v>S2018322</v>
          </cell>
          <cell r="F1201" t="str">
            <v>SPS CAPORN ST MOSMAN PARK</v>
          </cell>
          <cell r="H1201" t="str">
            <v>Supply Authority</v>
          </cell>
          <cell r="I1201" t="str">
            <v>S2019241</v>
          </cell>
          <cell r="J1201" t="str">
            <v>Main SB</v>
          </cell>
          <cell r="K1201" t="str">
            <v>HT92-41-5</v>
          </cell>
          <cell r="M1201"/>
          <cell r="N1201">
            <v>22</v>
          </cell>
          <cell r="O1201">
            <v>415</v>
          </cell>
          <cell r="S1201" t="str">
            <v>PVC/PVC</v>
          </cell>
          <cell r="T1201" t="str">
            <v>16mm2</v>
          </cell>
          <cell r="V1201" t="str">
            <v>Fuse</v>
          </cell>
          <cell r="W1201">
            <v>60</v>
          </cell>
          <cell r="X1201" t="str">
            <v>HT92-40-2</v>
          </cell>
          <cell r="AF1201">
            <v>2007</v>
          </cell>
          <cell r="AH1201" t="str">
            <v>Dave Sutton</v>
          </cell>
          <cell r="AI1201" t="str">
            <v>WC</v>
          </cell>
          <cell r="AJ1201"/>
        </row>
        <row r="1202">
          <cell r="E1202" t="str">
            <v>W0035089</v>
          </cell>
          <cell r="F1202" t="str">
            <v>WPS CARAWATHA AV MT NASURA</v>
          </cell>
          <cell r="H1202" t="str">
            <v>SEC Supply</v>
          </cell>
          <cell r="I1202" t="str">
            <v>W0035096</v>
          </cell>
          <cell r="J1202" t="str">
            <v>Main SB</v>
          </cell>
          <cell r="K1202" t="str">
            <v>15385-40-2</v>
          </cell>
          <cell r="M1202"/>
          <cell r="V1202" t="str">
            <v>MCB</v>
          </cell>
          <cell r="W1202">
            <v>55</v>
          </cell>
          <cell r="AF1202">
            <v>1979</v>
          </cell>
          <cell r="AH1202" t="str">
            <v>Dave Sutton</v>
          </cell>
          <cell r="AI1202" t="str">
            <v>WC</v>
          </cell>
          <cell r="AJ1202" t="str">
            <v>Genset onsite (182kVA)</v>
          </cell>
        </row>
        <row r="1203">
          <cell r="E1203" t="str">
            <v>S0033858</v>
          </cell>
          <cell r="F1203" t="str">
            <v>SPS THE ESPLANADE NTH MT PLEASANT</v>
          </cell>
          <cell r="H1203" t="str">
            <v>SEC Supply</v>
          </cell>
          <cell r="I1203" t="str">
            <v>S0033862</v>
          </cell>
          <cell r="J1203" t="str">
            <v>SB1</v>
          </cell>
          <cell r="K1203" t="str">
            <v>18027-40-1</v>
          </cell>
          <cell r="M1203">
            <v>25</v>
          </cell>
          <cell r="N1203">
            <v>22</v>
          </cell>
          <cell r="O1203">
            <v>440</v>
          </cell>
          <cell r="V1203" t="str">
            <v>CB</v>
          </cell>
          <cell r="W1203">
            <v>100</v>
          </cell>
          <cell r="AF1203">
            <v>1983</v>
          </cell>
          <cell r="AH1203" t="str">
            <v>Dave Sutton</v>
          </cell>
          <cell r="AI1203" t="str">
            <v>WC</v>
          </cell>
          <cell r="AJ1203"/>
        </row>
        <row r="1204">
          <cell r="E1204" t="str">
            <v>S0033833</v>
          </cell>
          <cell r="F1204" t="str">
            <v>SPS ROOKWOOD ST MT PLEASANT</v>
          </cell>
          <cell r="H1204" t="str">
            <v>SEC Supply</v>
          </cell>
          <cell r="I1204" t="str">
            <v>S0033842</v>
          </cell>
          <cell r="J1204" t="str">
            <v>SB1</v>
          </cell>
          <cell r="K1204" t="str">
            <v>09797-40-2</v>
          </cell>
          <cell r="M1204"/>
          <cell r="V1204" t="str">
            <v>CB</v>
          </cell>
          <cell r="W1204">
            <v>100</v>
          </cell>
          <cell r="AF1204">
            <v>1987</v>
          </cell>
          <cell r="AH1204" t="str">
            <v>Dave Sutton</v>
          </cell>
          <cell r="AI1204" t="str">
            <v>WC</v>
          </cell>
          <cell r="AJ1204"/>
        </row>
        <row r="1205">
          <cell r="E1205" t="str">
            <v>S0033863</v>
          </cell>
          <cell r="F1205" t="str">
            <v>SPS THE ESPLANADE STH MT PLEASANT</v>
          </cell>
          <cell r="H1205" t="str">
            <v>Supply Authority</v>
          </cell>
          <cell r="I1205" t="str">
            <v>S0033867</v>
          </cell>
          <cell r="J1205" t="str">
            <v>Main SB</v>
          </cell>
          <cell r="K1205" t="str">
            <v>AO36-41-4</v>
          </cell>
          <cell r="M1205"/>
          <cell r="V1205" t="str">
            <v>Fuse</v>
          </cell>
          <cell r="W1205">
            <v>35</v>
          </cell>
          <cell r="AF1205">
            <v>1986</v>
          </cell>
          <cell r="AH1205" t="str">
            <v>Dave Sutton</v>
          </cell>
          <cell r="AI1205" t="str">
            <v>WC</v>
          </cell>
          <cell r="AJ1205"/>
        </row>
        <row r="1206">
          <cell r="E1206" t="str">
            <v>W0035050</v>
          </cell>
          <cell r="F1206" t="str">
            <v>WPS OPAL WY MOUNT RICHON</v>
          </cell>
          <cell r="H1206" t="str">
            <v>SEC Supply</v>
          </cell>
          <cell r="I1206" t="str">
            <v>W0035057</v>
          </cell>
          <cell r="J1206" t="str">
            <v>Main SB</v>
          </cell>
          <cell r="K1206" t="str">
            <v>AO37-41-4</v>
          </cell>
          <cell r="M1206"/>
          <cell r="V1206" t="str">
            <v>Fuse</v>
          </cell>
          <cell r="W1206">
            <v>80</v>
          </cell>
          <cell r="AF1206">
            <v>1982</v>
          </cell>
          <cell r="AH1206" t="str">
            <v>Dave Sutton</v>
          </cell>
          <cell r="AI1206" t="str">
            <v>WC</v>
          </cell>
          <cell r="AJ1206"/>
        </row>
        <row r="1207">
          <cell r="E1207" t="str">
            <v>S0031998</v>
          </cell>
          <cell r="F1207" t="str">
            <v>SPS MCGILLIVRAY RD MT CLAREMONT</v>
          </cell>
          <cell r="I1207" t="str">
            <v>S0032004</v>
          </cell>
          <cell r="K1207" t="str">
            <v>09358-40-1</v>
          </cell>
          <cell r="M1207"/>
          <cell r="AF1207">
            <v>1964</v>
          </cell>
          <cell r="AH1207" t="str">
            <v>Dave Sutton</v>
          </cell>
          <cell r="AI1207" t="str">
            <v>WC</v>
          </cell>
          <cell r="AJ1207"/>
        </row>
        <row r="1208">
          <cell r="E1208" t="str">
            <v>S0032596</v>
          </cell>
          <cell r="F1208" t="str">
            <v>SPS CALADENIA PDE MT CLAREMONT</v>
          </cell>
          <cell r="I1208" t="str">
            <v>S0032602</v>
          </cell>
          <cell r="J1208" t="str">
            <v>Main SB</v>
          </cell>
          <cell r="K1208" t="str">
            <v>12057-10-1</v>
          </cell>
          <cell r="M1208"/>
          <cell r="V1208" t="str">
            <v>Fuse</v>
          </cell>
          <cell r="W1208">
            <v>20</v>
          </cell>
          <cell r="AF1208">
            <v>1974</v>
          </cell>
          <cell r="AH1208" t="str">
            <v>Dave Sutton</v>
          </cell>
          <cell r="AI1208" t="str">
            <v>WC</v>
          </cell>
          <cell r="AJ1208"/>
        </row>
        <row r="1209">
          <cell r="E1209" t="str">
            <v>S0032005</v>
          </cell>
          <cell r="F1209" t="str">
            <v>SPS MONTGOMERY AV MT CLAREMONT</v>
          </cell>
          <cell r="H1209" t="str">
            <v>SEC Supply</v>
          </cell>
          <cell r="I1209" t="str">
            <v>S2003543</v>
          </cell>
          <cell r="J1209" t="str">
            <v>Main SB</v>
          </cell>
          <cell r="K1209" t="str">
            <v>DA03-41-5</v>
          </cell>
          <cell r="M1209"/>
          <cell r="O1209">
            <v>415</v>
          </cell>
          <cell r="V1209" t="str">
            <v>MCB</v>
          </cell>
          <cell r="W1209">
            <v>63</v>
          </cell>
          <cell r="AF1209">
            <v>1994</v>
          </cell>
          <cell r="AH1209" t="str">
            <v>Dave Sutton</v>
          </cell>
          <cell r="AI1209" t="str">
            <v>WC</v>
          </cell>
          <cell r="AJ1209"/>
        </row>
        <row r="1210">
          <cell r="E1210" t="str">
            <v>S0031747</v>
          </cell>
          <cell r="F1210" t="str">
            <v>SPS LYNTON ST MT HAWTHORN</v>
          </cell>
          <cell r="I1210" t="str">
            <v>S0031753</v>
          </cell>
          <cell r="K1210" t="str">
            <v>12058-10-1</v>
          </cell>
          <cell r="M1210"/>
          <cell r="AF1210">
            <v>1975</v>
          </cell>
          <cell r="AH1210" t="str">
            <v>Dave Sutton</v>
          </cell>
          <cell r="AI1210" t="str">
            <v>WC</v>
          </cell>
          <cell r="AJ1210"/>
        </row>
        <row r="1211">
          <cell r="E1211" t="str">
            <v>W0035510</v>
          </cell>
          <cell r="F1211" t="str">
            <v>WPS WILLIAM RD MT HELENA</v>
          </cell>
          <cell r="I1211" t="str">
            <v>W2000260</v>
          </cell>
          <cell r="K1211" t="str">
            <v>FX80-1-3</v>
          </cell>
          <cell r="M1211"/>
          <cell r="AF1211">
            <v>1998</v>
          </cell>
          <cell r="AH1211" t="str">
            <v>Dave Sutton</v>
          </cell>
          <cell r="AI1211" t="str">
            <v>WC</v>
          </cell>
          <cell r="AJ1211"/>
        </row>
        <row r="1212">
          <cell r="E1212" t="str">
            <v>W2000012</v>
          </cell>
          <cell r="F1212" t="str">
            <v>WPS HUMMERSTON ST MT HELENA</v>
          </cell>
          <cell r="I1212" t="str">
            <v>W2000250</v>
          </cell>
          <cell r="K1212" t="str">
            <v>FX81-1-3</v>
          </cell>
          <cell r="M1212"/>
          <cell r="AF1212">
            <v>1999</v>
          </cell>
          <cell r="AH1212" t="str">
            <v>Dave Sutton</v>
          </cell>
          <cell r="AI1212" t="str">
            <v>WC</v>
          </cell>
          <cell r="AJ1212"/>
        </row>
        <row r="1213">
          <cell r="E1213" t="str">
            <v>S0031668</v>
          </cell>
          <cell r="F1213" t="str">
            <v>SPS CENTRAL AV MT LAWLEY</v>
          </cell>
          <cell r="H1213" t="str">
            <v>SEC Supply</v>
          </cell>
          <cell r="I1213" t="str">
            <v>S0031672</v>
          </cell>
          <cell r="J1213" t="str">
            <v>Main SB</v>
          </cell>
          <cell r="K1213" t="str">
            <v>05560-41-4</v>
          </cell>
          <cell r="M1213"/>
          <cell r="V1213" t="str">
            <v>MCB</v>
          </cell>
          <cell r="W1213">
            <v>125</v>
          </cell>
          <cell r="AA1213">
            <v>415</v>
          </cell>
          <cell r="AF1213">
            <v>1978</v>
          </cell>
          <cell r="AH1213" t="str">
            <v>Dave Sutton</v>
          </cell>
          <cell r="AI1213" t="str">
            <v>WC</v>
          </cell>
          <cell r="AJ1213"/>
        </row>
        <row r="1214">
          <cell r="E1214" t="str">
            <v>S0031673</v>
          </cell>
          <cell r="F1214" t="str">
            <v>SPS COODE ST MT LAWLEY</v>
          </cell>
          <cell r="H1214" t="str">
            <v>SEC Supply</v>
          </cell>
          <cell r="I1214" t="str">
            <v>S0031677</v>
          </cell>
          <cell r="J1214" t="str">
            <v>SB1</v>
          </cell>
          <cell r="K1214" t="str">
            <v>07298-40-1</v>
          </cell>
          <cell r="M1214"/>
          <cell r="S1214" t="str">
            <v>PVC</v>
          </cell>
          <cell r="T1214" t="str">
            <v>3x1C 4mm2</v>
          </cell>
          <cell r="V1214" t="str">
            <v>MCB</v>
          </cell>
          <cell r="W1214">
            <v>80</v>
          </cell>
          <cell r="AF1214">
            <v>1983</v>
          </cell>
          <cell r="AH1214" t="str">
            <v>Dave Sutton</v>
          </cell>
          <cell r="AI1214" t="str">
            <v>WC</v>
          </cell>
          <cell r="AJ1214"/>
        </row>
        <row r="1215">
          <cell r="E1215" t="str">
            <v>S0027289</v>
          </cell>
          <cell r="F1215" t="str">
            <v>SPS KARALUNDIE WY MULLALOO</v>
          </cell>
          <cell r="I1215" t="str">
            <v>S0027295</v>
          </cell>
          <cell r="J1215" t="str">
            <v>Main SB</v>
          </cell>
          <cell r="K1215" t="str">
            <v>13100-18-1</v>
          </cell>
          <cell r="M1215"/>
          <cell r="AF1215">
            <v>1975</v>
          </cell>
          <cell r="AH1215" t="str">
            <v>Dave Sutton</v>
          </cell>
          <cell r="AI1215" t="str">
            <v>WC</v>
          </cell>
          <cell r="AJ1215"/>
        </row>
        <row r="1216">
          <cell r="E1216" t="str">
            <v>S0027277</v>
          </cell>
          <cell r="F1216" t="str">
            <v>SPS GAINSBOROUGH WY MULLALOO</v>
          </cell>
          <cell r="H1216" t="str">
            <v>Supply Authority</v>
          </cell>
          <cell r="I1216" t="str">
            <v>S0027281</v>
          </cell>
          <cell r="K1216" t="str">
            <v>19225-41-2</v>
          </cell>
          <cell r="M1216"/>
          <cell r="V1216" t="str">
            <v>Fuse</v>
          </cell>
          <cell r="W1216">
            <v>100</v>
          </cell>
          <cell r="AF1216">
            <v>1985</v>
          </cell>
          <cell r="AH1216" t="str">
            <v>Dave Sutton</v>
          </cell>
          <cell r="AI1216" t="str">
            <v>WC</v>
          </cell>
          <cell r="AJ1216"/>
        </row>
        <row r="1217">
          <cell r="E1217" t="str">
            <v>S2017200</v>
          </cell>
          <cell r="F1217" t="str">
            <v>SPS OCEANSIDE PROM MULLALOO</v>
          </cell>
          <cell r="H1217" t="str">
            <v>Supply Authority</v>
          </cell>
          <cell r="I1217" t="str">
            <v>S2018348</v>
          </cell>
          <cell r="J1217" t="str">
            <v>Main SB</v>
          </cell>
          <cell r="K1217" t="str">
            <v>HD33-41-5</v>
          </cell>
          <cell r="M1217">
            <v>200</v>
          </cell>
          <cell r="O1217">
            <v>415</v>
          </cell>
          <cell r="S1217" t="str">
            <v>PVC/PVC</v>
          </cell>
          <cell r="T1217" t="str">
            <v>16mm2</v>
          </cell>
          <cell r="V1217" t="str">
            <v>Fuse</v>
          </cell>
          <cell r="W1217">
            <v>60</v>
          </cell>
          <cell r="AF1217">
            <v>2005</v>
          </cell>
          <cell r="AH1217" t="str">
            <v>Dave Sutton</v>
          </cell>
          <cell r="AI1217" t="str">
            <v>WC</v>
          </cell>
          <cell r="AJ1217"/>
        </row>
        <row r="1218">
          <cell r="E1218" t="str">
            <v>S2017201</v>
          </cell>
          <cell r="F1218" t="str">
            <v>SPS GUNIDA ST MULLALOO</v>
          </cell>
          <cell r="H1218" t="str">
            <v>Supply Authority</v>
          </cell>
          <cell r="I1218" t="str">
            <v>S2018439</v>
          </cell>
          <cell r="J1218" t="str">
            <v>Main SB</v>
          </cell>
          <cell r="K1218" t="str">
            <v>HD34-41-5</v>
          </cell>
          <cell r="M1218">
            <v>200</v>
          </cell>
          <cell r="O1218">
            <v>415</v>
          </cell>
          <cell r="S1218" t="str">
            <v>PVC/PVC</v>
          </cell>
          <cell r="T1218" t="str">
            <v>16mm2</v>
          </cell>
          <cell r="V1218" t="str">
            <v>Fuse</v>
          </cell>
          <cell r="W1218">
            <v>60</v>
          </cell>
          <cell r="AF1218">
            <v>2005</v>
          </cell>
          <cell r="AH1218" t="str">
            <v>Dave Sutton</v>
          </cell>
          <cell r="AI1218" t="str">
            <v>WC</v>
          </cell>
          <cell r="AJ1218"/>
        </row>
        <row r="1219">
          <cell r="E1219" t="str">
            <v>W0035484</v>
          </cell>
          <cell r="F1219" t="str">
            <v>WPS HALIFAX PL MUNDARING</v>
          </cell>
          <cell r="H1219" t="str">
            <v>Supply Authority</v>
          </cell>
          <cell r="I1219" t="str">
            <v>W0035489</v>
          </cell>
          <cell r="J1219" t="str">
            <v>Main SB</v>
          </cell>
          <cell r="K1219" t="str">
            <v>19060-41-2</v>
          </cell>
          <cell r="M1219"/>
          <cell r="O1219">
            <v>415</v>
          </cell>
          <cell r="AF1219">
            <v>1982</v>
          </cell>
          <cell r="AH1219" t="str">
            <v>Dave Sutton</v>
          </cell>
          <cell r="AI1219" t="str">
            <v>WC</v>
          </cell>
          <cell r="AJ1219"/>
        </row>
        <row r="1220">
          <cell r="E1220" t="str">
            <v>S0030319</v>
          </cell>
          <cell r="F1220" t="str">
            <v>SPS HARTUNG ST MUNDARING</v>
          </cell>
          <cell r="H1220" t="str">
            <v>Supply Authority</v>
          </cell>
          <cell r="I1220" t="str">
            <v>S2003540</v>
          </cell>
          <cell r="J1220" t="str">
            <v>Main SB</v>
          </cell>
          <cell r="K1220" t="str">
            <v>DO92-41-5</v>
          </cell>
          <cell r="M1220"/>
          <cell r="O1220">
            <v>415</v>
          </cell>
          <cell r="S1220" t="str">
            <v>PYROLEX</v>
          </cell>
          <cell r="T1220" t="str">
            <v>10mm2</v>
          </cell>
          <cell r="V1220" t="str">
            <v>MCB</v>
          </cell>
          <cell r="W1220">
            <v>63</v>
          </cell>
          <cell r="AF1220">
            <v>1996</v>
          </cell>
          <cell r="AH1220" t="str">
            <v>Dave Sutton</v>
          </cell>
          <cell r="AI1220" t="str">
            <v>WC</v>
          </cell>
          <cell r="AJ1220"/>
        </row>
        <row r="1221">
          <cell r="E1221" t="str">
            <v>S0033525</v>
          </cell>
          <cell r="F1221" t="str">
            <v>SPS CLARENCE BEACH RD MUNSTER</v>
          </cell>
          <cell r="I1221" t="str">
            <v>S0033529</v>
          </cell>
          <cell r="K1221" t="str">
            <v>17572-40-3</v>
          </cell>
          <cell r="M1221"/>
          <cell r="AF1221">
            <v>1980</v>
          </cell>
          <cell r="AH1221" t="str">
            <v>Dave Sutton</v>
          </cell>
          <cell r="AI1221" t="str">
            <v>WC</v>
          </cell>
          <cell r="AJ1221"/>
        </row>
        <row r="1222">
          <cell r="E1222" t="str">
            <v>W2000407</v>
          </cell>
          <cell r="F1222" t="str">
            <v>WPS HENDERSON RD MUNSTER</v>
          </cell>
          <cell r="H1222" t="str">
            <v>Supply Authority</v>
          </cell>
          <cell r="I1222" t="str">
            <v>W2000556</v>
          </cell>
          <cell r="J1222" t="str">
            <v>Main SB</v>
          </cell>
          <cell r="K1222" t="str">
            <v>HN89-41-4</v>
          </cell>
          <cell r="M1222">
            <v>315</v>
          </cell>
          <cell r="V1222" t="str">
            <v>MCB</v>
          </cell>
          <cell r="W1222">
            <v>125</v>
          </cell>
          <cell r="AF1222">
            <v>2008</v>
          </cell>
          <cell r="AH1222" t="str">
            <v>Dave Sutton</v>
          </cell>
          <cell r="AI1222" t="str">
            <v>WC</v>
          </cell>
          <cell r="AJ1222"/>
        </row>
        <row r="1223">
          <cell r="E1223" t="str">
            <v>S2003571</v>
          </cell>
          <cell r="F1223" t="str">
            <v>SPS MUNSTER 3 MUNSTER</v>
          </cell>
          <cell r="G1223" t="str">
            <v>SB03103</v>
          </cell>
          <cell r="H1223" t="str">
            <v>SB03105</v>
          </cell>
          <cell r="I1223" t="str">
            <v>S2003581</v>
          </cell>
          <cell r="J1223" t="str">
            <v>SWB SB03103 22KV WELL A</v>
          </cell>
          <cell r="K1223" t="str">
            <v>FL46-41-1</v>
          </cell>
          <cell r="M1223"/>
          <cell r="AA1223">
            <v>22000</v>
          </cell>
          <cell r="AF1223">
            <v>2001</v>
          </cell>
          <cell r="AH1223" t="str">
            <v>Dave Sutton</v>
          </cell>
          <cell r="AI1223" t="str">
            <v>WC</v>
          </cell>
          <cell r="AJ1223" t="str">
            <v>Genset onsite (1000kVA)</v>
          </cell>
        </row>
        <row r="1224">
          <cell r="E1224" t="str">
            <v>S2003404</v>
          </cell>
          <cell r="F1224" t="str">
            <v>SPS COCKBURN RD MUNSTER</v>
          </cell>
          <cell r="H1224" t="str">
            <v>Supply Authority</v>
          </cell>
          <cell r="I1224" t="str">
            <v>S2003408</v>
          </cell>
          <cell r="J1224" t="str">
            <v>Main SB</v>
          </cell>
          <cell r="K1224" t="str">
            <v>FO89-41-5</v>
          </cell>
          <cell r="M1224">
            <v>200</v>
          </cell>
          <cell r="O1224">
            <v>415</v>
          </cell>
          <cell r="V1224" t="str">
            <v>MCB</v>
          </cell>
          <cell r="W1224">
            <v>63</v>
          </cell>
          <cell r="AF1224">
            <v>2001</v>
          </cell>
          <cell r="AH1224" t="str">
            <v>Dave Sutton</v>
          </cell>
          <cell r="AI1224" t="str">
            <v>WC</v>
          </cell>
          <cell r="AJ1224"/>
        </row>
        <row r="1225">
          <cell r="E1225" t="str">
            <v>S2016918</v>
          </cell>
          <cell r="F1225" t="str">
            <v>SPS COOGEE RD MUNSTER</v>
          </cell>
          <cell r="H1225" t="str">
            <v>Supply Authority</v>
          </cell>
          <cell r="I1225" t="str">
            <v>S2019198</v>
          </cell>
          <cell r="J1225" t="str">
            <v>Main SB</v>
          </cell>
          <cell r="K1225" t="str">
            <v>GT58-41-5</v>
          </cell>
          <cell r="M1225">
            <v>200</v>
          </cell>
          <cell r="N1225">
            <v>22</v>
          </cell>
          <cell r="O1225">
            <v>415</v>
          </cell>
          <cell r="S1225" t="str">
            <v>XLPE</v>
          </cell>
          <cell r="T1225" t="str">
            <v>16mm2</v>
          </cell>
          <cell r="V1225" t="str">
            <v>Fuse</v>
          </cell>
          <cell r="W1225">
            <v>60</v>
          </cell>
          <cell r="X1225" t="str">
            <v>GT58-40-2</v>
          </cell>
          <cell r="AF1225">
            <v>2006</v>
          </cell>
          <cell r="AH1225" t="str">
            <v>Dave Sutton</v>
          </cell>
          <cell r="AI1225" t="str">
            <v>WC</v>
          </cell>
          <cell r="AJ1225"/>
        </row>
        <row r="1226">
          <cell r="E1226" t="str">
            <v>S2018395</v>
          </cell>
          <cell r="F1226" t="str">
            <v>SPS ULIDIA COVE MUNSTER</v>
          </cell>
          <cell r="H1226" t="str">
            <v>Supply Authority</v>
          </cell>
          <cell r="I1226" t="str">
            <v>S2023432</v>
          </cell>
          <cell r="J1226" t="str">
            <v>Main SB</v>
          </cell>
          <cell r="K1226" t="str">
            <v>HW69-41-5</v>
          </cell>
          <cell r="M1226"/>
          <cell r="N1226">
            <v>22</v>
          </cell>
          <cell r="O1226">
            <v>415</v>
          </cell>
          <cell r="S1226" t="str">
            <v>XLPE/PVC</v>
          </cell>
          <cell r="T1226" t="str">
            <v>1x4C 25mm2</v>
          </cell>
          <cell r="V1226" t="str">
            <v>Fuse</v>
          </cell>
          <cell r="W1226">
            <v>100</v>
          </cell>
          <cell r="X1226" t="str">
            <v>HW69-40-2</v>
          </cell>
          <cell r="AF1226">
            <v>2010</v>
          </cell>
          <cell r="AH1226" t="str">
            <v>Dave Sutton</v>
          </cell>
          <cell r="AI1226" t="str">
            <v>WC</v>
          </cell>
          <cell r="AJ1226"/>
        </row>
        <row r="1227">
          <cell r="E1227" t="str">
            <v>W8004874</v>
          </cell>
          <cell r="F1227" t="str">
            <v>WPS LAKES RD NAMBEELUP</v>
          </cell>
          <cell r="H1227" t="str">
            <v>Supply Authority</v>
          </cell>
          <cell r="I1227" t="str">
            <v>W8004865</v>
          </cell>
          <cell r="J1227" t="str">
            <v>Main SB</v>
          </cell>
          <cell r="K1227" t="str">
            <v>HA09-41-5</v>
          </cell>
          <cell r="M1227"/>
          <cell r="O1227">
            <v>415</v>
          </cell>
          <cell r="V1227" t="str">
            <v>MCB</v>
          </cell>
          <cell r="W1227">
            <v>32</v>
          </cell>
          <cell r="AF1227">
            <v>2004</v>
          </cell>
          <cell r="AH1227" t="str">
            <v>Dave Sutton</v>
          </cell>
          <cell r="AI1227" t="str">
            <v>WC</v>
          </cell>
          <cell r="AJ1227"/>
        </row>
        <row r="1228">
          <cell r="E1228" t="str">
            <v>W8004874</v>
          </cell>
          <cell r="F1228" t="str">
            <v>WPS LAKES RD NAMBEELUP</v>
          </cell>
          <cell r="H1228" t="str">
            <v>Main SB</v>
          </cell>
          <cell r="J1228" t="str">
            <v>Chlorintation Control Panel</v>
          </cell>
          <cell r="K1228" t="str">
            <v>HA09-43-1</v>
          </cell>
          <cell r="M1228"/>
          <cell r="O1228">
            <v>240</v>
          </cell>
          <cell r="V1228" t="str">
            <v>MCB</v>
          </cell>
          <cell r="W1228">
            <v>30</v>
          </cell>
          <cell r="AF1228">
            <v>2004</v>
          </cell>
          <cell r="AH1228" t="str">
            <v>Dave Sutton</v>
          </cell>
          <cell r="AI1228" t="str">
            <v>WC</v>
          </cell>
          <cell r="AJ1228"/>
        </row>
        <row r="1229">
          <cell r="E1229" t="str">
            <v>S0032277</v>
          </cell>
          <cell r="F1229" t="str">
            <v>SPS KINGSTON ST NEDLANDS</v>
          </cell>
          <cell r="I1229" t="str">
            <v>S0032283</v>
          </cell>
          <cell r="K1229" t="str">
            <v xml:space="preserve">05258- - </v>
          </cell>
          <cell r="M1229"/>
          <cell r="AF1229">
            <v>1972</v>
          </cell>
          <cell r="AH1229" t="str">
            <v>Dave Sutton</v>
          </cell>
          <cell r="AI1229" t="str">
            <v>WC</v>
          </cell>
          <cell r="AJ1229"/>
        </row>
        <row r="1230">
          <cell r="E1230" t="str">
            <v>S0032613</v>
          </cell>
          <cell r="F1230" t="str">
            <v>SPS CARRINGTON ST NEDLANDS</v>
          </cell>
          <cell r="H1230" t="str">
            <v>SEC Supply</v>
          </cell>
          <cell r="I1230" t="str">
            <v>S0032617</v>
          </cell>
          <cell r="J1230" t="str">
            <v>SB1</v>
          </cell>
          <cell r="K1230" t="str">
            <v>07419-40-1</v>
          </cell>
          <cell r="M1230"/>
          <cell r="S1230" t="str">
            <v>PVC</v>
          </cell>
          <cell r="T1230" t="str">
            <v>4x1C 4mm2</v>
          </cell>
          <cell r="AF1230">
            <v>1979</v>
          </cell>
          <cell r="AH1230" t="str">
            <v>Dave Sutton</v>
          </cell>
          <cell r="AI1230" t="str">
            <v>WC</v>
          </cell>
          <cell r="AJ1230"/>
        </row>
        <row r="1231">
          <cell r="E1231" t="str">
            <v>S0032711</v>
          </cell>
          <cell r="F1231" t="str">
            <v>SPS WAROONGA RD NEDLANDS</v>
          </cell>
          <cell r="I1231" t="str">
            <v>S0032717</v>
          </cell>
          <cell r="K1231" t="str">
            <v xml:space="preserve">05880- - </v>
          </cell>
          <cell r="M1231"/>
          <cell r="AF1231">
            <v>1993</v>
          </cell>
          <cell r="AH1231" t="str">
            <v>Dave Sutton</v>
          </cell>
          <cell r="AI1231" t="str">
            <v>WC</v>
          </cell>
          <cell r="AJ1231"/>
        </row>
        <row r="1232">
          <cell r="E1232" t="str">
            <v>S2019040</v>
          </cell>
          <cell r="F1232" t="str">
            <v>SPS WANNEROO RD NEERABUP</v>
          </cell>
          <cell r="I1232" t="str">
            <v>S2023066</v>
          </cell>
          <cell r="K1232" t="str">
            <v>IK16-41-2</v>
          </cell>
          <cell r="M1232">
            <v>300</v>
          </cell>
          <cell r="V1232" t="str">
            <v>SPD</v>
          </cell>
          <cell r="W1232">
            <v>630</v>
          </cell>
          <cell r="AA1232">
            <v>415</v>
          </cell>
          <cell r="AB1232">
            <v>800</v>
          </cell>
          <cell r="AC1232">
            <v>30</v>
          </cell>
          <cell r="AD1232">
            <v>1</v>
          </cell>
          <cell r="AF1232">
            <v>2008</v>
          </cell>
          <cell r="AH1232" t="str">
            <v>Dave Sutton</v>
          </cell>
          <cell r="AI1232" t="str">
            <v>WC</v>
          </cell>
          <cell r="AJ1232"/>
        </row>
        <row r="1233">
          <cell r="E1233" t="str">
            <v>W2000348</v>
          </cell>
          <cell r="F1233" t="str">
            <v>WPS COBHAM AV NOLLAMARA RES SYPH</v>
          </cell>
          <cell r="H1233" t="str">
            <v>HV Switchroom GH60-40-1</v>
          </cell>
          <cell r="I1233" t="str">
            <v>W0034785</v>
          </cell>
          <cell r="J1233" t="str">
            <v>Bore G17 LV SB</v>
          </cell>
          <cell r="K1233" t="str">
            <v>GH60-41-4</v>
          </cell>
          <cell r="M1233">
            <v>160</v>
          </cell>
          <cell r="N1233">
            <v>22</v>
          </cell>
          <cell r="O1233">
            <v>433</v>
          </cell>
          <cell r="V1233" t="str">
            <v>MCB</v>
          </cell>
          <cell r="W1233">
            <v>160</v>
          </cell>
          <cell r="AF1233">
            <v>1947</v>
          </cell>
          <cell r="AH1233" t="str">
            <v>Dave Sutton</v>
          </cell>
          <cell r="AI1233" t="str">
            <v>WC</v>
          </cell>
          <cell r="AJ1233"/>
        </row>
        <row r="1234">
          <cell r="E1234" t="str">
            <v>W2000348</v>
          </cell>
          <cell r="F1234" t="str">
            <v>WPS COBHAM AV NOLLAMARA RES SYPH</v>
          </cell>
          <cell r="H1234" t="str">
            <v>HV Switchroom GH60-40-1</v>
          </cell>
          <cell r="I1234" t="str">
            <v>W0034785</v>
          </cell>
          <cell r="J1234" t="str">
            <v>Bore G27 LV SB</v>
          </cell>
          <cell r="K1234" t="str">
            <v>GH60-42-4</v>
          </cell>
          <cell r="M1234">
            <v>160</v>
          </cell>
          <cell r="N1234">
            <v>22</v>
          </cell>
          <cell r="O1234">
            <v>433</v>
          </cell>
          <cell r="V1234" t="str">
            <v>MCB</v>
          </cell>
          <cell r="W1234">
            <v>160</v>
          </cell>
          <cell r="AF1234">
            <v>1947</v>
          </cell>
          <cell r="AH1234" t="str">
            <v>Dave Sutton</v>
          </cell>
          <cell r="AI1234" t="str">
            <v>WC</v>
          </cell>
          <cell r="AJ1234"/>
        </row>
        <row r="1235">
          <cell r="E1235" t="str">
            <v>D0036218</v>
          </cell>
          <cell r="F1235" t="str">
            <v>DPS MCGRATH PL NORANDA</v>
          </cell>
          <cell r="H1235" t="str">
            <v>Supply Authority</v>
          </cell>
          <cell r="I1235" t="str">
            <v>D0036222</v>
          </cell>
          <cell r="K1235" t="str">
            <v>AI66-5-3</v>
          </cell>
          <cell r="M1235"/>
          <cell r="AF1235">
            <v>1978</v>
          </cell>
          <cell r="AH1235" t="str">
            <v>Dave Sutton</v>
          </cell>
          <cell r="AI1235" t="str">
            <v>WC</v>
          </cell>
          <cell r="AJ1235"/>
        </row>
        <row r="1236">
          <cell r="E1236" t="str">
            <v>S0030059</v>
          </cell>
          <cell r="F1236" t="str">
            <v>SPS BOHEMIA PL NORANDA</v>
          </cell>
          <cell r="H1236" t="str">
            <v>SEC Supply</v>
          </cell>
          <cell r="I1236" t="str">
            <v>S0030065</v>
          </cell>
          <cell r="J1236" t="str">
            <v>Main SB</v>
          </cell>
          <cell r="K1236" t="str">
            <v>14635-40-2</v>
          </cell>
          <cell r="M1236"/>
          <cell r="AF1236">
            <v>1978</v>
          </cell>
          <cell r="AH1236" t="str">
            <v>Dave Sutton</v>
          </cell>
          <cell r="AI1236" t="str">
            <v>WC</v>
          </cell>
          <cell r="AJ1236"/>
        </row>
        <row r="1237">
          <cell r="E1237" t="str">
            <v>S0030228</v>
          </cell>
          <cell r="F1237" t="str">
            <v>SPS WIDGEE RD NORANDA</v>
          </cell>
          <cell r="H1237" t="str">
            <v>SEC Supply</v>
          </cell>
          <cell r="I1237" t="str">
            <v>S0030234</v>
          </cell>
          <cell r="J1237" t="str">
            <v>Main SB</v>
          </cell>
          <cell r="K1237" t="str">
            <v>14644-40-2</v>
          </cell>
          <cell r="M1237"/>
          <cell r="AF1237">
            <v>1978</v>
          </cell>
          <cell r="AH1237" t="str">
            <v>Dave Sutton</v>
          </cell>
          <cell r="AI1237" t="str">
            <v>WC</v>
          </cell>
          <cell r="AJ1237"/>
        </row>
        <row r="1238">
          <cell r="E1238" t="str">
            <v>S0030184</v>
          </cell>
          <cell r="F1238" t="str">
            <v>SPS MCGILVRAY AV NTH NORANDA</v>
          </cell>
          <cell r="I1238" t="str">
            <v>S0030190</v>
          </cell>
          <cell r="J1238" t="str">
            <v>Main SB</v>
          </cell>
          <cell r="K1238" t="str">
            <v>15357-40-6</v>
          </cell>
          <cell r="M1238"/>
          <cell r="AF1238">
            <v>1979</v>
          </cell>
          <cell r="AH1238" t="str">
            <v>Dave Sutton</v>
          </cell>
          <cell r="AI1238" t="str">
            <v>WC</v>
          </cell>
          <cell r="AJ1238"/>
        </row>
        <row r="1239">
          <cell r="E1239" t="str">
            <v>S0030042</v>
          </cell>
          <cell r="F1239" t="str">
            <v>SPS BENARA RD WEST NORANDA</v>
          </cell>
          <cell r="I1239" t="str">
            <v>S0030048</v>
          </cell>
          <cell r="K1239" t="str">
            <v xml:space="preserve">17594- - </v>
          </cell>
          <cell r="M1239"/>
          <cell r="AF1239">
            <v>1980</v>
          </cell>
          <cell r="AH1239" t="str">
            <v>Dave Sutton</v>
          </cell>
          <cell r="AI1239" t="str">
            <v>WC</v>
          </cell>
          <cell r="AJ1239"/>
        </row>
        <row r="1240">
          <cell r="E1240" t="str">
            <v>S0030344</v>
          </cell>
          <cell r="F1240" t="str">
            <v>SPS EIGHTY RD NTH BALDIVIS</v>
          </cell>
          <cell r="H1240" t="str">
            <v>SEC Supply</v>
          </cell>
          <cell r="I1240" t="str">
            <v>S0030348</v>
          </cell>
          <cell r="J1240" t="str">
            <v>Main SB</v>
          </cell>
          <cell r="K1240" t="str">
            <v>DI82-41-5</v>
          </cell>
          <cell r="M1240"/>
          <cell r="O1240">
            <v>415</v>
          </cell>
          <cell r="V1240" t="str">
            <v>MCB</v>
          </cell>
          <cell r="W1240">
            <v>80</v>
          </cell>
          <cell r="AF1240">
            <v>1995</v>
          </cell>
          <cell r="AH1240" t="str">
            <v>Dave Sutton</v>
          </cell>
          <cell r="AI1240" t="str">
            <v>WC</v>
          </cell>
          <cell r="AJ1240"/>
        </row>
        <row r="1241">
          <cell r="E1241" t="str">
            <v>S2019414</v>
          </cell>
          <cell r="F1241" t="str">
            <v>SPS BALDIVIS RD NTH BALDIVIS</v>
          </cell>
          <cell r="H1241" t="str">
            <v>Supply Authority</v>
          </cell>
          <cell r="I1241" t="str">
            <v>S2023244</v>
          </cell>
          <cell r="J1241" t="str">
            <v>Main SB</v>
          </cell>
          <cell r="K1241" t="str">
            <v>IZ41-41-5</v>
          </cell>
          <cell r="M1241"/>
          <cell r="S1241" t="str">
            <v>PVC</v>
          </cell>
          <cell r="T1241" t="str">
            <v>25mm2</v>
          </cell>
          <cell r="V1241" t="str">
            <v>Fuse</v>
          </cell>
          <cell r="W1241">
            <v>100</v>
          </cell>
          <cell r="AF1241">
            <v>2009</v>
          </cell>
          <cell r="AH1241" t="str">
            <v>Dave Sutton</v>
          </cell>
          <cell r="AI1241" t="str">
            <v>WC</v>
          </cell>
          <cell r="AJ1241"/>
        </row>
        <row r="1242">
          <cell r="E1242" t="str">
            <v>S2009790</v>
          </cell>
          <cell r="F1242" t="str">
            <v>SPS HAMERSLEY ST NORTH BEACH</v>
          </cell>
          <cell r="H1242" t="str">
            <v>Supply Authority</v>
          </cell>
          <cell r="I1242" t="str">
            <v>S2009794</v>
          </cell>
          <cell r="J1242" t="str">
            <v>Main SB</v>
          </cell>
          <cell r="K1242" t="str">
            <v>GK75-41-5</v>
          </cell>
          <cell r="M1242"/>
          <cell r="O1242">
            <v>415</v>
          </cell>
          <cell r="S1242" t="str">
            <v>PYROLEX</v>
          </cell>
          <cell r="T1242" t="str">
            <v>10mm2</v>
          </cell>
          <cell r="V1242" t="str">
            <v>MCB</v>
          </cell>
          <cell r="W1242">
            <v>63</v>
          </cell>
          <cell r="AF1242">
            <v>2003</v>
          </cell>
          <cell r="AH1242" t="str">
            <v>Dave Sutton</v>
          </cell>
          <cell r="AI1242" t="str">
            <v>WC</v>
          </cell>
          <cell r="AJ1242"/>
        </row>
        <row r="1243">
          <cell r="E1243" t="str">
            <v>S2013758</v>
          </cell>
          <cell r="F1243" t="str">
            <v>SPS NORTH BEACH RD NORTH BEACH</v>
          </cell>
          <cell r="H1243" t="str">
            <v>Supply Authority</v>
          </cell>
          <cell r="I1243" t="str">
            <v>S2013762</v>
          </cell>
          <cell r="J1243" t="str">
            <v>Main SB</v>
          </cell>
          <cell r="K1243" t="str">
            <v>FT47-41-5</v>
          </cell>
          <cell r="M1243">
            <v>200</v>
          </cell>
          <cell r="O1243">
            <v>415</v>
          </cell>
          <cell r="S1243" t="str">
            <v>PVC</v>
          </cell>
          <cell r="T1243" t="str">
            <v>10mm2</v>
          </cell>
          <cell r="V1243" t="str">
            <v>MCB</v>
          </cell>
          <cell r="W1243">
            <v>32</v>
          </cell>
          <cell r="AF1243">
            <v>2003</v>
          </cell>
          <cell r="AH1243" t="str">
            <v>Dave Sutton</v>
          </cell>
          <cell r="AI1243" t="str">
            <v>WC</v>
          </cell>
          <cell r="AJ1243"/>
        </row>
        <row r="1244">
          <cell r="E1244" t="str">
            <v>S2013748</v>
          </cell>
          <cell r="F1244" t="str">
            <v>SPS HOPE ST NORTH BEACH</v>
          </cell>
          <cell r="I1244" t="str">
            <v>S2013752</v>
          </cell>
          <cell r="K1244" t="str">
            <v>GO69-41-5</v>
          </cell>
          <cell r="M1244"/>
          <cell r="AF1244">
            <v>2004</v>
          </cell>
          <cell r="AH1244" t="str">
            <v>Dave Sutton</v>
          </cell>
          <cell r="AI1244" t="str">
            <v>WC</v>
          </cell>
          <cell r="AJ1244"/>
        </row>
        <row r="1245">
          <cell r="E1245" t="str">
            <v>S2018474</v>
          </cell>
          <cell r="F1245" t="str">
            <v>SPS COROMANDEL APP NORTH COOGEE</v>
          </cell>
          <cell r="H1245" t="str">
            <v>Supply Authority</v>
          </cell>
          <cell r="I1245" t="str">
            <v>S2023351</v>
          </cell>
          <cell r="J1245" t="str">
            <v>Main SB</v>
          </cell>
          <cell r="K1245" t="str">
            <v>IB96-41-5</v>
          </cell>
          <cell r="M1245"/>
          <cell r="N1245">
            <v>22</v>
          </cell>
          <cell r="O1245">
            <v>415</v>
          </cell>
          <cell r="S1245" t="str">
            <v>XLPE/PVC</v>
          </cell>
          <cell r="T1245" t="str">
            <v>4x1C 25mm2</v>
          </cell>
          <cell r="V1245" t="str">
            <v>Fuse</v>
          </cell>
          <cell r="W1245">
            <v>100</v>
          </cell>
          <cell r="AF1245">
            <v>2009</v>
          </cell>
          <cell r="AH1245" t="str">
            <v>Dave Sutton</v>
          </cell>
          <cell r="AI1245" t="str">
            <v>WC</v>
          </cell>
          <cell r="AJ1245"/>
        </row>
        <row r="1246">
          <cell r="E1246" t="str">
            <v>S0044800</v>
          </cell>
          <cell r="F1246" t="str">
            <v>SPS WANJEEP ST NTH COODANUP</v>
          </cell>
          <cell r="H1246" t="str">
            <v>Supply Authority</v>
          </cell>
          <cell r="I1246" t="str">
            <v>S8003191</v>
          </cell>
          <cell r="J1246" t="str">
            <v>Main SB</v>
          </cell>
          <cell r="K1246" t="str">
            <v>IJ30-41-5</v>
          </cell>
          <cell r="M1246"/>
          <cell r="V1246" t="str">
            <v>SPD</v>
          </cell>
          <cell r="W1246">
            <v>160</v>
          </cell>
          <cell r="X1246" t="str">
            <v>IJ30-41-5</v>
          </cell>
          <cell r="AA1246">
            <v>415</v>
          </cell>
          <cell r="AF1246">
            <v>1985</v>
          </cell>
          <cell r="AH1246" t="str">
            <v>Dave Sutton</v>
          </cell>
          <cell r="AI1246" t="str">
            <v>WC</v>
          </cell>
          <cell r="AJ1246"/>
        </row>
        <row r="1247">
          <cell r="E1247" t="str">
            <v>S0045016</v>
          </cell>
          <cell r="F1247" t="str">
            <v>SPS WILDERNESS DR NTH DAWESVILLE</v>
          </cell>
          <cell r="H1247" t="str">
            <v>Supply Authority</v>
          </cell>
          <cell r="I1247" t="str">
            <v>S8004183</v>
          </cell>
          <cell r="J1247" t="str">
            <v>Main SB</v>
          </cell>
          <cell r="K1247" t="str">
            <v>EK00-41-5</v>
          </cell>
          <cell r="M1247"/>
          <cell r="O1247">
            <v>415</v>
          </cell>
          <cell r="V1247" t="str">
            <v>MCB</v>
          </cell>
          <cell r="W1247">
            <v>32</v>
          </cell>
          <cell r="AF1247">
            <v>1999</v>
          </cell>
          <cell r="AH1247" t="str">
            <v>Dave Sutton</v>
          </cell>
          <cell r="AI1247" t="str">
            <v>WC</v>
          </cell>
          <cell r="AJ1247"/>
        </row>
        <row r="1248">
          <cell r="E1248" t="str">
            <v>S0033151</v>
          </cell>
          <cell r="F1248" t="str">
            <v>SPS ROUS HEAD RD NORTH FREMANTLE</v>
          </cell>
          <cell r="H1248" t="str">
            <v>SEC Supply</v>
          </cell>
          <cell r="I1248" t="str">
            <v>S0033155</v>
          </cell>
          <cell r="J1248" t="str">
            <v>Main SB</v>
          </cell>
          <cell r="K1248" t="str">
            <v>BV58-42-2</v>
          </cell>
          <cell r="M1248"/>
          <cell r="O1248">
            <v>415</v>
          </cell>
          <cell r="AF1248">
            <v>1991</v>
          </cell>
          <cell r="AH1248" t="str">
            <v>Dave Sutton</v>
          </cell>
          <cell r="AI1248" t="str">
            <v>WC</v>
          </cell>
          <cell r="AJ1248"/>
        </row>
        <row r="1249">
          <cell r="E1249" t="str">
            <v>S0033146</v>
          </cell>
          <cell r="F1249" t="str">
            <v>SPS BRUCE ST NORTH FREMANTLE</v>
          </cell>
          <cell r="H1249" t="str">
            <v>Supply Authority</v>
          </cell>
          <cell r="I1249" t="str">
            <v>S0033150</v>
          </cell>
          <cell r="J1249" t="str">
            <v>Main SB</v>
          </cell>
          <cell r="K1249" t="str">
            <v>DV60-41-5</v>
          </cell>
          <cell r="M1249"/>
          <cell r="O1249">
            <v>415</v>
          </cell>
          <cell r="S1249" t="str">
            <v>PYROLEX</v>
          </cell>
          <cell r="T1249" t="str">
            <v>10mm2</v>
          </cell>
          <cell r="V1249" t="str">
            <v>MCB</v>
          </cell>
          <cell r="W1249">
            <v>32</v>
          </cell>
          <cell r="AF1249">
            <v>1996</v>
          </cell>
          <cell r="AH1249" t="str">
            <v>Dave Sutton</v>
          </cell>
          <cell r="AI1249" t="str">
            <v>WC</v>
          </cell>
          <cell r="AJ1249"/>
        </row>
        <row r="1250">
          <cell r="E1250" t="str">
            <v>S0033156</v>
          </cell>
          <cell r="F1250" t="str">
            <v>SPS TYDEMAN RD NORTH FREMANTLE</v>
          </cell>
          <cell r="H1250" t="str">
            <v>Supply Authority</v>
          </cell>
          <cell r="I1250" t="str">
            <v>S0033162</v>
          </cell>
          <cell r="J1250" t="str">
            <v>Main SB</v>
          </cell>
          <cell r="K1250" t="str">
            <v>FV06-41-4</v>
          </cell>
          <cell r="M1250"/>
          <cell r="O1250">
            <v>415</v>
          </cell>
          <cell r="S1250" t="str">
            <v>XLPE</v>
          </cell>
          <cell r="T1250" t="str">
            <v>16mm2</v>
          </cell>
          <cell r="V1250" t="str">
            <v>MCB</v>
          </cell>
          <cell r="W1250">
            <v>100</v>
          </cell>
          <cell r="AF1250">
            <v>2000</v>
          </cell>
          <cell r="AH1250" t="str">
            <v>Dave Sutton</v>
          </cell>
          <cell r="AI1250" t="str">
            <v>WC</v>
          </cell>
          <cell r="AJ1250"/>
        </row>
        <row r="1251">
          <cell r="E1251" t="str">
            <v>S2019015</v>
          </cell>
          <cell r="F1251" t="str">
            <v>SPS PORT BEACH RD NORTH FREMANTLE</v>
          </cell>
          <cell r="H1251" t="str">
            <v>Supply Authority</v>
          </cell>
          <cell r="I1251" t="str">
            <v>S2023079</v>
          </cell>
          <cell r="J1251" t="str">
            <v>Main SB</v>
          </cell>
          <cell r="K1251" t="str">
            <v>IF92-41-5</v>
          </cell>
          <cell r="M1251"/>
          <cell r="N1251">
            <v>22</v>
          </cell>
          <cell r="O1251">
            <v>415</v>
          </cell>
          <cell r="S1251" t="str">
            <v>XLPE</v>
          </cell>
          <cell r="T1251" t="str">
            <v>4x1C 25mm2</v>
          </cell>
          <cell r="V1251" t="str">
            <v>Fuse</v>
          </cell>
          <cell r="W1251">
            <v>100</v>
          </cell>
          <cell r="X1251" t="str">
            <v>IF92-40-2</v>
          </cell>
          <cell r="AF1251">
            <v>2008</v>
          </cell>
          <cell r="AH1251" t="str">
            <v>Dave Sutton</v>
          </cell>
          <cell r="AI1251" t="str">
            <v>WC</v>
          </cell>
          <cell r="AJ1251"/>
        </row>
        <row r="1252">
          <cell r="E1252" t="str">
            <v>S0033535</v>
          </cell>
          <cell r="F1252" t="str">
            <v>SPS SPARKS RD NTH HENDERSON</v>
          </cell>
          <cell r="H1252" t="str">
            <v>SEC Supply</v>
          </cell>
          <cell r="I1252" t="str">
            <v>S0033539</v>
          </cell>
          <cell r="J1252" t="str">
            <v>SB1</v>
          </cell>
          <cell r="K1252" t="str">
            <v>17820-0-9</v>
          </cell>
          <cell r="M1252"/>
          <cell r="V1252" t="str">
            <v>Fuse</v>
          </cell>
          <cell r="W1252">
            <v>150</v>
          </cell>
          <cell r="AF1252">
            <v>1983</v>
          </cell>
          <cell r="AH1252" t="str">
            <v>Dave Sutton</v>
          </cell>
          <cell r="AI1252" t="str">
            <v>WC</v>
          </cell>
          <cell r="AJ1252"/>
        </row>
        <row r="1253">
          <cell r="E1253" t="str">
            <v>S0033683</v>
          </cell>
          <cell r="F1253" t="str">
            <v>SPS FARRINGTON RD NORTH LAKE</v>
          </cell>
          <cell r="I1253" t="str">
            <v>S0033689</v>
          </cell>
          <cell r="K1253" t="str">
            <v>13374-40-2</v>
          </cell>
          <cell r="M1253"/>
          <cell r="AF1253">
            <v>1975</v>
          </cell>
          <cell r="AH1253" t="str">
            <v>Dave Sutton</v>
          </cell>
          <cell r="AI1253" t="str">
            <v>WC</v>
          </cell>
          <cell r="AJ1253"/>
        </row>
        <row r="1254">
          <cell r="E1254" t="str">
            <v>S0030467</v>
          </cell>
          <cell r="F1254" t="str">
            <v>VPS SAFETY BAY RD NTH PERON</v>
          </cell>
          <cell r="H1254" t="str">
            <v>Western Power</v>
          </cell>
          <cell r="I1254" t="str">
            <v>S0030478</v>
          </cell>
          <cell r="J1254" t="str">
            <v>Main SB</v>
          </cell>
          <cell r="K1254" t="str">
            <v>DI83-41-5</v>
          </cell>
          <cell r="M1254"/>
          <cell r="O1254">
            <v>415</v>
          </cell>
          <cell r="V1254" t="str">
            <v>MCB</v>
          </cell>
          <cell r="W1254">
            <v>150</v>
          </cell>
          <cell r="AF1254">
            <v>1997</v>
          </cell>
          <cell r="AH1254" t="str">
            <v>Dave Sutton</v>
          </cell>
          <cell r="AI1254" t="str">
            <v>WC</v>
          </cell>
          <cell r="AJ1254" t="str">
            <v>Genset onsite (36kVA)</v>
          </cell>
        </row>
        <row r="1255">
          <cell r="E1255" t="str">
            <v>S0031642</v>
          </cell>
          <cell r="F1255" t="str">
            <v>SPS ALBERT ST NORTH PERTH</v>
          </cell>
          <cell r="I1255" t="str">
            <v>S0031648</v>
          </cell>
          <cell r="J1255" t="str">
            <v>Main SB</v>
          </cell>
          <cell r="K1255" t="str">
            <v>09714-40-1</v>
          </cell>
          <cell r="M1255"/>
          <cell r="AF1255">
            <v>1967</v>
          </cell>
          <cell r="AH1255" t="str">
            <v>Dave Sutton</v>
          </cell>
          <cell r="AI1255" t="str">
            <v>WC</v>
          </cell>
          <cell r="AJ1255"/>
        </row>
        <row r="1256">
          <cell r="E1256" t="str">
            <v>S0031649</v>
          </cell>
          <cell r="F1256" t="str">
            <v>SPS BARNET ST NORTH PERTH</v>
          </cell>
          <cell r="H1256" t="str">
            <v>SEC Supply</v>
          </cell>
          <cell r="I1256" t="str">
            <v>S0031653</v>
          </cell>
          <cell r="J1256" t="str">
            <v>SB1</v>
          </cell>
          <cell r="K1256" t="str">
            <v>07529-40-1</v>
          </cell>
          <cell r="M1256"/>
          <cell r="S1256" t="str">
            <v>PVC</v>
          </cell>
          <cell r="T1256" t="str">
            <v>3x1C 6mm2</v>
          </cell>
          <cell r="V1256" t="str">
            <v>MCB</v>
          </cell>
          <cell r="W1256">
            <v>55</v>
          </cell>
          <cell r="AF1256">
            <v>1983</v>
          </cell>
          <cell r="AH1256" t="str">
            <v>Dave Sutton</v>
          </cell>
          <cell r="AI1256" t="str">
            <v>WC</v>
          </cell>
          <cell r="AJ1256"/>
        </row>
        <row r="1257">
          <cell r="E1257" t="str">
            <v>S0034351</v>
          </cell>
          <cell r="F1257" t="str">
            <v>SPS PINETREE GULLY NTH WILLETTON</v>
          </cell>
          <cell r="I1257" t="str">
            <v>S0034357</v>
          </cell>
          <cell r="J1257" t="str">
            <v>Pump Station SB</v>
          </cell>
          <cell r="K1257" t="str">
            <v>11451-20-1</v>
          </cell>
          <cell r="M1257"/>
          <cell r="V1257" t="str">
            <v>Fuse</v>
          </cell>
          <cell r="W1257">
            <v>100</v>
          </cell>
          <cell r="AF1257">
            <v>1975</v>
          </cell>
          <cell r="AH1257" t="str">
            <v>Dave Sutton</v>
          </cell>
          <cell r="AI1257" t="str">
            <v>WC</v>
          </cell>
          <cell r="AJ1257"/>
        </row>
        <row r="1258">
          <cell r="E1258" t="str">
            <v>S0045034</v>
          </cell>
          <cell r="F1258" t="str">
            <v>SPS CULEENUP RD NORTH YUNDERUP</v>
          </cell>
          <cell r="H1258" t="str">
            <v>Supply Authority</v>
          </cell>
          <cell r="I1258" t="str">
            <v>S8003234</v>
          </cell>
          <cell r="J1258" t="str">
            <v>Main SB</v>
          </cell>
          <cell r="K1258" t="str">
            <v>AV56-41-5</v>
          </cell>
          <cell r="M1258">
            <v>200</v>
          </cell>
          <cell r="O1258">
            <v>415</v>
          </cell>
          <cell r="V1258" t="str">
            <v>MCB</v>
          </cell>
          <cell r="W1258">
            <v>63</v>
          </cell>
          <cell r="AF1258">
            <v>1987</v>
          </cell>
          <cell r="AH1258" t="str">
            <v>Dave Sutton</v>
          </cell>
          <cell r="AI1258" t="str">
            <v>WC</v>
          </cell>
          <cell r="AJ1258"/>
        </row>
        <row r="1259">
          <cell r="E1259" t="str">
            <v>S0045048</v>
          </cell>
          <cell r="F1259" t="str">
            <v>VPS KINGFISHER DR NORTH YUNDERUP</v>
          </cell>
          <cell r="H1259" t="str">
            <v>Supply Authority</v>
          </cell>
          <cell r="I1259" t="str">
            <v>S8007194</v>
          </cell>
          <cell r="J1259" t="str">
            <v>Main SB</v>
          </cell>
          <cell r="K1259" t="str">
            <v>CW78-41-5</v>
          </cell>
          <cell r="M1259"/>
          <cell r="O1259">
            <v>415</v>
          </cell>
          <cell r="S1259" t="str">
            <v>XLPE/PVC</v>
          </cell>
          <cell r="T1259" t="str">
            <v>16mm2</v>
          </cell>
          <cell r="V1259" t="str">
            <v>MCB</v>
          </cell>
          <cell r="W1259">
            <v>63</v>
          </cell>
          <cell r="AF1259">
            <v>1994</v>
          </cell>
          <cell r="AH1259" t="str">
            <v>Dave Sutton</v>
          </cell>
          <cell r="AI1259" t="str">
            <v>WC</v>
          </cell>
          <cell r="AJ1259" t="str">
            <v>Genset onsite (40kVA)</v>
          </cell>
        </row>
        <row r="1260">
          <cell r="E1260" t="str">
            <v>S2019051</v>
          </cell>
          <cell r="F1260" t="str">
            <v>SPS JERSEY RD OAKFORD</v>
          </cell>
          <cell r="H1260" t="str">
            <v>Supply Authority</v>
          </cell>
          <cell r="I1260" t="str">
            <v>S2019181</v>
          </cell>
          <cell r="J1260" t="str">
            <v>Main SB</v>
          </cell>
          <cell r="K1260" t="str">
            <v>II85-41-5</v>
          </cell>
          <cell r="M1260"/>
          <cell r="N1260">
            <v>22</v>
          </cell>
          <cell r="O1260">
            <v>415</v>
          </cell>
          <cell r="S1260" t="str">
            <v>XLPE</v>
          </cell>
          <cell r="T1260" t="str">
            <v>16mm2</v>
          </cell>
          <cell r="V1260" t="str">
            <v>Fuse</v>
          </cell>
          <cell r="W1260">
            <v>60</v>
          </cell>
          <cell r="X1260" t="str">
            <v>II85-40-2</v>
          </cell>
          <cell r="AF1260">
            <v>2007</v>
          </cell>
          <cell r="AH1260" t="str">
            <v>Dave Sutton</v>
          </cell>
          <cell r="AI1260" t="str">
            <v>WC</v>
          </cell>
          <cell r="AJ1260"/>
        </row>
        <row r="1261">
          <cell r="E1261" t="str">
            <v>S0027296</v>
          </cell>
          <cell r="F1261" t="str">
            <v>SPS OCEAN REEF RD OCEAN REEF</v>
          </cell>
          <cell r="H1261" t="str">
            <v>SEC Supply</v>
          </cell>
          <cell r="I1261" t="str">
            <v>S0027300</v>
          </cell>
          <cell r="J1261" t="str">
            <v>SB1</v>
          </cell>
          <cell r="K1261" t="str">
            <v>AK68-3-2</v>
          </cell>
          <cell r="M1261"/>
          <cell r="V1261" t="str">
            <v>CB</v>
          </cell>
          <cell r="W1261">
            <v>100</v>
          </cell>
          <cell r="AF1261">
            <v>1986</v>
          </cell>
          <cell r="AH1261" t="str">
            <v>Dave Sutton</v>
          </cell>
          <cell r="AI1261" t="str">
            <v>WC</v>
          </cell>
          <cell r="AJ1261"/>
        </row>
        <row r="1262">
          <cell r="E1262" t="str">
            <v>S0033217</v>
          </cell>
          <cell r="F1262" t="str">
            <v>SPS FORSYTH ST O'CONNOR</v>
          </cell>
          <cell r="H1262" t="str">
            <v>SEC Supply</v>
          </cell>
          <cell r="I1262" t="str">
            <v>S0033221</v>
          </cell>
          <cell r="J1262" t="str">
            <v>Main SB</v>
          </cell>
          <cell r="K1262" t="str">
            <v>AS67-2-4</v>
          </cell>
          <cell r="M1262"/>
          <cell r="V1262" t="str">
            <v>Fuse</v>
          </cell>
          <cell r="W1262">
            <v>35</v>
          </cell>
          <cell r="AF1262">
            <v>1986</v>
          </cell>
          <cell r="AH1262" t="str">
            <v>Dave Sutton</v>
          </cell>
          <cell r="AI1262" t="str">
            <v>WC</v>
          </cell>
          <cell r="AJ1262"/>
        </row>
        <row r="1263">
          <cell r="E1263" t="str">
            <v>S2013768</v>
          </cell>
          <cell r="F1263" t="str">
            <v>SPS JARVIS ST O'CONNOR</v>
          </cell>
          <cell r="H1263" t="str">
            <v>Supply Authority</v>
          </cell>
          <cell r="I1263" t="str">
            <v>S2013772</v>
          </cell>
          <cell r="J1263" t="str">
            <v>Main SB</v>
          </cell>
          <cell r="K1263" t="str">
            <v>DX73-41-5</v>
          </cell>
          <cell r="M1263"/>
          <cell r="O1263">
            <v>415</v>
          </cell>
          <cell r="S1263" t="str">
            <v>XLPE</v>
          </cell>
          <cell r="T1263" t="str">
            <v>25mm2</v>
          </cell>
          <cell r="V1263" t="str">
            <v>MCB</v>
          </cell>
          <cell r="W1263">
            <v>100</v>
          </cell>
          <cell r="AF1263">
            <v>2003</v>
          </cell>
          <cell r="AH1263" t="str">
            <v>Dave Sutton</v>
          </cell>
          <cell r="AI1263" t="str">
            <v>WC</v>
          </cell>
          <cell r="AJ1263"/>
        </row>
        <row r="1264">
          <cell r="E1264" t="str">
            <v>S0033569</v>
          </cell>
          <cell r="F1264" t="str">
            <v>SPS ADAMS ST O'CONNOR</v>
          </cell>
          <cell r="H1264" t="str">
            <v>SEC Supply</v>
          </cell>
          <cell r="I1264" t="str">
            <v>S0033573</v>
          </cell>
          <cell r="J1264" t="str">
            <v>Main SB</v>
          </cell>
          <cell r="K1264" t="str">
            <v>BY35-42-2</v>
          </cell>
          <cell r="M1264"/>
          <cell r="O1264">
            <v>415</v>
          </cell>
          <cell r="V1264" t="str">
            <v>Fuse</v>
          </cell>
          <cell r="W1264">
            <v>35</v>
          </cell>
          <cell r="AF1264">
            <v>1992</v>
          </cell>
          <cell r="AH1264" t="str">
            <v>Dave Sutton</v>
          </cell>
          <cell r="AI1264" t="str">
            <v>WC</v>
          </cell>
          <cell r="AJ1264"/>
        </row>
        <row r="1265">
          <cell r="E1265" t="str">
            <v>W0035859</v>
          </cell>
          <cell r="F1265" t="str">
            <v>WPS HARDINGE RD ORANGE GROVE</v>
          </cell>
          <cell r="I1265" t="str">
            <v>W0035864</v>
          </cell>
          <cell r="K1265" t="str">
            <v xml:space="preserve">CQ33- - </v>
          </cell>
          <cell r="M1265"/>
          <cell r="AF1265">
            <v>1973</v>
          </cell>
          <cell r="AH1265" t="str">
            <v>Dave Sutton</v>
          </cell>
          <cell r="AI1265" t="str">
            <v>WC</v>
          </cell>
          <cell r="AJ1265"/>
        </row>
        <row r="1266">
          <cell r="E1266" t="str">
            <v>S0030271</v>
          </cell>
          <cell r="F1266" t="str">
            <v>SPS BROUGHTON WY ORELIA</v>
          </cell>
          <cell r="I1266" t="str">
            <v>S0030277</v>
          </cell>
          <cell r="J1266" t="str">
            <v>Main SB</v>
          </cell>
          <cell r="K1266" t="str">
            <v>11041-40-1</v>
          </cell>
          <cell r="M1266"/>
          <cell r="AF1266">
            <v>1969</v>
          </cell>
          <cell r="AH1266" t="str">
            <v>Dave Sutton</v>
          </cell>
          <cell r="AI1266" t="str">
            <v>WC</v>
          </cell>
          <cell r="AJ1266"/>
        </row>
        <row r="1267">
          <cell r="E1267" t="str">
            <v>S0030294</v>
          </cell>
          <cell r="F1267" t="str">
            <v>SPS ELMSLIE ST ORELIA</v>
          </cell>
          <cell r="I1267" t="str">
            <v>S0030300</v>
          </cell>
          <cell r="J1267" t="str">
            <v>Main SB</v>
          </cell>
          <cell r="K1267" t="str">
            <v>10991-40-1</v>
          </cell>
          <cell r="M1267"/>
          <cell r="AF1267">
            <v>1969</v>
          </cell>
          <cell r="AH1267" t="str">
            <v>Dave Sutton</v>
          </cell>
          <cell r="AI1267" t="str">
            <v>WC</v>
          </cell>
          <cell r="AJ1267"/>
        </row>
        <row r="1268">
          <cell r="E1268" t="str">
            <v>S0031702</v>
          </cell>
          <cell r="F1268" t="str">
            <v>SPS HARBORNE ST OSBORNE PARK</v>
          </cell>
          <cell r="I1268" t="str">
            <v>S0031708</v>
          </cell>
          <cell r="J1268" t="str">
            <v>Main SB</v>
          </cell>
          <cell r="K1268" t="str">
            <v>09897-40-2</v>
          </cell>
          <cell r="M1268"/>
          <cell r="AF1268">
            <v>1966</v>
          </cell>
          <cell r="AH1268" t="str">
            <v>Dave Sutton</v>
          </cell>
          <cell r="AI1268" t="str">
            <v>WC</v>
          </cell>
          <cell r="AJ1268"/>
        </row>
        <row r="1269">
          <cell r="E1269" t="str">
            <v>S0028332</v>
          </cell>
          <cell r="F1269" t="str">
            <v>SPS DAVID PL OSBORNE PARK</v>
          </cell>
          <cell r="H1269" t="str">
            <v>SEC Supply</v>
          </cell>
          <cell r="I1269" t="str">
            <v>S0028335</v>
          </cell>
          <cell r="J1269" t="str">
            <v>Main SB</v>
          </cell>
          <cell r="K1269" t="str">
            <v>CA72-42-2</v>
          </cell>
          <cell r="M1269"/>
          <cell r="O1269">
            <v>415</v>
          </cell>
          <cell r="V1269" t="str">
            <v>Fuse</v>
          </cell>
          <cell r="W1269">
            <v>40</v>
          </cell>
          <cell r="AF1269">
            <v>1991</v>
          </cell>
          <cell r="AH1269" t="str">
            <v>Dave Sutton</v>
          </cell>
          <cell r="AI1269" t="str">
            <v>WC</v>
          </cell>
          <cell r="AJ1269"/>
        </row>
        <row r="1270">
          <cell r="E1270" t="str">
            <v>S2015120</v>
          </cell>
          <cell r="F1270" t="str">
            <v>SPS O'MALLEY ST OSBORNE PARK</v>
          </cell>
          <cell r="I1270" t="str">
            <v>S2016891</v>
          </cell>
          <cell r="M1270"/>
          <cell r="AF1270">
            <v>2003</v>
          </cell>
          <cell r="AH1270" t="str">
            <v>Dave Sutton</v>
          </cell>
          <cell r="AI1270" t="str">
            <v>WC</v>
          </cell>
          <cell r="AJ1270"/>
        </row>
        <row r="1271">
          <cell r="E1271" t="str">
            <v>S0028227</v>
          </cell>
          <cell r="F1271" t="str">
            <v>SPS ALEXANDER RD PADBURY</v>
          </cell>
          <cell r="I1271" t="str">
            <v>S0028233</v>
          </cell>
          <cell r="J1271" t="str">
            <v>Main SB</v>
          </cell>
          <cell r="K1271" t="str">
            <v>11047-10-1</v>
          </cell>
          <cell r="M1271"/>
          <cell r="AF1271">
            <v>1971</v>
          </cell>
          <cell r="AH1271" t="str">
            <v>Dave Sutton</v>
          </cell>
          <cell r="AI1271" t="str">
            <v>WC</v>
          </cell>
          <cell r="AJ1271"/>
        </row>
        <row r="1272">
          <cell r="E1272" t="str">
            <v>S0028253</v>
          </cell>
          <cell r="F1272" t="str">
            <v>SPS BARCLAY AV PADBURY</v>
          </cell>
          <cell r="I1272" t="str">
            <v>S0028259</v>
          </cell>
          <cell r="J1272" t="str">
            <v>Main SB</v>
          </cell>
          <cell r="K1272" t="str">
            <v>12932-40-1</v>
          </cell>
          <cell r="M1272"/>
          <cell r="V1272" t="str">
            <v>Fuse</v>
          </cell>
          <cell r="AF1272">
            <v>1974</v>
          </cell>
          <cell r="AH1272" t="str">
            <v>Dave Sutton</v>
          </cell>
          <cell r="AI1272" t="str">
            <v>WC</v>
          </cell>
          <cell r="AJ1272"/>
        </row>
        <row r="1273">
          <cell r="E1273" t="str">
            <v>S0033574</v>
          </cell>
          <cell r="F1273" t="str">
            <v>SPS ADRIAN ST PALMYRA</v>
          </cell>
          <cell r="I1273" t="str">
            <v>S0033580</v>
          </cell>
          <cell r="J1273" t="str">
            <v>Main SB</v>
          </cell>
          <cell r="K1273" t="str">
            <v>09360-40-1</v>
          </cell>
          <cell r="M1273"/>
          <cell r="AF1273">
            <v>1964</v>
          </cell>
          <cell r="AH1273" t="str">
            <v>Dave Sutton</v>
          </cell>
          <cell r="AI1273" t="str">
            <v>WC</v>
          </cell>
          <cell r="AJ1273"/>
        </row>
        <row r="1274">
          <cell r="E1274" t="str">
            <v>S0033700</v>
          </cell>
          <cell r="F1274" t="str">
            <v>SPS FORREST ST PALMYRA</v>
          </cell>
          <cell r="I1274" t="str">
            <v>S0033706</v>
          </cell>
          <cell r="J1274" t="str">
            <v>Main SB</v>
          </cell>
          <cell r="K1274" t="str">
            <v>09615-40-1</v>
          </cell>
          <cell r="M1274"/>
          <cell r="AF1274">
            <v>1967</v>
          </cell>
          <cell r="AH1274" t="str">
            <v>Dave Sutton</v>
          </cell>
          <cell r="AI1274" t="str">
            <v>WC</v>
          </cell>
          <cell r="AJ1274"/>
        </row>
        <row r="1275">
          <cell r="E1275" t="str">
            <v>W8001096</v>
          </cell>
          <cell r="F1275" t="str">
            <v>WPS OLD COAST RD PARK RIDGE BOOSTER</v>
          </cell>
          <cell r="H1275" t="str">
            <v>Supply Authority</v>
          </cell>
          <cell r="I1275" t="str">
            <v>W8001099</v>
          </cell>
          <cell r="J1275" t="str">
            <v>Main SB</v>
          </cell>
          <cell r="K1275" t="str">
            <v>ES64-41-5</v>
          </cell>
          <cell r="M1275"/>
          <cell r="O1275">
            <v>415</v>
          </cell>
          <cell r="S1275" t="str">
            <v>PVC</v>
          </cell>
          <cell r="T1275" t="str">
            <v>16mm2</v>
          </cell>
          <cell r="V1275" t="str">
            <v>Fuse</v>
          </cell>
          <cell r="AF1275">
            <v>2000</v>
          </cell>
          <cell r="AH1275" t="str">
            <v>Dave Sutton</v>
          </cell>
          <cell r="AI1275" t="str">
            <v>WC</v>
          </cell>
          <cell r="AJ1275"/>
        </row>
        <row r="1276">
          <cell r="E1276" t="str">
            <v>S0030306</v>
          </cell>
          <cell r="F1276" t="str">
            <v>SPS SANDFORD GR PARMELIA</v>
          </cell>
          <cell r="I1276" t="str">
            <v>S0030312</v>
          </cell>
          <cell r="J1276" t="str">
            <v>Main SB</v>
          </cell>
          <cell r="K1276" t="str">
            <v>11243-10-1</v>
          </cell>
          <cell r="M1276"/>
          <cell r="AF1276">
            <v>1972</v>
          </cell>
          <cell r="AH1276" t="str">
            <v>Dave Sutton</v>
          </cell>
          <cell r="AI1276" t="str">
            <v>WC</v>
          </cell>
          <cell r="AJ1276"/>
        </row>
        <row r="1277">
          <cell r="E1277" t="str">
            <v>S0032642</v>
          </cell>
          <cell r="F1277" t="str">
            <v>SPS KEANES POINT PEPPERMINT GROVE</v>
          </cell>
          <cell r="H1277" t="str">
            <v>Supply Authority</v>
          </cell>
          <cell r="I1277" t="str">
            <v>S0032646</v>
          </cell>
          <cell r="J1277" t="str">
            <v>Main SB</v>
          </cell>
          <cell r="K1277" t="str">
            <v>HX03-41-5</v>
          </cell>
          <cell r="M1277"/>
          <cell r="N1277">
            <v>22</v>
          </cell>
          <cell r="O1277">
            <v>415</v>
          </cell>
          <cell r="S1277" t="str">
            <v>XLPE/PVC</v>
          </cell>
          <cell r="T1277" t="str">
            <v>4x1C 25mm2</v>
          </cell>
          <cell r="V1277" t="str">
            <v>Fuse</v>
          </cell>
          <cell r="W1277">
            <v>100</v>
          </cell>
          <cell r="X1277" t="str">
            <v>HX03-40-2</v>
          </cell>
          <cell r="AF1277">
            <v>1992</v>
          </cell>
          <cell r="AH1277" t="str">
            <v>Dave Sutton</v>
          </cell>
          <cell r="AI1277" t="str">
            <v>WC</v>
          </cell>
          <cell r="AJ1277"/>
        </row>
        <row r="1278">
          <cell r="E1278" t="str">
            <v>S2000010</v>
          </cell>
          <cell r="F1278" t="str">
            <v>SPS BOUNDARY RD PERON</v>
          </cell>
          <cell r="H1278" t="str">
            <v>Supply Authority</v>
          </cell>
          <cell r="I1278" t="str">
            <v>S2000024</v>
          </cell>
          <cell r="J1278" t="str">
            <v>Main SB</v>
          </cell>
          <cell r="K1278" t="str">
            <v>EN64-41-5</v>
          </cell>
          <cell r="M1278"/>
          <cell r="O1278">
            <v>415</v>
          </cell>
          <cell r="S1278" t="str">
            <v>PYROLEX</v>
          </cell>
          <cell r="T1278" t="str">
            <v>10mm2</v>
          </cell>
          <cell r="V1278" t="str">
            <v>MCB</v>
          </cell>
          <cell r="W1278">
            <v>32</v>
          </cell>
          <cell r="AF1278">
            <v>1999</v>
          </cell>
          <cell r="AH1278" t="str">
            <v>Dave Sutton</v>
          </cell>
          <cell r="AI1278" t="str">
            <v>WC</v>
          </cell>
          <cell r="AJ1278"/>
        </row>
        <row r="1279">
          <cell r="E1279" t="str">
            <v>S0030911</v>
          </cell>
          <cell r="F1279" t="str">
            <v>SPS MILL ST PERTH</v>
          </cell>
          <cell r="I1279" t="str">
            <v>S2020178</v>
          </cell>
          <cell r="J1279" t="str">
            <v>Main SB</v>
          </cell>
          <cell r="K1279" t="str">
            <v>05936-40-1</v>
          </cell>
          <cell r="M1279">
            <v>300</v>
          </cell>
          <cell r="V1279" t="str">
            <v>Fuse</v>
          </cell>
          <cell r="W1279">
            <v>200</v>
          </cell>
          <cell r="AF1279">
            <v>2003</v>
          </cell>
          <cell r="AH1279" t="str">
            <v>Dave Sutton</v>
          </cell>
          <cell r="AI1279" t="str">
            <v>WC</v>
          </cell>
          <cell r="AJ1279"/>
        </row>
        <row r="1280">
          <cell r="E1280" t="str">
            <v>S2018428</v>
          </cell>
          <cell r="F1280" t="str">
            <v>SPS WRIGHT RD PIARA WATERS</v>
          </cell>
          <cell r="H1280" t="str">
            <v>Supply Authority</v>
          </cell>
          <cell r="I1280" t="str">
            <v>S2023136</v>
          </cell>
          <cell r="J1280" t="str">
            <v>Main SB</v>
          </cell>
          <cell r="K1280" t="str">
            <v>IA25-41-5</v>
          </cell>
          <cell r="M1280"/>
          <cell r="O1280">
            <v>415</v>
          </cell>
          <cell r="S1280" t="str">
            <v>XLPE/PVC</v>
          </cell>
          <cell r="T1280" t="str">
            <v>4x1C 70mm2</v>
          </cell>
          <cell r="V1280" t="str">
            <v>MCB</v>
          </cell>
          <cell r="W1280">
            <v>250</v>
          </cell>
          <cell r="AF1280">
            <v>2008</v>
          </cell>
          <cell r="AH1280" t="str">
            <v>Dave Sutton</v>
          </cell>
          <cell r="AI1280" t="str">
            <v>WC</v>
          </cell>
          <cell r="AJ1280"/>
        </row>
        <row r="1281">
          <cell r="E1281" t="str">
            <v>S2023413</v>
          </cell>
          <cell r="F1281" t="str">
            <v>SPS TERRACINA PWY PIARA WATERS</v>
          </cell>
          <cell r="H1281" t="str">
            <v>Supply Authority</v>
          </cell>
          <cell r="I1281" t="str">
            <v>S2036885</v>
          </cell>
          <cell r="J1281" t="str">
            <v>Main SB</v>
          </cell>
          <cell r="K1281" t="str">
            <v>JY29-41-5</v>
          </cell>
          <cell r="M1281"/>
          <cell r="O1281">
            <v>415</v>
          </cell>
          <cell r="S1281" t="str">
            <v>XLPE/PVC</v>
          </cell>
          <cell r="T1281" t="str">
            <v>25mm2</v>
          </cell>
          <cell r="V1281" t="str">
            <v>Fuse</v>
          </cell>
          <cell r="W1281">
            <v>100</v>
          </cell>
          <cell r="AF1281">
            <v>2011</v>
          </cell>
          <cell r="AH1281" t="str">
            <v>Dave Sutton</v>
          </cell>
          <cell r="AI1281" t="str">
            <v>WC</v>
          </cell>
          <cell r="AJ1281"/>
        </row>
        <row r="1282">
          <cell r="E1282" t="str">
            <v>S2030898</v>
          </cell>
          <cell r="F1282" t="str">
            <v>SPS CLOUTT LANE PIARA WATERS</v>
          </cell>
          <cell r="H1282" t="str">
            <v>Supply Authority</v>
          </cell>
          <cell r="I1282" t="str">
            <v>S2037645</v>
          </cell>
          <cell r="J1282" t="str">
            <v>Main SB</v>
          </cell>
          <cell r="K1282" t="str">
            <v>KK58-42-5</v>
          </cell>
          <cell r="M1282"/>
          <cell r="N1282">
            <v>22</v>
          </cell>
          <cell r="O1282">
            <v>415</v>
          </cell>
          <cell r="S1282" t="str">
            <v>XLPE/PVC</v>
          </cell>
          <cell r="T1282" t="str">
            <v>25mm2</v>
          </cell>
          <cell r="V1282" t="str">
            <v>Fuse</v>
          </cell>
          <cell r="W1282">
            <v>80</v>
          </cell>
          <cell r="X1282" t="str">
            <v>KK58-40-2</v>
          </cell>
          <cell r="AF1282">
            <v>2013</v>
          </cell>
          <cell r="AH1282" t="str">
            <v>Dave Sutton</v>
          </cell>
          <cell r="AI1282" t="str">
            <v>WC</v>
          </cell>
          <cell r="AJ1282"/>
        </row>
        <row r="1283">
          <cell r="E1283" t="str">
            <v>S0044966</v>
          </cell>
          <cell r="F1283" t="str">
            <v>SPS FORREST ST PINJARRA</v>
          </cell>
          <cell r="I1283" t="str">
            <v>S8003856</v>
          </cell>
          <cell r="J1283" t="str">
            <v>Main SB</v>
          </cell>
          <cell r="K1283" t="str">
            <v>46483-41-5</v>
          </cell>
          <cell r="M1283">
            <v>200</v>
          </cell>
          <cell r="O1283">
            <v>415</v>
          </cell>
          <cell r="V1283" t="str">
            <v>MCB</v>
          </cell>
          <cell r="W1283">
            <v>100</v>
          </cell>
          <cell r="X1283" t="str">
            <v>46483-41-5</v>
          </cell>
          <cell r="AF1283">
            <v>1971</v>
          </cell>
          <cell r="AH1283" t="str">
            <v>Dave Sutton</v>
          </cell>
          <cell r="AI1283" t="str">
            <v>WC</v>
          </cell>
          <cell r="AJ1283"/>
        </row>
        <row r="1284">
          <cell r="E1284" t="str">
            <v>S0044971</v>
          </cell>
          <cell r="F1284" t="str">
            <v>SPS ISANDRA CL PINJARRA</v>
          </cell>
          <cell r="H1284" t="str">
            <v>Supply Authority</v>
          </cell>
          <cell r="I1284" t="str">
            <v>S8003814</v>
          </cell>
          <cell r="J1284" t="str">
            <v>Main SB</v>
          </cell>
          <cell r="K1284" t="str">
            <v>FE00-41-5</v>
          </cell>
          <cell r="M1284">
            <v>200</v>
          </cell>
          <cell r="S1284" t="str">
            <v>XLPE</v>
          </cell>
          <cell r="T1284" t="str">
            <v>10mm2</v>
          </cell>
          <cell r="V1284" t="str">
            <v>MCB</v>
          </cell>
          <cell r="W1284">
            <v>100</v>
          </cell>
          <cell r="AF1284">
            <v>1971</v>
          </cell>
          <cell r="AH1284" t="str">
            <v>Dave Sutton</v>
          </cell>
          <cell r="AI1284" t="str">
            <v>WC</v>
          </cell>
          <cell r="AJ1284"/>
        </row>
        <row r="1285">
          <cell r="E1285" t="str">
            <v>S0044957</v>
          </cell>
          <cell r="F1285" t="str">
            <v>SPS APRICOT ST PINJARRA</v>
          </cell>
          <cell r="H1285" t="str">
            <v>Supply Authority</v>
          </cell>
          <cell r="I1285" t="str">
            <v>S8003769</v>
          </cell>
          <cell r="J1285" t="str">
            <v>Main SB</v>
          </cell>
          <cell r="K1285" t="str">
            <v>46483-41-5</v>
          </cell>
          <cell r="M1285"/>
          <cell r="S1285" t="str">
            <v>PVC/PVC</v>
          </cell>
          <cell r="T1285" t="str">
            <v>1x4C 70mm2</v>
          </cell>
          <cell r="V1285" t="str">
            <v>MCB</v>
          </cell>
          <cell r="W1285">
            <v>100</v>
          </cell>
          <cell r="AF1285">
            <v>1980</v>
          </cell>
          <cell r="AH1285" t="str">
            <v>Dave Sutton</v>
          </cell>
          <cell r="AI1285" t="str">
            <v>WC</v>
          </cell>
          <cell r="AJ1285"/>
        </row>
        <row r="1286">
          <cell r="E1286" t="str">
            <v>S0044976</v>
          </cell>
          <cell r="F1286" t="str">
            <v>SPS SALTER ST PINJARRA</v>
          </cell>
          <cell r="H1286" t="str">
            <v>Supply Authority</v>
          </cell>
          <cell r="I1286" t="str">
            <v>S8003778</v>
          </cell>
          <cell r="J1286" t="str">
            <v>Main SB</v>
          </cell>
          <cell r="K1286" t="str">
            <v>IH87-41-5</v>
          </cell>
          <cell r="M1286">
            <v>200</v>
          </cell>
          <cell r="S1286" t="str">
            <v>XLPE</v>
          </cell>
          <cell r="T1286" t="str">
            <v>16mm2</v>
          </cell>
          <cell r="V1286" t="str">
            <v>Fuse</v>
          </cell>
          <cell r="W1286">
            <v>60</v>
          </cell>
          <cell r="AF1286">
            <v>1980</v>
          </cell>
          <cell r="AH1286" t="str">
            <v>Dave Sutton</v>
          </cell>
          <cell r="AI1286" t="str">
            <v>WC</v>
          </cell>
          <cell r="AJ1286"/>
        </row>
        <row r="1287">
          <cell r="E1287" t="str">
            <v>S0044981</v>
          </cell>
          <cell r="F1287" t="str">
            <v>SPS ULDINA PL PINJARRA</v>
          </cell>
          <cell r="H1287" t="str">
            <v>Supply Authority</v>
          </cell>
          <cell r="I1287" t="str">
            <v>S8003791</v>
          </cell>
          <cell r="J1287" t="str">
            <v>Metering Cubicle</v>
          </cell>
          <cell r="K1287" t="str">
            <v>FP05-41-2</v>
          </cell>
          <cell r="M1287"/>
          <cell r="O1287">
            <v>415</v>
          </cell>
          <cell r="S1287" t="str">
            <v>XLPE/PVC</v>
          </cell>
          <cell r="T1287" t="str">
            <v>4x1C 35mm2</v>
          </cell>
          <cell r="V1287" t="str">
            <v>Fuse</v>
          </cell>
          <cell r="W1287">
            <v>100</v>
          </cell>
          <cell r="AF1287">
            <v>1971</v>
          </cell>
          <cell r="AH1287" t="str">
            <v>Dave Sutton</v>
          </cell>
          <cell r="AI1287" t="str">
            <v>WC</v>
          </cell>
          <cell r="AJ1287"/>
        </row>
        <row r="1288">
          <cell r="E1288" t="str">
            <v>S0044953</v>
          </cell>
          <cell r="F1288" t="str">
            <v>SPS COUNTRY RD PINJARRA</v>
          </cell>
          <cell r="H1288" t="str">
            <v>Supply Authority</v>
          </cell>
          <cell r="I1288" t="str">
            <v>S8003683</v>
          </cell>
          <cell r="J1288" t="str">
            <v>Main SB</v>
          </cell>
          <cell r="K1288" t="str">
            <v>EL08-41-5</v>
          </cell>
          <cell r="M1288"/>
          <cell r="O1288">
            <v>415</v>
          </cell>
          <cell r="S1288" t="str">
            <v>PYROLEX</v>
          </cell>
          <cell r="T1288" t="str">
            <v>25mm2</v>
          </cell>
          <cell r="V1288" t="str">
            <v>Fuse</v>
          </cell>
          <cell r="W1288">
            <v>200</v>
          </cell>
          <cell r="AF1288">
            <v>1998</v>
          </cell>
          <cell r="AH1288" t="str">
            <v>Dave Sutton</v>
          </cell>
          <cell r="AI1288" t="str">
            <v>WC</v>
          </cell>
          <cell r="AJ1288"/>
        </row>
        <row r="1289">
          <cell r="E1289" t="str">
            <v>S8013222</v>
          </cell>
          <cell r="F1289" t="str">
            <v>SPS YAGAN ST PINJARRA</v>
          </cell>
          <cell r="H1289" t="str">
            <v>Supply Authority</v>
          </cell>
          <cell r="I1289" t="str">
            <v>S8013314</v>
          </cell>
          <cell r="J1289" t="str">
            <v>Main SB</v>
          </cell>
          <cell r="K1289" t="str">
            <v>JM20-41-5</v>
          </cell>
          <cell r="M1289"/>
          <cell r="N1289">
            <v>22</v>
          </cell>
          <cell r="O1289">
            <v>415</v>
          </cell>
          <cell r="S1289" t="str">
            <v>XLPE/PVC</v>
          </cell>
          <cell r="T1289" t="str">
            <v>4x1C 25mm2</v>
          </cell>
          <cell r="V1289" t="str">
            <v>Fuse</v>
          </cell>
          <cell r="W1289">
            <v>100</v>
          </cell>
          <cell r="X1289" t="str">
            <v>JM20-40-2</v>
          </cell>
          <cell r="AF1289">
            <v>2011</v>
          </cell>
          <cell r="AH1289" t="str">
            <v>Dave Sutton</v>
          </cell>
          <cell r="AI1289" t="str">
            <v>WC</v>
          </cell>
          <cell r="AJ1289"/>
        </row>
        <row r="1290">
          <cell r="E1290" t="str">
            <v>S0044957</v>
          </cell>
          <cell r="F1290" t="str">
            <v>SPS APRICOT ST PINJARRA</v>
          </cell>
          <cell r="H1290" t="str">
            <v>Main SB</v>
          </cell>
          <cell r="J1290" t="str">
            <v>Lighting and small power DB</v>
          </cell>
          <cell r="K1290" t="str">
            <v>46483-41-5</v>
          </cell>
          <cell r="M1290"/>
          <cell r="V1290" t="str">
            <v>MCB</v>
          </cell>
          <cell r="W1290">
            <v>80</v>
          </cell>
          <cell r="AF1290">
            <v>1980</v>
          </cell>
          <cell r="AH1290" t="str">
            <v>Dave Sutton</v>
          </cell>
          <cell r="AI1290" t="str">
            <v>WC</v>
          </cell>
          <cell r="AJ1290"/>
        </row>
        <row r="1291">
          <cell r="E1291" t="str">
            <v>S0044981</v>
          </cell>
          <cell r="F1291" t="str">
            <v>SPS ULDINA PL PINJARRA</v>
          </cell>
          <cell r="H1291" t="str">
            <v>Metering Cubicle</v>
          </cell>
          <cell r="J1291" t="str">
            <v>Main SB</v>
          </cell>
          <cell r="K1291" t="str">
            <v>FP05-42-5</v>
          </cell>
          <cell r="M1291"/>
          <cell r="V1291" t="str">
            <v>MCB</v>
          </cell>
          <cell r="W1291">
            <v>100</v>
          </cell>
          <cell r="AF1291">
            <v>1971</v>
          </cell>
          <cell r="AH1291" t="str">
            <v>Dave Sutton</v>
          </cell>
          <cell r="AI1291" t="str">
            <v>WC</v>
          </cell>
          <cell r="AJ1291"/>
        </row>
        <row r="1292">
          <cell r="E1292" t="str">
            <v>S0044981</v>
          </cell>
          <cell r="F1292" t="str">
            <v>SPS ULDINA PL PINJARRA</v>
          </cell>
          <cell r="H1292" t="str">
            <v>Main SB</v>
          </cell>
          <cell r="J1292" t="str">
            <v>Lighting and small power DB</v>
          </cell>
          <cell r="K1292" t="str">
            <v>FP05-42-5</v>
          </cell>
          <cell r="M1292"/>
          <cell r="S1292" t="str">
            <v>PVC</v>
          </cell>
          <cell r="T1292" t="str">
            <v>10mm2</v>
          </cell>
          <cell r="V1292" t="str">
            <v>MCB</v>
          </cell>
          <cell r="W1292">
            <v>100</v>
          </cell>
          <cell r="AF1292">
            <v>1971</v>
          </cell>
          <cell r="AH1292" t="str">
            <v>Dave Sutton</v>
          </cell>
          <cell r="AI1292" t="str">
            <v>WC</v>
          </cell>
          <cell r="AJ1292"/>
        </row>
        <row r="1293">
          <cell r="E1293" t="str">
            <v>S0044981</v>
          </cell>
          <cell r="F1293" t="str">
            <v>SPS ULDINA PL PINJARRA</v>
          </cell>
          <cell r="H1293" t="str">
            <v>Main SB</v>
          </cell>
          <cell r="J1293" t="str">
            <v>Power Line Filter</v>
          </cell>
          <cell r="K1293" t="str">
            <v>FP05-42-5</v>
          </cell>
          <cell r="S1293" t="str">
            <v>LSFLEX</v>
          </cell>
          <cell r="T1293" t="str">
            <v>6mm2</v>
          </cell>
          <cell r="V1293" t="str">
            <v>Fuse</v>
          </cell>
          <cell r="W1293">
            <v>6</v>
          </cell>
          <cell r="AF1293">
            <v>1971</v>
          </cell>
          <cell r="AH1293" t="str">
            <v>Dave Sutton</v>
          </cell>
          <cell r="AI1293" t="str">
            <v>WC</v>
          </cell>
        </row>
        <row r="1294">
          <cell r="E1294" t="str">
            <v>S0030514</v>
          </cell>
          <cell r="F1294" t="str">
            <v>SPS ENDEAVOUR DR PORT KENNEDY</v>
          </cell>
          <cell r="H1294" t="str">
            <v>Supply Authority</v>
          </cell>
          <cell r="I1294" t="str">
            <v>S0030518</v>
          </cell>
          <cell r="J1294" t="str">
            <v>Main SB</v>
          </cell>
          <cell r="K1294" t="str">
            <v>CI05-42-3</v>
          </cell>
          <cell r="M1294"/>
          <cell r="O1294">
            <v>415</v>
          </cell>
          <cell r="T1294" t="str">
            <v>25mm2</v>
          </cell>
          <cell r="V1294" t="str">
            <v>Fuse</v>
          </cell>
          <cell r="W1294">
            <v>100</v>
          </cell>
          <cell r="AF1294">
            <v>1992</v>
          </cell>
          <cell r="AH1294" t="str">
            <v>Dave Sutton</v>
          </cell>
          <cell r="AI1294" t="str">
            <v>WC</v>
          </cell>
          <cell r="AJ1294"/>
        </row>
        <row r="1295">
          <cell r="E1295" t="str">
            <v>S0030538</v>
          </cell>
          <cell r="F1295" t="str">
            <v>VPS PORT KENNEDY DR PORT KENNEDY</v>
          </cell>
          <cell r="H1295" t="str">
            <v>Western Power</v>
          </cell>
          <cell r="I1295" t="str">
            <v>S0030545</v>
          </cell>
          <cell r="J1295" t="str">
            <v>Main SB</v>
          </cell>
          <cell r="K1295" t="str">
            <v>EE79-41-5</v>
          </cell>
          <cell r="M1295"/>
          <cell r="V1295" t="str">
            <v>MCB</v>
          </cell>
          <cell r="W1295">
            <v>150</v>
          </cell>
          <cell r="AF1295">
            <v>1998</v>
          </cell>
          <cell r="AH1295" t="str">
            <v>Dave Sutton</v>
          </cell>
          <cell r="AI1295" t="str">
            <v>WC</v>
          </cell>
          <cell r="AJ1295" t="str">
            <v>Genset onsite (73kVA)</v>
          </cell>
        </row>
        <row r="1296">
          <cell r="E1296" t="str">
            <v>S0030556</v>
          </cell>
          <cell r="F1296" t="str">
            <v>SPS ST RAPHAEL CR PORT KENNEDY</v>
          </cell>
          <cell r="H1296" t="str">
            <v>Supply Authority</v>
          </cell>
          <cell r="I1296" t="str">
            <v>S0030560</v>
          </cell>
          <cell r="J1296" t="str">
            <v>Main SB</v>
          </cell>
          <cell r="K1296" t="str">
            <v>DW10-41-5</v>
          </cell>
          <cell r="M1296"/>
          <cell r="O1296">
            <v>415</v>
          </cell>
          <cell r="V1296" t="str">
            <v>MCB</v>
          </cell>
          <cell r="W1296">
            <v>32</v>
          </cell>
          <cell r="AF1296">
            <v>1996</v>
          </cell>
          <cell r="AH1296" t="str">
            <v>Dave Sutton</v>
          </cell>
          <cell r="AI1296" t="str">
            <v>WC</v>
          </cell>
          <cell r="AJ1296"/>
        </row>
        <row r="1297">
          <cell r="E1297" t="str">
            <v>S2019807</v>
          </cell>
          <cell r="F1297" t="str">
            <v>SPS WARNBRO SOUND AV PORT KENNEDY</v>
          </cell>
          <cell r="H1297" t="str">
            <v>Supply Authority</v>
          </cell>
          <cell r="I1297" t="str">
            <v>S2023024</v>
          </cell>
          <cell r="J1297" t="str">
            <v>Main SB</v>
          </cell>
          <cell r="K1297" t="str">
            <v>JD69-41-5</v>
          </cell>
          <cell r="M1297"/>
          <cell r="N1297">
            <v>22</v>
          </cell>
          <cell r="O1297">
            <v>415</v>
          </cell>
          <cell r="S1297" t="str">
            <v>XLPE</v>
          </cell>
          <cell r="T1297" t="str">
            <v>16mm2</v>
          </cell>
          <cell r="V1297" t="str">
            <v>Fuse</v>
          </cell>
          <cell r="W1297">
            <v>60</v>
          </cell>
          <cell r="AF1297">
            <v>2008</v>
          </cell>
          <cell r="AH1297" t="str">
            <v>Dave Sutton</v>
          </cell>
          <cell r="AI1297" t="str">
            <v>WC</v>
          </cell>
          <cell r="AJ1297"/>
        </row>
        <row r="1298">
          <cell r="E1298" t="str">
            <v>S0032992</v>
          </cell>
          <cell r="F1298" t="str">
            <v>SPS GEORGE ST QUEENS PARK</v>
          </cell>
          <cell r="H1298" t="str">
            <v>Supply Authority</v>
          </cell>
          <cell r="I1298" t="str">
            <v>S0032996</v>
          </cell>
          <cell r="J1298" t="str">
            <v>Main SB</v>
          </cell>
          <cell r="K1298" t="str">
            <v>EE07-41-5</v>
          </cell>
          <cell r="M1298">
            <v>200</v>
          </cell>
          <cell r="O1298">
            <v>415</v>
          </cell>
          <cell r="V1298" t="str">
            <v>MCB</v>
          </cell>
          <cell r="W1298">
            <v>32</v>
          </cell>
          <cell r="AF1298">
            <v>1998</v>
          </cell>
          <cell r="AH1298" t="str">
            <v>Dave Sutton</v>
          </cell>
          <cell r="AI1298" t="str">
            <v>WC</v>
          </cell>
          <cell r="AJ1298"/>
        </row>
        <row r="1299">
          <cell r="E1299" t="str">
            <v>S0029114</v>
          </cell>
          <cell r="F1299" t="str">
            <v>SPS CHRISTIAN CIR QUINNS ROCKS</v>
          </cell>
          <cell r="H1299" t="str">
            <v>Supply Authority</v>
          </cell>
          <cell r="I1299" t="str">
            <v>S2003516</v>
          </cell>
          <cell r="J1299" t="str">
            <v>Main SB</v>
          </cell>
          <cell r="K1299" t="str">
            <v>DI21-41-2</v>
          </cell>
          <cell r="M1299"/>
          <cell r="O1299">
            <v>415</v>
          </cell>
          <cell r="S1299" t="str">
            <v>PVC/PVC</v>
          </cell>
          <cell r="T1299" t="str">
            <v>10mm2</v>
          </cell>
          <cell r="V1299" t="str">
            <v>MCB</v>
          </cell>
          <cell r="W1299">
            <v>32</v>
          </cell>
          <cell r="AF1299">
            <v>1996</v>
          </cell>
          <cell r="AH1299" t="str">
            <v>Dave Sutton</v>
          </cell>
          <cell r="AI1299" t="str">
            <v>WC</v>
          </cell>
          <cell r="AJ1299"/>
        </row>
        <row r="1300">
          <cell r="E1300" t="str">
            <v>S2023270</v>
          </cell>
          <cell r="F1300" t="str">
            <v>SPS GRAHAM RD QUINNS ROCKS</v>
          </cell>
          <cell r="H1300" t="str">
            <v>Supply Authority</v>
          </cell>
          <cell r="I1300" t="str">
            <v>S2037516</v>
          </cell>
          <cell r="J1300" t="str">
            <v>Main SB</v>
          </cell>
          <cell r="K1300" t="str">
            <v>JV37-41-5</v>
          </cell>
          <cell r="M1300"/>
          <cell r="N1300">
            <v>22</v>
          </cell>
          <cell r="O1300">
            <v>415</v>
          </cell>
          <cell r="S1300" t="str">
            <v>XLPE/PVC</v>
          </cell>
          <cell r="T1300" t="str">
            <v>1x4C 25mm2</v>
          </cell>
          <cell r="V1300" t="str">
            <v>Fuse</v>
          </cell>
          <cell r="W1300">
            <v>80</v>
          </cell>
          <cell r="X1300" t="str">
            <v>JV37-40-2</v>
          </cell>
          <cell r="AF1300">
            <v>2013</v>
          </cell>
          <cell r="AH1300" t="str">
            <v>Dave Sutton</v>
          </cell>
          <cell r="AI1300" t="str">
            <v>WC</v>
          </cell>
          <cell r="AJ1300"/>
        </row>
        <row r="1301">
          <cell r="E1301" t="str">
            <v>S2023269</v>
          </cell>
          <cell r="F1301" t="str">
            <v>SPS BURT ST QUINNS ROCKS</v>
          </cell>
          <cell r="H1301" t="str">
            <v>Supply Authority</v>
          </cell>
          <cell r="I1301" t="str">
            <v>S2038550</v>
          </cell>
          <cell r="J1301" t="str">
            <v>Main SB</v>
          </cell>
          <cell r="K1301" t="str">
            <v>JV36-41-5</v>
          </cell>
          <cell r="M1301">
            <v>160</v>
          </cell>
          <cell r="N1301">
            <v>22</v>
          </cell>
          <cell r="O1301">
            <v>415</v>
          </cell>
          <cell r="S1301" t="str">
            <v>XLPE/PVC</v>
          </cell>
          <cell r="T1301" t="str">
            <v>4x1C 50mm2</v>
          </cell>
          <cell r="V1301" t="str">
            <v>MCB</v>
          </cell>
          <cell r="W1301">
            <v>160</v>
          </cell>
          <cell r="X1301" t="str">
            <v>JV36-40-2</v>
          </cell>
          <cell r="AF1301">
            <v>2014</v>
          </cell>
          <cell r="AH1301" t="str">
            <v>Dave Sutton</v>
          </cell>
          <cell r="AI1301" t="str">
            <v>WC</v>
          </cell>
          <cell r="AJ1301"/>
        </row>
        <row r="1302">
          <cell r="E1302" t="str">
            <v>S8000835</v>
          </cell>
          <cell r="F1302" t="str">
            <v>SPS NANCARROW WY RAVENSWOOD</v>
          </cell>
          <cell r="H1302" t="str">
            <v>Supply Authority</v>
          </cell>
          <cell r="I1302" t="str">
            <v>S8003224</v>
          </cell>
          <cell r="J1302" t="str">
            <v>Main SB</v>
          </cell>
          <cell r="K1302" t="str">
            <v>FI72-41-5</v>
          </cell>
          <cell r="M1302">
            <v>200</v>
          </cell>
          <cell r="O1302">
            <v>415</v>
          </cell>
          <cell r="S1302" t="str">
            <v>EPR/EPR</v>
          </cell>
          <cell r="T1302" t="str">
            <v>16mm2</v>
          </cell>
          <cell r="V1302" t="str">
            <v>MCB</v>
          </cell>
          <cell r="W1302">
            <v>63</v>
          </cell>
          <cell r="AF1302">
            <v>2001</v>
          </cell>
          <cell r="AH1302" t="str">
            <v>Dave Sutton</v>
          </cell>
          <cell r="AI1302" t="str">
            <v>WC</v>
          </cell>
          <cell r="AJ1302"/>
        </row>
        <row r="1303">
          <cell r="E1303" t="str">
            <v>W2005542</v>
          </cell>
          <cell r="F1303" t="str">
            <v>WPS OLD MANDURAH RD RAVENSWOOD</v>
          </cell>
          <cell r="I1303" t="str">
            <v>W2005544</v>
          </cell>
          <cell r="M1303"/>
          <cell r="AF1303">
            <v>2002</v>
          </cell>
          <cell r="AH1303" t="str">
            <v>Dave Sutton</v>
          </cell>
          <cell r="AI1303" t="str">
            <v>WC</v>
          </cell>
          <cell r="AJ1303"/>
        </row>
        <row r="1304">
          <cell r="E1304" t="str">
            <v>S2033374</v>
          </cell>
          <cell r="F1304" t="str">
            <v>SPS MURRAY BEND DR RAVENSWOOD</v>
          </cell>
          <cell r="H1304" t="str">
            <v>Supply Authority</v>
          </cell>
          <cell r="I1304" t="str">
            <v>S2037729</v>
          </cell>
          <cell r="J1304" t="str">
            <v>Main SB</v>
          </cell>
          <cell r="K1304" t="str">
            <v>JQ63-41-5</v>
          </cell>
          <cell r="M1304"/>
          <cell r="N1304">
            <v>22</v>
          </cell>
          <cell r="O1304">
            <v>415</v>
          </cell>
          <cell r="S1304" t="str">
            <v>XLPE/PVC</v>
          </cell>
          <cell r="T1304" t="str">
            <v>1x4C 25mm2</v>
          </cell>
          <cell r="V1304" t="str">
            <v>Fuse</v>
          </cell>
          <cell r="W1304">
            <v>80</v>
          </cell>
          <cell r="X1304" t="str">
            <v>JQ63-40-2</v>
          </cell>
          <cell r="AF1304">
            <v>2013</v>
          </cell>
          <cell r="AH1304" t="str">
            <v>Dave Sutton</v>
          </cell>
          <cell r="AI1304" t="str">
            <v>WC</v>
          </cell>
          <cell r="AJ1304"/>
        </row>
        <row r="1305">
          <cell r="E1305" t="str">
            <v>S0029141</v>
          </cell>
          <cell r="F1305" t="str">
            <v>SPS STRADBROKE GDNS RIDGEWOOD</v>
          </cell>
          <cell r="H1305" t="str">
            <v>SEC Supply</v>
          </cell>
          <cell r="I1305" t="str">
            <v>S0029145</v>
          </cell>
          <cell r="J1305" t="str">
            <v>Main SB</v>
          </cell>
          <cell r="K1305" t="str">
            <v>BW46-42-2</v>
          </cell>
          <cell r="M1305"/>
          <cell r="O1305">
            <v>415</v>
          </cell>
          <cell r="V1305" t="str">
            <v>Fuse</v>
          </cell>
          <cell r="W1305">
            <v>50</v>
          </cell>
          <cell r="AF1305">
            <v>1990</v>
          </cell>
          <cell r="AH1305" t="str">
            <v>Dave Sutton</v>
          </cell>
          <cell r="AI1305" t="str">
            <v>WC</v>
          </cell>
          <cell r="AJ1305"/>
        </row>
        <row r="1306">
          <cell r="E1306" t="str">
            <v>S0034039</v>
          </cell>
          <cell r="F1306" t="str">
            <v>SPS MACEY CL RIVERVALE</v>
          </cell>
          <cell r="I1306" t="str">
            <v>S0034045</v>
          </cell>
          <cell r="J1306" t="str">
            <v>Main SB</v>
          </cell>
          <cell r="K1306" t="str">
            <v>16907-40-2</v>
          </cell>
          <cell r="M1306"/>
          <cell r="V1306" t="str">
            <v>Fuse</v>
          </cell>
          <cell r="W1306">
            <v>60</v>
          </cell>
          <cell r="AF1306">
            <v>1973</v>
          </cell>
          <cell r="AH1306" t="str">
            <v>Dave Sutton</v>
          </cell>
          <cell r="AI1306" t="str">
            <v>WC</v>
          </cell>
          <cell r="AJ1306"/>
        </row>
        <row r="1307">
          <cell r="E1307" t="str">
            <v>S0030431</v>
          </cell>
          <cell r="F1307" t="str">
            <v>SPS HAWKINS ST ROCKINGHAM</v>
          </cell>
          <cell r="I1307" t="str">
            <v>S0030437</v>
          </cell>
          <cell r="K1307" t="str">
            <v>11116-221-1</v>
          </cell>
          <cell r="M1307"/>
          <cell r="AF1307">
            <v>1973</v>
          </cell>
          <cell r="AH1307" t="str">
            <v>Dave Sutton</v>
          </cell>
          <cell r="AI1307" t="str">
            <v>WC</v>
          </cell>
          <cell r="AJ1307"/>
        </row>
        <row r="1308">
          <cell r="E1308" t="str">
            <v>S0030491</v>
          </cell>
          <cell r="F1308" t="str">
            <v>SPS WANLISS ST ROCKINGHAM</v>
          </cell>
          <cell r="I1308" t="str">
            <v>S0030497</v>
          </cell>
          <cell r="K1308" t="str">
            <v>14174-40-2</v>
          </cell>
          <cell r="M1308"/>
          <cell r="AF1308">
            <v>1976</v>
          </cell>
          <cell r="AH1308" t="str">
            <v>Dave Sutton</v>
          </cell>
          <cell r="AI1308" t="str">
            <v>WC</v>
          </cell>
          <cell r="AJ1308"/>
        </row>
        <row r="1309">
          <cell r="E1309" t="str">
            <v>S0030355</v>
          </cell>
          <cell r="F1309" t="str">
            <v>SPS CROMPTON RD ROCKINGHAM</v>
          </cell>
          <cell r="H1309" t="str">
            <v>SEC Supply</v>
          </cell>
          <cell r="I1309" t="str">
            <v>S0030359</v>
          </cell>
          <cell r="J1309" t="str">
            <v>Main SB</v>
          </cell>
          <cell r="K1309" t="str">
            <v>BN67-3-12</v>
          </cell>
          <cell r="M1309"/>
          <cell r="O1309">
            <v>415</v>
          </cell>
          <cell r="V1309" t="str">
            <v>Fuse</v>
          </cell>
          <cell r="W1309">
            <v>50</v>
          </cell>
          <cell r="AF1309">
            <v>1992</v>
          </cell>
          <cell r="AH1309" t="str">
            <v>Dave Sutton</v>
          </cell>
          <cell r="AI1309" t="str">
            <v>WC</v>
          </cell>
          <cell r="AJ1309"/>
        </row>
        <row r="1310">
          <cell r="E1310" t="str">
            <v>S0030438</v>
          </cell>
          <cell r="F1310" t="str">
            <v>SPS KYBRA MEWS ROCKINGHAM</v>
          </cell>
          <cell r="I1310" t="str">
            <v>S0030442</v>
          </cell>
          <cell r="K1310" t="str">
            <v xml:space="preserve">BR39- - </v>
          </cell>
          <cell r="M1310"/>
          <cell r="AF1310">
            <v>1992</v>
          </cell>
          <cell r="AH1310" t="str">
            <v>Dave Sutton</v>
          </cell>
          <cell r="AI1310" t="str">
            <v>WC</v>
          </cell>
          <cell r="AJ1310"/>
        </row>
        <row r="1311">
          <cell r="E1311" t="str">
            <v>S0030486</v>
          </cell>
          <cell r="F1311" t="str">
            <v>SPS THORPE ST ROCKINGHAM</v>
          </cell>
          <cell r="H1311" t="str">
            <v>SEC Supply</v>
          </cell>
          <cell r="I1311" t="str">
            <v>S0030490</v>
          </cell>
          <cell r="J1311" t="str">
            <v>Main SB</v>
          </cell>
          <cell r="K1311" t="str">
            <v>BE46-41-5</v>
          </cell>
          <cell r="M1311"/>
          <cell r="O1311">
            <v>415</v>
          </cell>
          <cell r="S1311" t="str">
            <v>PVC</v>
          </cell>
          <cell r="T1311" t="str">
            <v>16mm2</v>
          </cell>
          <cell r="V1311" t="str">
            <v>Fuse</v>
          </cell>
          <cell r="W1311">
            <v>100</v>
          </cell>
          <cell r="AF1311">
            <v>1992</v>
          </cell>
          <cell r="AH1311" t="str">
            <v>Dave Sutton</v>
          </cell>
          <cell r="AI1311" t="str">
            <v>WC</v>
          </cell>
          <cell r="AJ1311"/>
        </row>
        <row r="1312">
          <cell r="E1312" t="str">
            <v>S0030365</v>
          </cell>
          <cell r="F1312" t="str">
            <v>SPS PICKARD AV ROCKINGHAM</v>
          </cell>
          <cell r="H1312" t="str">
            <v>Supply Authority</v>
          </cell>
          <cell r="I1312" t="str">
            <v>S0030369</v>
          </cell>
          <cell r="J1312" t="str">
            <v>Main SB</v>
          </cell>
          <cell r="K1312" t="str">
            <v>DV58-41-5</v>
          </cell>
          <cell r="M1312">
            <v>200</v>
          </cell>
          <cell r="O1312">
            <v>415</v>
          </cell>
          <cell r="S1312" t="str">
            <v>PYROLEX</v>
          </cell>
          <cell r="T1312" t="str">
            <v>10mm2</v>
          </cell>
          <cell r="V1312" t="str">
            <v>MCB</v>
          </cell>
          <cell r="W1312">
            <v>63</v>
          </cell>
          <cell r="AF1312">
            <v>1997</v>
          </cell>
          <cell r="AH1312" t="str">
            <v>Dave Sutton</v>
          </cell>
          <cell r="AI1312" t="str">
            <v>WC</v>
          </cell>
          <cell r="AJ1312"/>
        </row>
        <row r="1313">
          <cell r="E1313" t="str">
            <v>S2008770</v>
          </cell>
          <cell r="F1313" t="str">
            <v>SPS ROCKINGHAM BEACH RD ROCKINGHAM</v>
          </cell>
          <cell r="I1313" t="str">
            <v>S2008774</v>
          </cell>
          <cell r="K1313" t="str">
            <v>FR52-41-5</v>
          </cell>
          <cell r="M1313"/>
          <cell r="AF1313">
            <v>2002</v>
          </cell>
          <cell r="AH1313" t="str">
            <v>Dave Sutton</v>
          </cell>
          <cell r="AI1313" t="str">
            <v>WC</v>
          </cell>
          <cell r="AJ1313"/>
        </row>
        <row r="1314">
          <cell r="E1314" t="str">
            <v>S2016969</v>
          </cell>
          <cell r="F1314" t="str">
            <v>SPS COUGAR PATH ROCKINGHAM</v>
          </cell>
          <cell r="H1314" t="str">
            <v>Supply Authority</v>
          </cell>
          <cell r="I1314" t="str">
            <v>S2017624</v>
          </cell>
          <cell r="J1314" t="str">
            <v>Main SB</v>
          </cell>
          <cell r="K1314" t="str">
            <v>GX14-41-5</v>
          </cell>
          <cell r="M1314"/>
          <cell r="N1314">
            <v>22</v>
          </cell>
          <cell r="O1314">
            <v>415</v>
          </cell>
          <cell r="V1314" t="str">
            <v>Fuse</v>
          </cell>
          <cell r="W1314">
            <v>60</v>
          </cell>
          <cell r="X1314" t="str">
            <v>GX14-40-2</v>
          </cell>
          <cell r="AF1314">
            <v>2005</v>
          </cell>
          <cell r="AH1314" t="str">
            <v>Dave Sutton</v>
          </cell>
          <cell r="AI1314" t="str">
            <v>WC</v>
          </cell>
          <cell r="AJ1314"/>
        </row>
        <row r="1315">
          <cell r="E1315" t="str">
            <v>W0035274</v>
          </cell>
          <cell r="F1315" t="str">
            <v>WPS NORTHWARD RD ROLEYSTONE</v>
          </cell>
          <cell r="H1315" t="str">
            <v>SEC Supply</v>
          </cell>
          <cell r="I1315" t="str">
            <v>W0035281</v>
          </cell>
          <cell r="J1315" t="str">
            <v>Main SB</v>
          </cell>
          <cell r="K1315" t="str">
            <v>14587-40-2</v>
          </cell>
          <cell r="M1315"/>
          <cell r="V1315" t="str">
            <v>Fuse</v>
          </cell>
          <cell r="W1315">
            <v>400</v>
          </cell>
          <cell r="AF1315">
            <v>1978</v>
          </cell>
          <cell r="AH1315" t="str">
            <v>Dave Sutton</v>
          </cell>
          <cell r="AI1315" t="str">
            <v>WC</v>
          </cell>
          <cell r="AJ1315"/>
        </row>
        <row r="1316">
          <cell r="E1316" t="str">
            <v>W0035247</v>
          </cell>
          <cell r="F1316" t="str">
            <v>WPS OLD ALBANY L ROLEYSTONE</v>
          </cell>
          <cell r="H1316" t="str">
            <v>SEC Supply</v>
          </cell>
          <cell r="I1316" t="str">
            <v>W0035252</v>
          </cell>
          <cell r="J1316" t="str">
            <v>Main SB</v>
          </cell>
          <cell r="K1316" t="str">
            <v>CU79-41-5</v>
          </cell>
          <cell r="M1316">
            <v>315</v>
          </cell>
          <cell r="V1316" t="str">
            <v>Fuse</v>
          </cell>
          <cell r="W1316">
            <v>200</v>
          </cell>
          <cell r="AF1316">
            <v>1994</v>
          </cell>
          <cell r="AH1316" t="str">
            <v>Dave Sutton</v>
          </cell>
          <cell r="AI1316" t="str">
            <v>WC</v>
          </cell>
          <cell r="AJ1316"/>
        </row>
        <row r="1317">
          <cell r="E1317" t="str">
            <v>W0035237</v>
          </cell>
          <cell r="F1317" t="str">
            <v>WPS HERITAGE DR ROLEYSTONE</v>
          </cell>
          <cell r="H1317" t="str">
            <v>Main SB (HELV #258)</v>
          </cell>
          <cell r="I1317" t="str">
            <v>W0035242</v>
          </cell>
          <cell r="J1317" t="str">
            <v>Pump SB</v>
          </cell>
          <cell r="K1317" t="str">
            <v>CU79-42-5</v>
          </cell>
          <cell r="M1317"/>
          <cell r="O1317">
            <v>415</v>
          </cell>
          <cell r="V1317" t="str">
            <v>MCB</v>
          </cell>
          <cell r="W1317">
            <v>63</v>
          </cell>
          <cell r="AF1317">
            <v>1994</v>
          </cell>
          <cell r="AH1317" t="str">
            <v>Dave Sutton</v>
          </cell>
          <cell r="AI1317" t="str">
            <v>WC</v>
          </cell>
          <cell r="AJ1317"/>
        </row>
        <row r="1318">
          <cell r="E1318" t="str">
            <v>W2000402</v>
          </cell>
          <cell r="F1318" t="str">
            <v>WPS BROOKS RD ROLEYSTONE</v>
          </cell>
          <cell r="H1318" t="str">
            <v>Supply Authority</v>
          </cell>
          <cell r="I1318" t="str">
            <v>W2000406</v>
          </cell>
          <cell r="J1318" t="str">
            <v>Main SB</v>
          </cell>
          <cell r="K1318" t="str">
            <v>GY35-41-5</v>
          </cell>
          <cell r="M1318">
            <v>200</v>
          </cell>
          <cell r="O1318">
            <v>415</v>
          </cell>
          <cell r="S1318" t="str">
            <v>XLPE/PVC</v>
          </cell>
          <cell r="T1318" t="str">
            <v>16mm2</v>
          </cell>
          <cell r="V1318" t="str">
            <v>MCB</v>
          </cell>
          <cell r="W1318">
            <v>63</v>
          </cell>
          <cell r="AF1318">
            <v>2006</v>
          </cell>
          <cell r="AH1318" t="str">
            <v>Dave Sutton</v>
          </cell>
          <cell r="AI1318" t="str">
            <v>WC</v>
          </cell>
          <cell r="AJ1318"/>
        </row>
        <row r="1319">
          <cell r="E1319" t="str">
            <v>D0036565</v>
          </cell>
          <cell r="F1319" t="str">
            <v>DPS CENTRAL RD ROSSMOYNE</v>
          </cell>
          <cell r="H1319" t="str">
            <v>SEC Supply</v>
          </cell>
          <cell r="I1319" t="str">
            <v>D0036569</v>
          </cell>
          <cell r="J1319" t="str">
            <v>Main SB</v>
          </cell>
          <cell r="K1319" t="str">
            <v>AI33-41-1</v>
          </cell>
          <cell r="M1319"/>
          <cell r="O1319">
            <v>440</v>
          </cell>
          <cell r="V1319" t="str">
            <v>MCB</v>
          </cell>
          <cell r="W1319">
            <v>100</v>
          </cell>
          <cell r="AF1319">
            <v>1967</v>
          </cell>
          <cell r="AH1319" t="str">
            <v>Dave Sutton</v>
          </cell>
          <cell r="AI1319" t="str">
            <v>WC</v>
          </cell>
          <cell r="AJ1319"/>
        </row>
        <row r="1320">
          <cell r="E1320" t="str">
            <v>S0033695</v>
          </cell>
          <cell r="F1320" t="str">
            <v>SPS FIRST AV ROSSMOYNE</v>
          </cell>
          <cell r="H1320" t="str">
            <v>SEC Supply</v>
          </cell>
          <cell r="I1320" t="str">
            <v>S0033699</v>
          </cell>
          <cell r="J1320" t="str">
            <v>SB1</v>
          </cell>
          <cell r="K1320" t="str">
            <v>13057-40-1</v>
          </cell>
          <cell r="M1320"/>
          <cell r="S1320" t="str">
            <v>PVC</v>
          </cell>
          <cell r="T1320" t="str">
            <v>3x1C 6mm2</v>
          </cell>
          <cell r="V1320" t="str">
            <v>MCB</v>
          </cell>
          <cell r="W1320">
            <v>55</v>
          </cell>
          <cell r="AF1320">
            <v>1981</v>
          </cell>
          <cell r="AH1320" t="str">
            <v>Dave Sutton</v>
          </cell>
          <cell r="AI1320" t="str">
            <v>WC</v>
          </cell>
          <cell r="AJ1320"/>
        </row>
        <row r="1321">
          <cell r="E1321" t="str">
            <v>S0033690</v>
          </cell>
          <cell r="F1321" t="str">
            <v>SPS FIFTH AV ROSSMOYNE</v>
          </cell>
          <cell r="H1321" t="str">
            <v>SEC Supply</v>
          </cell>
          <cell r="I1321" t="str">
            <v>S0033694</v>
          </cell>
          <cell r="J1321" t="str">
            <v>SB1</v>
          </cell>
          <cell r="K1321" t="str">
            <v>17873-40-1</v>
          </cell>
          <cell r="M1321"/>
          <cell r="S1321" t="str">
            <v>PVC</v>
          </cell>
          <cell r="T1321" t="str">
            <v>3x1C 6mm2</v>
          </cell>
          <cell r="V1321" t="str">
            <v>MCB</v>
          </cell>
          <cell r="W1321">
            <v>80</v>
          </cell>
          <cell r="AF1321">
            <v>1982</v>
          </cell>
          <cell r="AH1321" t="str">
            <v>Dave Sutton</v>
          </cell>
          <cell r="AI1321" t="str">
            <v>WC</v>
          </cell>
          <cell r="AJ1321"/>
        </row>
        <row r="1322">
          <cell r="E1322" t="str">
            <v>S0030412</v>
          </cell>
          <cell r="F1322" t="str">
            <v>SPS DONALD DR SAFETY BAY</v>
          </cell>
          <cell r="I1322" t="str">
            <v>S0030418</v>
          </cell>
          <cell r="J1322" t="str">
            <v>Main SB</v>
          </cell>
          <cell r="K1322" t="str">
            <v>13794-40-1</v>
          </cell>
          <cell r="AF1322">
            <v>1975</v>
          </cell>
          <cell r="AH1322" t="str">
            <v>Dave Sutton</v>
          </cell>
          <cell r="AI1322" t="str">
            <v>WC</v>
          </cell>
          <cell r="AJ1322"/>
        </row>
        <row r="1323">
          <cell r="E1323" t="str">
            <v>D0036676</v>
          </cell>
          <cell r="F1323" t="str">
            <v>DPS FORRESTER RD SAFETY BAY</v>
          </cell>
          <cell r="I1323" t="str">
            <v>D0036680</v>
          </cell>
          <cell r="K1323" t="str">
            <v>10639-40-3</v>
          </cell>
          <cell r="M1323"/>
          <cell r="AF1323">
            <v>1980</v>
          </cell>
          <cell r="AH1323" t="str">
            <v>Dave Sutton</v>
          </cell>
          <cell r="AI1323" t="str">
            <v>WC</v>
          </cell>
          <cell r="AJ1323"/>
        </row>
        <row r="1324">
          <cell r="E1324" t="str">
            <v>S0030443</v>
          </cell>
          <cell r="F1324" t="str">
            <v>SPS LEEDER ST SAFETY BAY</v>
          </cell>
          <cell r="H1324" t="str">
            <v>Supply Authority</v>
          </cell>
          <cell r="I1324" t="str">
            <v>S0030447</v>
          </cell>
          <cell r="J1324" t="str">
            <v>Main SB</v>
          </cell>
          <cell r="K1324" t="str">
            <v>EJ11-41-5</v>
          </cell>
          <cell r="M1324">
            <v>200</v>
          </cell>
          <cell r="S1324" t="str">
            <v>PYROLEX</v>
          </cell>
          <cell r="T1324" t="str">
            <v>16mm2</v>
          </cell>
          <cell r="V1324" t="str">
            <v>MCB</v>
          </cell>
          <cell r="W1324">
            <v>63</v>
          </cell>
          <cell r="AF1324">
            <v>1998</v>
          </cell>
          <cell r="AH1324" t="str">
            <v>Dave Sutton</v>
          </cell>
          <cell r="AI1324" t="str">
            <v>WC</v>
          </cell>
          <cell r="AJ1324"/>
        </row>
        <row r="1325">
          <cell r="E1325" t="str">
            <v>S2008775</v>
          </cell>
          <cell r="F1325" t="str">
            <v>SPS CHARTHOUSE RD SAFETY BAY</v>
          </cell>
          <cell r="I1325" t="str">
            <v>S2008779</v>
          </cell>
          <cell r="K1325" t="str">
            <v>FL75-41-5</v>
          </cell>
          <cell r="M1325"/>
          <cell r="AF1325">
            <v>2003</v>
          </cell>
          <cell r="AH1325" t="str">
            <v>Dave Sutton</v>
          </cell>
          <cell r="AI1325" t="str">
            <v>WC</v>
          </cell>
          <cell r="AJ1325"/>
        </row>
        <row r="1326">
          <cell r="E1326" t="str">
            <v>S0034099</v>
          </cell>
          <cell r="F1326" t="str">
            <v>SPS HOWARD PDE SALTER POINT</v>
          </cell>
          <cell r="I1326" t="str">
            <v>S0034105</v>
          </cell>
          <cell r="K1326" t="str">
            <v>12446-40-1</v>
          </cell>
          <cell r="M1326"/>
          <cell r="AF1326">
            <v>1975</v>
          </cell>
          <cell r="AH1326" t="str">
            <v>Dave Sutton</v>
          </cell>
          <cell r="AI1326" t="str">
            <v>WC</v>
          </cell>
          <cell r="AJ1326"/>
        </row>
        <row r="1327">
          <cell r="E1327" t="str">
            <v>S0034160</v>
          </cell>
          <cell r="F1327" t="str">
            <v>SPS ROEBUCK DR SALTER POINT</v>
          </cell>
          <cell r="I1327" t="str">
            <v>S0034166</v>
          </cell>
          <cell r="K1327" t="str">
            <v>12778-40-1</v>
          </cell>
          <cell r="M1327"/>
          <cell r="AF1327">
            <v>1975</v>
          </cell>
          <cell r="AH1327" t="str">
            <v>Dave Sutton</v>
          </cell>
          <cell r="AI1327" t="str">
            <v>WC</v>
          </cell>
          <cell r="AJ1327"/>
        </row>
        <row r="1328">
          <cell r="E1328" t="str">
            <v>S0034029</v>
          </cell>
          <cell r="F1328" t="str">
            <v>SPS EDGEWATER RD SALTER POINT</v>
          </cell>
          <cell r="I1328" t="str">
            <v>S0034033</v>
          </cell>
          <cell r="J1328" t="str">
            <v>SB1</v>
          </cell>
          <cell r="K1328" t="str">
            <v>15322-40-2</v>
          </cell>
          <cell r="M1328"/>
          <cell r="S1328" t="str">
            <v>PVC</v>
          </cell>
          <cell r="T1328" t="str">
            <v>3x1C 6mm2</v>
          </cell>
          <cell r="AF1328">
            <v>1978</v>
          </cell>
          <cell r="AH1328" t="str">
            <v>Dave Sutton</v>
          </cell>
          <cell r="AI1328" t="str">
            <v>WC</v>
          </cell>
          <cell r="AJ1328"/>
        </row>
        <row r="1329">
          <cell r="E1329" t="str">
            <v>S0033788</v>
          </cell>
          <cell r="F1329" t="str">
            <v>SPS MCCOMBE AV SAMSON</v>
          </cell>
          <cell r="I1329" t="str">
            <v>S0033794</v>
          </cell>
          <cell r="J1329" t="str">
            <v>Main SB</v>
          </cell>
          <cell r="K1329" t="str">
            <v>14617-40-1</v>
          </cell>
          <cell r="M1329"/>
          <cell r="AF1329">
            <v>1976</v>
          </cell>
          <cell r="AH1329" t="str">
            <v>Dave Sutton</v>
          </cell>
          <cell r="AI1329" t="str">
            <v>WC</v>
          </cell>
          <cell r="AJ1329"/>
        </row>
        <row r="1330">
          <cell r="E1330" t="str">
            <v>S0044688</v>
          </cell>
          <cell r="F1330" t="str">
            <v>SPS ACHERON RD SAN REMO</v>
          </cell>
          <cell r="H1330" t="str">
            <v>SEC Supply</v>
          </cell>
          <cell r="I1330" t="str">
            <v>S8003513</v>
          </cell>
          <cell r="J1330" t="str">
            <v>Main SB</v>
          </cell>
          <cell r="K1330" t="str">
            <v>CO58-41-2</v>
          </cell>
          <cell r="M1330"/>
          <cell r="O1330">
            <v>415</v>
          </cell>
          <cell r="S1330" t="str">
            <v>EPR/EPR</v>
          </cell>
          <cell r="T1330" t="str">
            <v>16mm2</v>
          </cell>
          <cell r="V1330" t="str">
            <v>MCB</v>
          </cell>
          <cell r="W1330">
            <v>32</v>
          </cell>
          <cell r="AF1330">
            <v>1994</v>
          </cell>
          <cell r="AH1330" t="str">
            <v>Dave Sutton</v>
          </cell>
          <cell r="AI1330" t="str">
            <v>WC</v>
          </cell>
          <cell r="AJ1330"/>
        </row>
        <row r="1331">
          <cell r="E1331" t="str">
            <v>W0035541</v>
          </cell>
          <cell r="F1331" t="str">
            <v>WPS SEXTON ST SAWYERS VALLEY</v>
          </cell>
          <cell r="H1331" t="str">
            <v>SEC Supply</v>
          </cell>
          <cell r="I1331" t="str">
            <v>W0035546</v>
          </cell>
          <cell r="J1331" t="str">
            <v>Main SB</v>
          </cell>
          <cell r="K1331" t="str">
            <v>15495-40-1</v>
          </cell>
          <cell r="M1331"/>
          <cell r="AF1331">
            <v>1977</v>
          </cell>
          <cell r="AH1331" t="str">
            <v>Dave Sutton</v>
          </cell>
          <cell r="AI1331" t="str">
            <v>WC</v>
          </cell>
          <cell r="AJ1331"/>
        </row>
        <row r="1332">
          <cell r="E1332" t="str">
            <v>W0035533</v>
          </cell>
          <cell r="F1332" t="str">
            <v>WPS GREAT EASTERN HWY SAWYERS VALLEY</v>
          </cell>
          <cell r="I1332" t="str">
            <v>W2000257</v>
          </cell>
          <cell r="K1332" t="str">
            <v>FX82-1-4</v>
          </cell>
          <cell r="M1332"/>
          <cell r="AF1332">
            <v>1997</v>
          </cell>
          <cell r="AH1332" t="str">
            <v>Dave Sutton</v>
          </cell>
          <cell r="AI1332" t="str">
            <v>WC</v>
          </cell>
          <cell r="AJ1332"/>
        </row>
        <row r="1333">
          <cell r="E1333" t="str">
            <v>D0036276</v>
          </cell>
          <cell r="F1333" t="str">
            <v>DPS COLIN RD SCARBOROUGH</v>
          </cell>
          <cell r="H1333" t="str">
            <v>SEC Supply</v>
          </cell>
          <cell r="I1333" t="str">
            <v>D0036280</v>
          </cell>
          <cell r="J1333" t="str">
            <v>Main SB</v>
          </cell>
          <cell r="K1333" t="str">
            <v>AG93-40-1</v>
          </cell>
          <cell r="M1333"/>
          <cell r="V1333" t="str">
            <v>Fuse</v>
          </cell>
          <cell r="W1333">
            <v>250</v>
          </cell>
          <cell r="AF1333">
            <v>1967</v>
          </cell>
          <cell r="AH1333" t="str">
            <v>Dave Sutton</v>
          </cell>
          <cell r="AI1333" t="str">
            <v>WC</v>
          </cell>
          <cell r="AJ1333"/>
        </row>
        <row r="1334">
          <cell r="E1334" t="str">
            <v>D0036282</v>
          </cell>
          <cell r="F1334" t="str">
            <v>DPS DEANMORE SQ SCARBOROUGH</v>
          </cell>
          <cell r="I1334" t="str">
            <v>D0036286</v>
          </cell>
          <cell r="K1334" t="str">
            <v xml:space="preserve">AG91- - </v>
          </cell>
          <cell r="M1334"/>
          <cell r="AF1334">
            <v>1967</v>
          </cell>
          <cell r="AH1334" t="str">
            <v>Dave Sutton</v>
          </cell>
          <cell r="AI1334" t="str">
            <v>WC</v>
          </cell>
          <cell r="AJ1334"/>
        </row>
        <row r="1335">
          <cell r="E1335" t="str">
            <v>S0032046</v>
          </cell>
          <cell r="F1335" t="str">
            <v>SPS VENTNOR ST SCARBOROUGH</v>
          </cell>
          <cell r="I1335" t="str">
            <v>S0032052</v>
          </cell>
          <cell r="J1335" t="str">
            <v>Main SB</v>
          </cell>
          <cell r="K1335" t="str">
            <v>10331-10-1</v>
          </cell>
          <cell r="M1335"/>
          <cell r="AF1335">
            <v>1970</v>
          </cell>
          <cell r="AH1335" t="str">
            <v>Dave Sutton</v>
          </cell>
          <cell r="AI1335" t="str">
            <v>WC</v>
          </cell>
          <cell r="AJ1335"/>
        </row>
        <row r="1336">
          <cell r="E1336" t="str">
            <v>S0028223</v>
          </cell>
          <cell r="F1336" t="str">
            <v>SPS ABBETT PARK SCARBOROUGH</v>
          </cell>
          <cell r="H1336" t="str">
            <v>SEC Supply</v>
          </cell>
          <cell r="I1336" t="str">
            <v>S2003493</v>
          </cell>
          <cell r="J1336" t="str">
            <v>Main SB</v>
          </cell>
          <cell r="K1336" t="str">
            <v>CF40-41-5</v>
          </cell>
          <cell r="M1336">
            <v>100</v>
          </cell>
          <cell r="N1336">
            <v>22</v>
          </cell>
          <cell r="V1336" t="str">
            <v>MCB</v>
          </cell>
          <cell r="W1336">
            <v>150</v>
          </cell>
          <cell r="AF1336">
            <v>1993</v>
          </cell>
          <cell r="AH1336" t="str">
            <v>Dave Sutton</v>
          </cell>
          <cell r="AI1336" t="str">
            <v>WC</v>
          </cell>
          <cell r="AJ1336"/>
        </row>
        <row r="1337">
          <cell r="E1337" t="str">
            <v>D0036260</v>
          </cell>
          <cell r="F1337" t="str">
            <v>DPS ABBETT PARK SCARBOROUGH</v>
          </cell>
          <cell r="H1337" t="str">
            <v>SEC Supply</v>
          </cell>
          <cell r="I1337" t="str">
            <v>D0036264</v>
          </cell>
          <cell r="J1337" t="str">
            <v>SB1</v>
          </cell>
          <cell r="K1337" t="str">
            <v>09648-40-1</v>
          </cell>
          <cell r="M1337"/>
          <cell r="S1337" t="str">
            <v>PVC</v>
          </cell>
          <cell r="T1337" t="str">
            <v>3x1C 10mm2</v>
          </cell>
          <cell r="V1337" t="str">
            <v>MCB</v>
          </cell>
          <cell r="W1337">
            <v>100</v>
          </cell>
          <cell r="AF1337">
            <v>1968</v>
          </cell>
          <cell r="AH1337" t="str">
            <v>Dave Sutton</v>
          </cell>
          <cell r="AI1337" t="str">
            <v>WC</v>
          </cell>
          <cell r="AJ1337"/>
        </row>
        <row r="1338">
          <cell r="E1338" t="str">
            <v>D0036289</v>
          </cell>
          <cell r="F1338" t="str">
            <v>DPS JOYCE ST SCARBOROUGH</v>
          </cell>
          <cell r="H1338" t="str">
            <v>SEC Supply</v>
          </cell>
          <cell r="I1338" t="str">
            <v>D0036293</v>
          </cell>
          <cell r="J1338" t="str">
            <v>SB1</v>
          </cell>
          <cell r="K1338" t="str">
            <v>AR08-40-1</v>
          </cell>
          <cell r="M1338"/>
          <cell r="S1338" t="str">
            <v>PVC</v>
          </cell>
          <cell r="T1338" t="str">
            <v>3x1C 10mm2</v>
          </cell>
          <cell r="V1338" t="str">
            <v>MCB</v>
          </cell>
          <cell r="W1338">
            <v>100</v>
          </cell>
          <cell r="AF1338">
            <v>1968</v>
          </cell>
          <cell r="AH1338" t="str">
            <v>Dave Sutton</v>
          </cell>
          <cell r="AI1338" t="str">
            <v>WC</v>
          </cell>
          <cell r="AJ1338"/>
        </row>
        <row r="1339">
          <cell r="E1339" t="str">
            <v>D0036268</v>
          </cell>
          <cell r="F1339" t="str">
            <v>DPS COBB ST SCARBOROUGH</v>
          </cell>
          <cell r="I1339" t="str">
            <v>D0036272</v>
          </cell>
          <cell r="K1339" t="str">
            <v>11085-10-1</v>
          </cell>
          <cell r="M1339"/>
          <cell r="AF1339">
            <v>1975</v>
          </cell>
          <cell r="AH1339" t="str">
            <v>Dave Sutton</v>
          </cell>
          <cell r="AI1339" t="str">
            <v>WC</v>
          </cell>
          <cell r="AJ1339"/>
        </row>
        <row r="1340">
          <cell r="E1340" t="str">
            <v>S2000293</v>
          </cell>
          <cell r="F1340" t="str">
            <v>SPS BRIGHTON RD SCARBOROUGH</v>
          </cell>
          <cell r="H1340" t="str">
            <v>Supply Authority</v>
          </cell>
          <cell r="I1340" t="str">
            <v>S2003244</v>
          </cell>
          <cell r="J1340" t="str">
            <v>Main SB</v>
          </cell>
          <cell r="K1340" t="str">
            <v>ER92-41-5</v>
          </cell>
          <cell r="M1340"/>
          <cell r="O1340">
            <v>415</v>
          </cell>
          <cell r="S1340" t="str">
            <v>PYROLEX</v>
          </cell>
          <cell r="T1340" t="str">
            <v>16mm2</v>
          </cell>
          <cell r="V1340" t="str">
            <v>MCB</v>
          </cell>
          <cell r="W1340">
            <v>80</v>
          </cell>
          <cell r="AF1340">
            <v>1999</v>
          </cell>
          <cell r="AH1340" t="str">
            <v>Dave Sutton</v>
          </cell>
          <cell r="AI1340" t="str">
            <v>WC</v>
          </cell>
          <cell r="AJ1340"/>
        </row>
        <row r="1341">
          <cell r="E1341" t="str">
            <v>S2008785</v>
          </cell>
          <cell r="F1341" t="str">
            <v>SPS PEARL PDE SCARBOROUGH</v>
          </cell>
          <cell r="H1341" t="str">
            <v>Supply Authority</v>
          </cell>
          <cell r="I1341" t="str">
            <v>S2008789</v>
          </cell>
          <cell r="J1341" t="str">
            <v>Main SB</v>
          </cell>
          <cell r="K1341" t="str">
            <v>GF90-41-5</v>
          </cell>
          <cell r="M1341"/>
          <cell r="O1341">
            <v>415</v>
          </cell>
          <cell r="S1341" t="str">
            <v>PYROLEX</v>
          </cell>
          <cell r="T1341" t="str">
            <v>16mm2</v>
          </cell>
          <cell r="V1341" t="str">
            <v>MCB</v>
          </cell>
          <cell r="W1341">
            <v>63</v>
          </cell>
          <cell r="AF1341">
            <v>2003</v>
          </cell>
          <cell r="AH1341" t="str">
            <v>Dave Sutton</v>
          </cell>
          <cell r="AI1341" t="str">
            <v>WC</v>
          </cell>
          <cell r="AJ1341"/>
        </row>
        <row r="1342">
          <cell r="E1342" t="str">
            <v>S0028474</v>
          </cell>
          <cell r="F1342" t="str">
            <v>SPS HASTINGS ST SCARBOROUGH</v>
          </cell>
          <cell r="H1342" t="str">
            <v>Supply Authority</v>
          </cell>
          <cell r="I1342" t="str">
            <v>S2020196</v>
          </cell>
          <cell r="J1342" t="str">
            <v>Main SB</v>
          </cell>
          <cell r="K1342" t="str">
            <v>10540-41-5</v>
          </cell>
          <cell r="M1342"/>
          <cell r="O1342">
            <v>415</v>
          </cell>
          <cell r="S1342" t="str">
            <v>XLPE</v>
          </cell>
          <cell r="T1342" t="str">
            <v>25mm2</v>
          </cell>
          <cell r="V1342" t="str">
            <v>MCB</v>
          </cell>
          <cell r="W1342">
            <v>100</v>
          </cell>
          <cell r="AF1342">
            <v>2006</v>
          </cell>
          <cell r="AH1342" t="str">
            <v>Dave Sutton</v>
          </cell>
          <cell r="AI1342" t="str">
            <v>WC</v>
          </cell>
          <cell r="AJ1342"/>
        </row>
        <row r="1343">
          <cell r="E1343" t="str">
            <v>S2018423</v>
          </cell>
          <cell r="F1343" t="str">
            <v>SPS THE ESPLANADE SCARBOROUGH</v>
          </cell>
          <cell r="H1343" t="str">
            <v>Supply Authority</v>
          </cell>
          <cell r="I1343" t="str">
            <v>S2019246</v>
          </cell>
          <cell r="J1343" t="str">
            <v>Main SB</v>
          </cell>
          <cell r="K1343" t="str">
            <v>IA49-41-5</v>
          </cell>
          <cell r="M1343"/>
          <cell r="O1343">
            <v>415</v>
          </cell>
          <cell r="S1343" t="str">
            <v>PVC/PVC</v>
          </cell>
          <cell r="T1343" t="str">
            <v>16mm2</v>
          </cell>
          <cell r="V1343" t="str">
            <v>Fuse</v>
          </cell>
          <cell r="W1343">
            <v>60</v>
          </cell>
          <cell r="X1343" t="str">
            <v>IA49-40-2</v>
          </cell>
          <cell r="AF1343">
            <v>2007</v>
          </cell>
          <cell r="AH1343" t="str">
            <v>Dave Sutton</v>
          </cell>
          <cell r="AI1343" t="str">
            <v>WC</v>
          </cell>
          <cell r="AJ1343"/>
        </row>
        <row r="1344">
          <cell r="E1344" t="str">
            <v>S0030528</v>
          </cell>
          <cell r="F1344" t="str">
            <v>SPS NAPLES PL SECRET HARBOUR</v>
          </cell>
          <cell r="H1344" t="str">
            <v>Supply Authority</v>
          </cell>
          <cell r="I1344" t="str">
            <v>S0030532</v>
          </cell>
          <cell r="J1344" t="str">
            <v>Main SB</v>
          </cell>
          <cell r="K1344" t="str">
            <v>CV91-42-5</v>
          </cell>
          <cell r="M1344"/>
          <cell r="N1344">
            <v>22</v>
          </cell>
          <cell r="O1344">
            <v>415</v>
          </cell>
          <cell r="V1344" t="str">
            <v>Fuse</v>
          </cell>
          <cell r="W1344">
            <v>80</v>
          </cell>
          <cell r="X1344" t="str">
            <v>CV91-40-2</v>
          </cell>
          <cell r="AF1344">
            <v>1994</v>
          </cell>
          <cell r="AH1344" t="str">
            <v>Dave Sutton</v>
          </cell>
          <cell r="AI1344" t="str">
            <v>WC</v>
          </cell>
          <cell r="AJ1344"/>
        </row>
        <row r="1345">
          <cell r="E1345" t="str">
            <v>S0030561</v>
          </cell>
          <cell r="F1345" t="str">
            <v>SPS SWANSON WY SECRET HARBOUR</v>
          </cell>
          <cell r="H1345" t="str">
            <v>Supply Authority</v>
          </cell>
          <cell r="I1345" t="str">
            <v>S0030565</v>
          </cell>
          <cell r="J1345" t="str">
            <v>Main SB</v>
          </cell>
          <cell r="K1345" t="str">
            <v>DW07-41-5</v>
          </cell>
          <cell r="M1345"/>
          <cell r="N1345">
            <v>22</v>
          </cell>
          <cell r="O1345">
            <v>415</v>
          </cell>
          <cell r="S1345" t="str">
            <v>PYROLEX</v>
          </cell>
          <cell r="T1345" t="str">
            <v>10mm2</v>
          </cell>
          <cell r="V1345" t="str">
            <v>MCB</v>
          </cell>
          <cell r="W1345">
            <v>63</v>
          </cell>
          <cell r="X1345" t="str">
            <v>DW07-40-2</v>
          </cell>
          <cell r="AF1345">
            <v>1996</v>
          </cell>
          <cell r="AH1345" t="str">
            <v>Dave Sutton</v>
          </cell>
          <cell r="AI1345" t="str">
            <v>WC</v>
          </cell>
          <cell r="AJ1345"/>
        </row>
        <row r="1346">
          <cell r="E1346" t="str">
            <v>S2018407</v>
          </cell>
          <cell r="F1346" t="str">
            <v>SPS BLUESTONE PKWY SECRET HARBOUR</v>
          </cell>
          <cell r="H1346" t="str">
            <v>Supply Authority</v>
          </cell>
          <cell r="I1346" t="str">
            <v>S2018411</v>
          </cell>
          <cell r="J1346" t="str">
            <v>Main SB</v>
          </cell>
          <cell r="K1346" t="str">
            <v>HM70-41-5</v>
          </cell>
          <cell r="M1346"/>
          <cell r="N1346">
            <v>22</v>
          </cell>
          <cell r="O1346">
            <v>415</v>
          </cell>
          <cell r="S1346" t="str">
            <v>XLPE</v>
          </cell>
          <cell r="T1346" t="str">
            <v>25mm2</v>
          </cell>
          <cell r="V1346" t="str">
            <v>Fuse</v>
          </cell>
          <cell r="W1346">
            <v>100</v>
          </cell>
          <cell r="X1346" t="str">
            <v>HM70-40-2</v>
          </cell>
          <cell r="AF1346">
            <v>2006</v>
          </cell>
          <cell r="AH1346" t="str">
            <v>Dave Sutton</v>
          </cell>
          <cell r="AI1346" t="str">
            <v>WC</v>
          </cell>
          <cell r="AJ1346"/>
        </row>
        <row r="1347">
          <cell r="E1347" t="str">
            <v>S0030551</v>
          </cell>
          <cell r="F1347" t="str">
            <v>SPS SECRET HARBOUR BVD SECRET HARBOUR</v>
          </cell>
          <cell r="H1347" t="str">
            <v>SEC Supply</v>
          </cell>
          <cell r="I1347" t="str">
            <v>S0030555</v>
          </cell>
          <cell r="J1347" t="str">
            <v>Main SB</v>
          </cell>
          <cell r="K1347" t="str">
            <v>CY93-41-5</v>
          </cell>
          <cell r="M1347"/>
          <cell r="O1347">
            <v>415</v>
          </cell>
          <cell r="V1347" t="str">
            <v>MCB</v>
          </cell>
          <cell r="W1347">
            <v>32</v>
          </cell>
          <cell r="AF1347">
            <v>1995</v>
          </cell>
          <cell r="AH1347" t="str">
            <v>Dave Sutton</v>
          </cell>
          <cell r="AI1347" t="str">
            <v>WC</v>
          </cell>
          <cell r="AJ1347"/>
        </row>
        <row r="1348">
          <cell r="E1348" t="str">
            <v>S2008280</v>
          </cell>
          <cell r="F1348" t="str">
            <v>SPS BANCOURA PWY SECRET HARBOUR</v>
          </cell>
          <cell r="I1348" t="str">
            <v>S2008284</v>
          </cell>
          <cell r="K1348" t="str">
            <v>GF43-41-5</v>
          </cell>
          <cell r="M1348"/>
          <cell r="AF1348">
            <v>2003</v>
          </cell>
          <cell r="AH1348" t="str">
            <v>Dave Sutton</v>
          </cell>
          <cell r="AI1348" t="str">
            <v>WC</v>
          </cell>
          <cell r="AJ1348"/>
        </row>
        <row r="1349">
          <cell r="E1349" t="str">
            <v>S2018206</v>
          </cell>
          <cell r="F1349" t="str">
            <v>SPS SURF DR SECRET HARBOUR</v>
          </cell>
          <cell r="H1349" t="str">
            <v>Supply Authority</v>
          </cell>
          <cell r="I1349" t="str">
            <v>S2018481</v>
          </cell>
          <cell r="J1349" t="str">
            <v>Main SB</v>
          </cell>
          <cell r="K1349" t="str">
            <v>HL04-41-5</v>
          </cell>
          <cell r="M1349">
            <v>200</v>
          </cell>
          <cell r="N1349">
            <v>22</v>
          </cell>
          <cell r="O1349">
            <v>415</v>
          </cell>
          <cell r="S1349" t="str">
            <v>PVC</v>
          </cell>
          <cell r="T1349" t="str">
            <v>16mm2</v>
          </cell>
          <cell r="V1349" t="str">
            <v>Fuse</v>
          </cell>
          <cell r="W1349">
            <v>60</v>
          </cell>
          <cell r="X1349" t="str">
            <v>HL04-40-2</v>
          </cell>
          <cell r="AF1349">
            <v>2005</v>
          </cell>
          <cell r="AH1349" t="str">
            <v>Dave Sutton</v>
          </cell>
          <cell r="AI1349" t="str">
            <v>WC</v>
          </cell>
          <cell r="AJ1349"/>
        </row>
        <row r="1350">
          <cell r="E1350" t="str">
            <v>S0034218</v>
          </cell>
          <cell r="F1350" t="str">
            <v>SPS BERYL AV SHELLEY</v>
          </cell>
          <cell r="H1350" t="str">
            <v>SEC Supply</v>
          </cell>
          <cell r="I1350" t="str">
            <v>S0034222</v>
          </cell>
          <cell r="J1350" t="str">
            <v>Main SB</v>
          </cell>
          <cell r="K1350" t="str">
            <v>CJ77-41-4</v>
          </cell>
          <cell r="M1350"/>
          <cell r="O1350">
            <v>415</v>
          </cell>
          <cell r="S1350" t="str">
            <v>XLPE/PVC</v>
          </cell>
          <cell r="T1350" t="str">
            <v>16mm2</v>
          </cell>
          <cell r="AF1350">
            <v>1992</v>
          </cell>
          <cell r="AH1350" t="str">
            <v>Dave Sutton</v>
          </cell>
          <cell r="AI1350" t="str">
            <v>WC</v>
          </cell>
          <cell r="AJ1350"/>
        </row>
        <row r="1351">
          <cell r="E1351" t="str">
            <v>S0032263</v>
          </cell>
          <cell r="F1351" t="str">
            <v>SPS HERBERT RD SHENTON PARK</v>
          </cell>
          <cell r="I1351" t="str">
            <v>S0032269</v>
          </cell>
          <cell r="J1351" t="str">
            <v>Main SB</v>
          </cell>
          <cell r="K1351" t="str">
            <v>05257-40-1</v>
          </cell>
          <cell r="M1351"/>
          <cell r="AF1351">
            <v>1972</v>
          </cell>
          <cell r="AH1351" t="str">
            <v>Dave Sutton</v>
          </cell>
          <cell r="AI1351" t="str">
            <v>WC</v>
          </cell>
          <cell r="AJ1351"/>
        </row>
        <row r="1352">
          <cell r="E1352" t="str">
            <v>S2000009</v>
          </cell>
          <cell r="F1352" t="str">
            <v>SPS ARCADIA DR SHOALWATER</v>
          </cell>
          <cell r="H1352" t="str">
            <v>Supply Authority</v>
          </cell>
          <cell r="I1352" t="str">
            <v>S2000020</v>
          </cell>
          <cell r="J1352" t="str">
            <v>Main SB</v>
          </cell>
          <cell r="K1352" t="str">
            <v>EN63-41-5</v>
          </cell>
          <cell r="M1352"/>
          <cell r="O1352">
            <v>415</v>
          </cell>
          <cell r="S1352" t="str">
            <v>PYROLEX</v>
          </cell>
          <cell r="T1352" t="str">
            <v>10mm2</v>
          </cell>
          <cell r="V1352" t="str">
            <v>MCB</v>
          </cell>
          <cell r="W1352">
            <v>32</v>
          </cell>
          <cell r="AF1352">
            <v>1998</v>
          </cell>
          <cell r="AH1352" t="str">
            <v>Dave Sutton</v>
          </cell>
          <cell r="AI1352" t="str">
            <v>WC</v>
          </cell>
          <cell r="AJ1352"/>
        </row>
        <row r="1353">
          <cell r="E1353" t="str">
            <v>S2000008</v>
          </cell>
          <cell r="F1353" t="str">
            <v>SPS MERSEY RD SHOALWATER</v>
          </cell>
          <cell r="H1353" t="str">
            <v>Supply Authority</v>
          </cell>
          <cell r="I1353" t="str">
            <v>S2000028</v>
          </cell>
          <cell r="J1353" t="str">
            <v>Main SB</v>
          </cell>
          <cell r="K1353" t="str">
            <v>EL92-41-5</v>
          </cell>
          <cell r="M1353"/>
          <cell r="O1353">
            <v>415</v>
          </cell>
          <cell r="S1353" t="str">
            <v>PYROLEX</v>
          </cell>
          <cell r="T1353" t="str">
            <v>10mm2</v>
          </cell>
          <cell r="V1353" t="str">
            <v>MCB</v>
          </cell>
          <cell r="W1353">
            <v>32</v>
          </cell>
          <cell r="AF1353">
            <v>1999</v>
          </cell>
          <cell r="AH1353" t="str">
            <v>Dave Sutton</v>
          </cell>
          <cell r="AI1353" t="str">
            <v>WC</v>
          </cell>
          <cell r="AJ1353"/>
        </row>
        <row r="1354">
          <cell r="E1354" t="str">
            <v>S0044774</v>
          </cell>
          <cell r="F1354" t="str">
            <v>SPS SEAWIND DR SILVER SANDS</v>
          </cell>
          <cell r="I1354" t="str">
            <v>S8003434</v>
          </cell>
          <cell r="J1354" t="str">
            <v>Main SB</v>
          </cell>
          <cell r="K1354" t="str">
            <v>51022-0-2</v>
          </cell>
          <cell r="M1354"/>
          <cell r="V1354" t="str">
            <v>Fuse</v>
          </cell>
          <cell r="W1354">
            <v>60</v>
          </cell>
          <cell r="AF1354">
            <v>1977</v>
          </cell>
          <cell r="AH1354" t="str">
            <v>Dave Sutton</v>
          </cell>
          <cell r="AI1354" t="str">
            <v>WC</v>
          </cell>
          <cell r="AJ1354"/>
        </row>
        <row r="1355">
          <cell r="E1355" t="str">
            <v>S0030533</v>
          </cell>
          <cell r="F1355" t="str">
            <v>SPS NAVIGATOR DR SINGLETON</v>
          </cell>
          <cell r="H1355" t="str">
            <v>SEC Supply</v>
          </cell>
          <cell r="I1355" t="str">
            <v>S0030537</v>
          </cell>
          <cell r="J1355" t="str">
            <v>Main SB</v>
          </cell>
          <cell r="K1355" t="str">
            <v>DG26-41-5</v>
          </cell>
          <cell r="M1355"/>
          <cell r="O1355">
            <v>415</v>
          </cell>
          <cell r="S1355" t="str">
            <v>PYROLEX</v>
          </cell>
          <cell r="T1355" t="str">
            <v>35mm2</v>
          </cell>
          <cell r="V1355" t="str">
            <v>MCB</v>
          </cell>
          <cell r="W1355">
            <v>125</v>
          </cell>
          <cell r="AF1355">
            <v>1995</v>
          </cell>
          <cell r="AH1355" t="str">
            <v>Dave Sutton</v>
          </cell>
          <cell r="AI1355" t="str">
            <v>WC</v>
          </cell>
          <cell r="AJ1355"/>
        </row>
        <row r="1356">
          <cell r="E1356" t="str">
            <v>S0028641</v>
          </cell>
          <cell r="F1356" t="str">
            <v>SPS ST HELIER DR SORRENTO</v>
          </cell>
          <cell r="H1356" t="str">
            <v>Supply Authority</v>
          </cell>
          <cell r="I1356" t="str">
            <v>S0028645</v>
          </cell>
          <cell r="J1356" t="str">
            <v>Pumping Station Switchboard</v>
          </cell>
          <cell r="K1356" t="str">
            <v>AF86-40-11</v>
          </cell>
          <cell r="M1356">
            <v>315</v>
          </cell>
          <cell r="N1356">
            <v>22</v>
          </cell>
          <cell r="O1356">
            <v>415</v>
          </cell>
          <cell r="V1356" t="str">
            <v>Fuse</v>
          </cell>
          <cell r="W1356">
            <v>100</v>
          </cell>
          <cell r="AF1356">
            <v>1986</v>
          </cell>
          <cell r="AH1356" t="str">
            <v>Dave Sutton</v>
          </cell>
          <cell r="AI1356" t="str">
            <v>WC</v>
          </cell>
          <cell r="AJ1356"/>
        </row>
        <row r="1357">
          <cell r="E1357" t="str">
            <v>S2004018</v>
          </cell>
          <cell r="F1357" t="str">
            <v>SPS PADBURY CIR SORRENTO</v>
          </cell>
          <cell r="H1357" t="str">
            <v>Supply Authority</v>
          </cell>
          <cell r="I1357" t="str">
            <v>S2004867</v>
          </cell>
          <cell r="J1357" t="str">
            <v>Main SB</v>
          </cell>
          <cell r="K1357" t="str">
            <v>GB42-41-5</v>
          </cell>
          <cell r="M1357">
            <v>200</v>
          </cell>
          <cell r="O1357">
            <v>415</v>
          </cell>
          <cell r="S1357" t="str">
            <v>XLPE</v>
          </cell>
          <cell r="T1357" t="str">
            <v>25mm2</v>
          </cell>
          <cell r="V1357" t="str">
            <v>MCB</v>
          </cell>
          <cell r="W1357">
            <v>100</v>
          </cell>
          <cell r="AF1357">
            <v>2002</v>
          </cell>
          <cell r="AH1357" t="str">
            <v>Dave Sutton</v>
          </cell>
          <cell r="AI1357" t="str">
            <v>WC</v>
          </cell>
          <cell r="AJ1357"/>
        </row>
        <row r="1358">
          <cell r="E1358" t="str">
            <v>S2019078</v>
          </cell>
          <cell r="F1358" t="str">
            <v>SPS HOPKINSON RD SOUTH BYFORD</v>
          </cell>
          <cell r="H1358" t="str">
            <v>Supply Authority</v>
          </cell>
          <cell r="I1358" t="str">
            <v>S2030704</v>
          </cell>
          <cell r="J1358" t="str">
            <v>Main SB</v>
          </cell>
          <cell r="K1358" t="str">
            <v>IL66-41-5</v>
          </cell>
          <cell r="M1358"/>
          <cell r="N1358">
            <v>22</v>
          </cell>
          <cell r="O1358">
            <v>415</v>
          </cell>
          <cell r="S1358" t="str">
            <v>PVC/PVC</v>
          </cell>
          <cell r="T1358" t="str">
            <v>1x4C 35mm2</v>
          </cell>
          <cell r="V1358" t="str">
            <v>Fuse</v>
          </cell>
          <cell r="W1358">
            <v>100</v>
          </cell>
          <cell r="X1358" t="str">
            <v>IL66-40-2</v>
          </cell>
          <cell r="AF1358">
            <v>2010</v>
          </cell>
          <cell r="AH1358" t="str">
            <v>Dave Sutton</v>
          </cell>
          <cell r="AI1358" t="str">
            <v>WC</v>
          </cell>
          <cell r="AJ1358"/>
        </row>
        <row r="1359">
          <cell r="E1359" t="str">
            <v>S8000460</v>
          </cell>
          <cell r="F1359" t="str">
            <v>SPS WILDERNESS DR STH DAWESVILLE</v>
          </cell>
          <cell r="H1359" t="str">
            <v>Supply Authority</v>
          </cell>
          <cell r="I1359" t="str">
            <v>S8004213</v>
          </cell>
          <cell r="J1359" t="str">
            <v>Main SB</v>
          </cell>
          <cell r="K1359" t="str">
            <v>EI93-41-5</v>
          </cell>
          <cell r="M1359">
            <v>200</v>
          </cell>
          <cell r="O1359">
            <v>415</v>
          </cell>
          <cell r="S1359" t="str">
            <v>PYROLEX</v>
          </cell>
          <cell r="T1359" t="str">
            <v>25mm2</v>
          </cell>
          <cell r="V1359" t="str">
            <v>MCB</v>
          </cell>
          <cell r="W1359">
            <v>150</v>
          </cell>
          <cell r="AF1359">
            <v>1999</v>
          </cell>
          <cell r="AH1359" t="str">
            <v>Dave Sutton</v>
          </cell>
          <cell r="AI1359" t="str">
            <v>WC</v>
          </cell>
          <cell r="AJ1359"/>
        </row>
        <row r="1360">
          <cell r="E1360" t="str">
            <v>S0033236</v>
          </cell>
          <cell r="F1360" t="str">
            <v>SPS MARINE TCE SOUTH FREMANTLE</v>
          </cell>
          <cell r="H1360" t="str">
            <v>Supply Authority</v>
          </cell>
          <cell r="I1360" t="str">
            <v>S0033242</v>
          </cell>
          <cell r="J1360" t="str">
            <v>Main SB</v>
          </cell>
          <cell r="K1360" t="str">
            <v>03074-41-5</v>
          </cell>
          <cell r="M1360">
            <v>500</v>
          </cell>
          <cell r="N1360">
            <v>11</v>
          </cell>
          <cell r="O1360">
            <v>415</v>
          </cell>
          <cell r="S1360" t="str">
            <v>XLPE</v>
          </cell>
          <cell r="T1360" t="str">
            <v>25mm2</v>
          </cell>
          <cell r="V1360" t="str">
            <v>Fuse</v>
          </cell>
          <cell r="W1360">
            <v>80</v>
          </cell>
          <cell r="X1360" t="str">
            <v>03074-40-6</v>
          </cell>
          <cell r="AF1360">
            <v>2000</v>
          </cell>
          <cell r="AH1360" t="str">
            <v>Dave Sutton</v>
          </cell>
          <cell r="AI1360" t="str">
            <v>WC</v>
          </cell>
          <cell r="AJ1360"/>
        </row>
        <row r="1361">
          <cell r="E1361" t="str">
            <v>S0029018</v>
          </cell>
          <cell r="F1361" t="str">
            <v>SPS WATERHALL RD SOUTH GUILDFORD</v>
          </cell>
          <cell r="I1361" t="str">
            <v>S2003570</v>
          </cell>
          <cell r="K1361" t="str">
            <v>DI22-41-5</v>
          </cell>
          <cell r="M1361"/>
          <cell r="AF1361">
            <v>1995</v>
          </cell>
          <cell r="AH1361" t="str">
            <v>Dave Sutton</v>
          </cell>
          <cell r="AI1361" t="str">
            <v>WC</v>
          </cell>
          <cell r="AJ1361"/>
        </row>
        <row r="1362">
          <cell r="E1362" t="str">
            <v>S0032851</v>
          </cell>
          <cell r="F1362" t="str">
            <v>SPS GLENBAWN DR SOUTH LAKE</v>
          </cell>
          <cell r="H1362" t="str">
            <v>SEC Supply</v>
          </cell>
          <cell r="I1362" t="str">
            <v>S0032857</v>
          </cell>
          <cell r="J1362" t="str">
            <v>SB1</v>
          </cell>
          <cell r="K1362" t="str">
            <v>18251-41-3</v>
          </cell>
          <cell r="M1362">
            <v>100</v>
          </cell>
          <cell r="N1362">
            <v>22</v>
          </cell>
          <cell r="O1362">
            <v>440</v>
          </cell>
          <cell r="V1362" t="str">
            <v>Fuse</v>
          </cell>
          <cell r="W1362">
            <v>200</v>
          </cell>
          <cell r="AF1362">
            <v>1983</v>
          </cell>
          <cell r="AH1362" t="str">
            <v>Dave Sutton</v>
          </cell>
          <cell r="AI1362" t="str">
            <v>WC</v>
          </cell>
          <cell r="AJ1362"/>
        </row>
        <row r="1363">
          <cell r="E1363" t="str">
            <v>S0032878</v>
          </cell>
          <cell r="F1363" t="str">
            <v>SPS VIRGILIA TCE SOUTH LAKE</v>
          </cell>
          <cell r="H1363" t="str">
            <v>SEC Supply</v>
          </cell>
          <cell r="I1363" t="str">
            <v>S0032882</v>
          </cell>
          <cell r="J1363" t="str">
            <v>Main SB</v>
          </cell>
          <cell r="K1363" t="str">
            <v>BK92-41-2</v>
          </cell>
          <cell r="M1363"/>
          <cell r="O1363">
            <v>415</v>
          </cell>
          <cell r="V1363" t="str">
            <v>Fuse</v>
          </cell>
          <cell r="W1363">
            <v>50</v>
          </cell>
          <cell r="AF1363">
            <v>1989</v>
          </cell>
          <cell r="AH1363" t="str">
            <v>Dave Sutton</v>
          </cell>
          <cell r="AI1363" t="str">
            <v>WC</v>
          </cell>
          <cell r="AJ1363"/>
        </row>
        <row r="1364">
          <cell r="E1364" t="str">
            <v>S0034137</v>
          </cell>
          <cell r="F1364" t="str">
            <v>SPS MILL POINT RD SOUTH PERTH</v>
          </cell>
          <cell r="I1364" t="str">
            <v>S0034143</v>
          </cell>
          <cell r="M1364"/>
          <cell r="AF1364">
            <v>1977</v>
          </cell>
          <cell r="AH1364" t="str">
            <v>Dave Sutton</v>
          </cell>
          <cell r="AI1364" t="str">
            <v>WC</v>
          </cell>
          <cell r="AJ1364"/>
        </row>
        <row r="1365">
          <cell r="E1365" t="str">
            <v>S0034001</v>
          </cell>
          <cell r="F1365" t="str">
            <v>SPS BOWMAN ST SOUTH PERTH</v>
          </cell>
          <cell r="I1365" t="str">
            <v>S0034007</v>
          </cell>
          <cell r="K1365" t="str">
            <v>06140-10-1</v>
          </cell>
          <cell r="M1365"/>
          <cell r="AF1365">
            <v>1939</v>
          </cell>
          <cell r="AH1365" t="str">
            <v>Dave Sutton</v>
          </cell>
          <cell r="AI1365" t="str">
            <v>WC</v>
          </cell>
          <cell r="AJ1365"/>
        </row>
        <row r="1366">
          <cell r="E1366" t="str">
            <v>S0034125</v>
          </cell>
          <cell r="F1366" t="str">
            <v>SPS MENDS ST SOUTH PERTH</v>
          </cell>
          <cell r="H1366" t="str">
            <v>SEC Supply</v>
          </cell>
          <cell r="I1366" t="str">
            <v>S0034129</v>
          </cell>
          <cell r="J1366" t="str">
            <v>SB1</v>
          </cell>
          <cell r="K1366" t="str">
            <v>07203-40-1</v>
          </cell>
          <cell r="M1366"/>
          <cell r="S1366" t="str">
            <v>PVC</v>
          </cell>
          <cell r="T1366" t="str">
            <v>3x1C 4mm2</v>
          </cell>
          <cell r="V1366" t="str">
            <v>MCB</v>
          </cell>
          <cell r="W1366">
            <v>80</v>
          </cell>
          <cell r="AF1366">
            <v>1983</v>
          </cell>
          <cell r="AH1366" t="str">
            <v>Dave Sutton</v>
          </cell>
          <cell r="AI1366" t="str">
            <v>WC</v>
          </cell>
          <cell r="AJ1366"/>
        </row>
        <row r="1367">
          <cell r="E1367" t="str">
            <v>S0034358</v>
          </cell>
          <cell r="F1367" t="str">
            <v>SPS PINETREE GULLY STH WILLETTON</v>
          </cell>
          <cell r="I1367" t="str">
            <v>S0034364</v>
          </cell>
          <cell r="K1367" t="str">
            <v>17018-10-15</v>
          </cell>
          <cell r="M1367"/>
          <cell r="AF1367">
            <v>1980</v>
          </cell>
          <cell r="AH1367" t="str">
            <v>Dave Sutton</v>
          </cell>
          <cell r="AI1367" t="str">
            <v>WC</v>
          </cell>
          <cell r="AJ1367"/>
        </row>
        <row r="1368">
          <cell r="E1368" t="str">
            <v>S0045039</v>
          </cell>
          <cell r="F1368" t="str">
            <v>SPS DELTA DR SOUTH YUNDERUP</v>
          </cell>
          <cell r="H1368" t="str">
            <v>Supply Authority</v>
          </cell>
          <cell r="I1368" t="str">
            <v>S8004233</v>
          </cell>
          <cell r="J1368" t="str">
            <v>Main SB</v>
          </cell>
          <cell r="K1368" t="str">
            <v>55812-41-5</v>
          </cell>
          <cell r="M1368"/>
          <cell r="O1368">
            <v>415</v>
          </cell>
          <cell r="S1368" t="str">
            <v>XLPE</v>
          </cell>
          <cell r="T1368" t="str">
            <v>16mm2</v>
          </cell>
          <cell r="V1368" t="str">
            <v>Fuse</v>
          </cell>
          <cell r="W1368">
            <v>60</v>
          </cell>
          <cell r="AF1368">
            <v>1984</v>
          </cell>
          <cell r="AH1368" t="str">
            <v>Dave Sutton</v>
          </cell>
          <cell r="AI1368" t="str">
            <v>WC</v>
          </cell>
          <cell r="AJ1368"/>
        </row>
        <row r="1369">
          <cell r="E1369" t="str">
            <v>S0045063</v>
          </cell>
          <cell r="F1369" t="str">
            <v>SPS SOUTH YUNDERUP RD SOUTH YUNDERUP</v>
          </cell>
          <cell r="H1369" t="str">
            <v>Supply Authority</v>
          </cell>
          <cell r="I1369" t="str">
            <v>S8004251</v>
          </cell>
          <cell r="J1369" t="str">
            <v>Main SB</v>
          </cell>
          <cell r="K1369" t="str">
            <v>EB42-42-5</v>
          </cell>
          <cell r="M1369"/>
          <cell r="O1369">
            <v>415</v>
          </cell>
          <cell r="S1369" t="str">
            <v>XLPE</v>
          </cell>
          <cell r="T1369" t="str">
            <v>25mm2</v>
          </cell>
          <cell r="V1369" t="str">
            <v>Fuse</v>
          </cell>
          <cell r="W1369">
            <v>100</v>
          </cell>
          <cell r="AF1369">
            <v>1984</v>
          </cell>
          <cell r="AH1369" t="str">
            <v>Dave Sutton</v>
          </cell>
          <cell r="AI1369" t="str">
            <v>WC</v>
          </cell>
          <cell r="AJ1369"/>
        </row>
        <row r="1370">
          <cell r="E1370" t="str">
            <v>S0045073</v>
          </cell>
          <cell r="F1370" t="str">
            <v>SPS TATHAM RD SOUTH YUNDERUP</v>
          </cell>
          <cell r="H1370" t="str">
            <v>Supply Authority</v>
          </cell>
          <cell r="I1370" t="str">
            <v>S8004263</v>
          </cell>
          <cell r="J1370" t="str">
            <v>Main SB</v>
          </cell>
          <cell r="K1370" t="str">
            <v>56013-41-4</v>
          </cell>
          <cell r="M1370"/>
          <cell r="AF1370">
            <v>1984</v>
          </cell>
          <cell r="AH1370" t="str">
            <v>Dave Sutton</v>
          </cell>
          <cell r="AI1370" t="str">
            <v>WC</v>
          </cell>
          <cell r="AJ1370"/>
        </row>
        <row r="1371">
          <cell r="E1371" t="str">
            <v>S0045055</v>
          </cell>
          <cell r="F1371" t="str">
            <v>SPS MOYUP WY SOUTH YUNDERUP</v>
          </cell>
          <cell r="I1371" t="str">
            <v>S8004224</v>
          </cell>
          <cell r="J1371" t="str">
            <v>Main SB</v>
          </cell>
          <cell r="K1371" t="str">
            <v>BA01-41-4</v>
          </cell>
          <cell r="M1371"/>
          <cell r="O1371">
            <v>415</v>
          </cell>
          <cell r="S1371" t="str">
            <v>EPR/EPR</v>
          </cell>
          <cell r="T1371" t="str">
            <v>16mm2</v>
          </cell>
          <cell r="AF1371">
            <v>1985</v>
          </cell>
          <cell r="AH1371" t="str">
            <v>Dave Sutton</v>
          </cell>
          <cell r="AI1371" t="str">
            <v>WC</v>
          </cell>
          <cell r="AJ1371"/>
        </row>
        <row r="1372">
          <cell r="E1372" t="str">
            <v>S0045068</v>
          </cell>
          <cell r="F1372" t="str">
            <v>SPS SUNLAND AV SOUTH YUNDERUP</v>
          </cell>
          <cell r="H1372" t="str">
            <v>Supply Authority</v>
          </cell>
          <cell r="I1372" t="str">
            <v>S8004273</v>
          </cell>
          <cell r="J1372" t="str">
            <v>Main SB</v>
          </cell>
          <cell r="K1372" t="str">
            <v>55898-6-1</v>
          </cell>
          <cell r="M1372"/>
          <cell r="O1372">
            <v>440</v>
          </cell>
          <cell r="V1372" t="str">
            <v>Fuse</v>
          </cell>
          <cell r="W1372">
            <v>25</v>
          </cell>
          <cell r="AF1372">
            <v>1985</v>
          </cell>
          <cell r="AH1372" t="str">
            <v>Dave Sutton</v>
          </cell>
          <cell r="AI1372" t="str">
            <v>WC</v>
          </cell>
          <cell r="AJ1372"/>
        </row>
        <row r="1373">
          <cell r="E1373" t="str">
            <v>S0045078</v>
          </cell>
          <cell r="F1373" t="str">
            <v>SPS WELLYA CR SOUTH YUNDERUP</v>
          </cell>
          <cell r="I1373" t="str">
            <v>S8004284</v>
          </cell>
          <cell r="J1373" t="str">
            <v>Main SB</v>
          </cell>
          <cell r="K1373" t="str">
            <v>BA03-41-4</v>
          </cell>
          <cell r="M1373"/>
          <cell r="O1373">
            <v>415</v>
          </cell>
          <cell r="V1373" t="str">
            <v>Fuse</v>
          </cell>
          <cell r="W1373">
            <v>25</v>
          </cell>
          <cell r="AF1373">
            <v>1986</v>
          </cell>
          <cell r="AH1373" t="str">
            <v>Dave Sutton</v>
          </cell>
          <cell r="AI1373" t="str">
            <v>WC</v>
          </cell>
          <cell r="AJ1373"/>
        </row>
        <row r="1374">
          <cell r="E1374" t="str">
            <v>S0045082</v>
          </cell>
          <cell r="F1374" t="str">
            <v>VPS YUNDERUP RD SOUTH YUNDERUP</v>
          </cell>
          <cell r="H1374" t="str">
            <v>Supply Authority</v>
          </cell>
          <cell r="I1374" t="str">
            <v>S8007202</v>
          </cell>
          <cell r="J1374" t="str">
            <v>Main SB</v>
          </cell>
          <cell r="K1374" t="str">
            <v>EC58-41-5</v>
          </cell>
          <cell r="M1374">
            <v>200</v>
          </cell>
          <cell r="O1374">
            <v>415</v>
          </cell>
          <cell r="S1374" t="str">
            <v>XLPE</v>
          </cell>
          <cell r="T1374" t="str">
            <v>1x4C 16mm2</v>
          </cell>
          <cell r="V1374" t="str">
            <v>MCB</v>
          </cell>
          <cell r="W1374">
            <v>100</v>
          </cell>
          <cell r="AF1374">
            <v>1997</v>
          </cell>
          <cell r="AH1374" t="str">
            <v>Dave Sutton</v>
          </cell>
          <cell r="AI1374" t="str">
            <v>WC</v>
          </cell>
          <cell r="AJ1374" t="str">
            <v>Genset onsite (40kVA)</v>
          </cell>
        </row>
        <row r="1375">
          <cell r="E1375" t="str">
            <v>S0045059</v>
          </cell>
          <cell r="F1375" t="str">
            <v>SPS MURRAY WATERS BVD SOUTH YUNDERUP</v>
          </cell>
          <cell r="H1375" t="str">
            <v>Supply Authority</v>
          </cell>
          <cell r="I1375" t="str">
            <v>S8004242</v>
          </cell>
          <cell r="J1375" t="str">
            <v>Main SB</v>
          </cell>
          <cell r="K1375" t="str">
            <v>EL62-41-5</v>
          </cell>
          <cell r="M1375">
            <v>200</v>
          </cell>
          <cell r="O1375">
            <v>415</v>
          </cell>
          <cell r="S1375" t="str">
            <v>PVC</v>
          </cell>
          <cell r="T1375" t="str">
            <v>16mm2</v>
          </cell>
          <cell r="V1375" t="str">
            <v>MCB</v>
          </cell>
          <cell r="W1375">
            <v>32</v>
          </cell>
          <cell r="AF1375">
            <v>1998</v>
          </cell>
          <cell r="AH1375" t="str">
            <v>Dave Sutton</v>
          </cell>
          <cell r="AI1375" t="str">
            <v>WC</v>
          </cell>
          <cell r="AJ1375"/>
        </row>
        <row r="1376">
          <cell r="E1376" t="str">
            <v>S8013253</v>
          </cell>
          <cell r="F1376" t="str">
            <v>SPS KEEGAN CNR SOUTH YUNDERUP</v>
          </cell>
          <cell r="H1376" t="str">
            <v>Supply Authority</v>
          </cell>
          <cell r="I1376" t="str">
            <v>S8013336</v>
          </cell>
          <cell r="J1376" t="str">
            <v>Main SB</v>
          </cell>
          <cell r="K1376" t="str">
            <v>JZ66-41-5</v>
          </cell>
          <cell r="M1376"/>
          <cell r="N1376">
            <v>22</v>
          </cell>
          <cell r="O1376">
            <v>415</v>
          </cell>
          <cell r="S1376" t="str">
            <v>PVC/PVC</v>
          </cell>
          <cell r="T1376" t="str">
            <v>25mm2</v>
          </cell>
          <cell r="V1376" t="str">
            <v>Fuse</v>
          </cell>
          <cell r="W1376">
            <v>100</v>
          </cell>
          <cell r="X1376" t="str">
            <v>JZ66-40-2</v>
          </cell>
          <cell r="AF1376">
            <v>2011</v>
          </cell>
          <cell r="AH1376" t="str">
            <v>Dave Sutton</v>
          </cell>
          <cell r="AI1376" t="str">
            <v>WC</v>
          </cell>
          <cell r="AJ1376"/>
        </row>
        <row r="1377">
          <cell r="E1377" t="str">
            <v>S2014682</v>
          </cell>
          <cell r="F1377" t="str">
            <v>SPS MILLSTREAM DR SOUTHERN RIVER</v>
          </cell>
          <cell r="H1377" t="str">
            <v>Supply Authority</v>
          </cell>
          <cell r="I1377" t="str">
            <v>S2019029</v>
          </cell>
          <cell r="J1377" t="str">
            <v>Main SB</v>
          </cell>
          <cell r="K1377" t="str">
            <v>GN39-41-5</v>
          </cell>
          <cell r="M1377">
            <v>200</v>
          </cell>
          <cell r="N1377">
            <v>22</v>
          </cell>
          <cell r="O1377">
            <v>415</v>
          </cell>
          <cell r="S1377" t="str">
            <v>XLPE</v>
          </cell>
          <cell r="T1377" t="str">
            <v>16mm2</v>
          </cell>
          <cell r="V1377" t="str">
            <v>Fuse</v>
          </cell>
          <cell r="W1377">
            <v>60</v>
          </cell>
          <cell r="X1377" t="str">
            <v>GN39-40-2</v>
          </cell>
          <cell r="AF1377">
            <v>2006</v>
          </cell>
          <cell r="AH1377" t="str">
            <v>Dave Sutton</v>
          </cell>
          <cell r="AI1377" t="str">
            <v>WC</v>
          </cell>
          <cell r="AJ1377"/>
        </row>
        <row r="1378">
          <cell r="E1378" t="str">
            <v>S2023151</v>
          </cell>
          <cell r="F1378" t="str">
            <v>SPS BALFOUR ST SOUTHERN RIVER</v>
          </cell>
          <cell r="I1378" t="str">
            <v>S2023356</v>
          </cell>
          <cell r="K1378" t="str">
            <v>JS27-41-5</v>
          </cell>
          <cell r="M1378"/>
          <cell r="AF1378">
            <v>2009</v>
          </cell>
          <cell r="AH1378" t="str">
            <v>Dave Sutton</v>
          </cell>
          <cell r="AI1378" t="str">
            <v>WC</v>
          </cell>
          <cell r="AJ1378"/>
        </row>
        <row r="1379">
          <cell r="E1379" t="str">
            <v>S2023420</v>
          </cell>
          <cell r="F1379" t="str">
            <v>SPS BARNEVELDER BEND SOUTHERN RIVER</v>
          </cell>
          <cell r="H1379" t="str">
            <v>Supply Authority</v>
          </cell>
          <cell r="I1379" t="str">
            <v>S2037135</v>
          </cell>
          <cell r="J1379" t="str">
            <v>Main SB</v>
          </cell>
          <cell r="K1379" t="str">
            <v>KC36-42-5</v>
          </cell>
          <cell r="M1379"/>
          <cell r="N1379">
            <v>22</v>
          </cell>
          <cell r="O1379">
            <v>415</v>
          </cell>
          <cell r="S1379" t="str">
            <v>XLPE/PVC</v>
          </cell>
          <cell r="T1379" t="str">
            <v>25mm2</v>
          </cell>
          <cell r="V1379" t="str">
            <v>Fuse</v>
          </cell>
          <cell r="W1379">
            <v>100</v>
          </cell>
          <cell r="X1379" t="str">
            <v>KC36-40-2</v>
          </cell>
          <cell r="AF1379">
            <v>2012</v>
          </cell>
          <cell r="AH1379" t="str">
            <v>Dave Sutton</v>
          </cell>
          <cell r="AI1379" t="str">
            <v>WC</v>
          </cell>
          <cell r="AJ1379"/>
        </row>
        <row r="1380">
          <cell r="E1380" t="str">
            <v>S2019021</v>
          </cell>
          <cell r="F1380" t="str">
            <v>SPS BALFOUR ST SOUTHERN RIVER</v>
          </cell>
          <cell r="H1380" t="str">
            <v>Supply Authority</v>
          </cell>
          <cell r="I1380" t="str">
            <v>S2039303</v>
          </cell>
          <cell r="J1380" t="str">
            <v>Main SB</v>
          </cell>
          <cell r="K1380" t="str">
            <v>IG94-46-5</v>
          </cell>
          <cell r="M1380"/>
          <cell r="S1380" t="str">
            <v>XLPE/PVE</v>
          </cell>
          <cell r="T1380" t="str">
            <v>25mm2</v>
          </cell>
          <cell r="V1380" t="str">
            <v>Fuse</v>
          </cell>
          <cell r="W1380">
            <v>100</v>
          </cell>
          <cell r="AF1380">
            <v>2014</v>
          </cell>
          <cell r="AH1380" t="str">
            <v>Dave Sutton</v>
          </cell>
          <cell r="AI1380" t="str">
            <v>WC</v>
          </cell>
          <cell r="AJ1380"/>
        </row>
        <row r="1381">
          <cell r="E1381" t="str">
            <v>S0033324</v>
          </cell>
          <cell r="F1381" t="str">
            <v>SPS SHALLOW ST SPEARWOOD</v>
          </cell>
          <cell r="I1381" t="str">
            <v>S0033330</v>
          </cell>
          <cell r="J1381" t="str">
            <v>Main SB</v>
          </cell>
          <cell r="K1381" t="str">
            <v>12349-10-1</v>
          </cell>
          <cell r="M1381"/>
          <cell r="AF1381">
            <v>1974</v>
          </cell>
          <cell r="AH1381" t="str">
            <v>Dave Sutton</v>
          </cell>
          <cell r="AI1381" t="str">
            <v>WC</v>
          </cell>
          <cell r="AJ1381"/>
        </row>
        <row r="1382">
          <cell r="E1382" t="str">
            <v>S0033293</v>
          </cell>
          <cell r="F1382" t="str">
            <v>SPS NEWTON ST SPEARWOOD</v>
          </cell>
          <cell r="I1382" t="str">
            <v>S0033299</v>
          </cell>
          <cell r="K1382" t="str">
            <v xml:space="preserve">16329-40- </v>
          </cell>
          <cell r="M1382"/>
          <cell r="AF1382">
            <v>1980</v>
          </cell>
          <cell r="AH1382" t="str">
            <v>Dave Sutton</v>
          </cell>
          <cell r="AI1382" t="str">
            <v>WC</v>
          </cell>
          <cell r="AJ1382"/>
        </row>
        <row r="1383">
          <cell r="E1383" t="str">
            <v>S0033336</v>
          </cell>
          <cell r="F1383" t="str">
            <v>SPS TROODE ST SPEARWOOD</v>
          </cell>
          <cell r="I1383" t="str">
            <v>S0033340</v>
          </cell>
          <cell r="J1383" t="str">
            <v>Main SB</v>
          </cell>
          <cell r="K1383" t="str">
            <v>AU03-41-4</v>
          </cell>
          <cell r="M1383"/>
          <cell r="O1383">
            <v>440</v>
          </cell>
          <cell r="V1383" t="str">
            <v>MCB</v>
          </cell>
          <cell r="W1383">
            <v>100</v>
          </cell>
          <cell r="AF1383">
            <v>1986</v>
          </cell>
          <cell r="AH1383" t="str">
            <v>Dave Sutton</v>
          </cell>
          <cell r="AI1383" t="str">
            <v>WC</v>
          </cell>
          <cell r="AJ1383"/>
        </row>
        <row r="1384">
          <cell r="E1384" t="str">
            <v>S2019242</v>
          </cell>
          <cell r="F1384" t="str">
            <v>SPS EDELINE ST SPEARWOOD</v>
          </cell>
          <cell r="H1384" t="str">
            <v>Supply Authority</v>
          </cell>
          <cell r="I1384" t="str">
            <v>S2023268</v>
          </cell>
          <cell r="J1384" t="str">
            <v>Main SB</v>
          </cell>
          <cell r="K1384" t="str">
            <v>IW69-41-5</v>
          </cell>
          <cell r="M1384"/>
          <cell r="O1384">
            <v>415</v>
          </cell>
          <cell r="S1384" t="str">
            <v>XLPE</v>
          </cell>
          <cell r="T1384" t="str">
            <v>16mm2</v>
          </cell>
          <cell r="V1384" t="str">
            <v>Fuse</v>
          </cell>
          <cell r="W1384">
            <v>60</v>
          </cell>
          <cell r="X1384" t="str">
            <v>IW69-40-3</v>
          </cell>
          <cell r="AF1384">
            <v>2009</v>
          </cell>
          <cell r="AH1384" t="str">
            <v>Dave Sutton</v>
          </cell>
          <cell r="AI1384" t="str">
            <v>WC</v>
          </cell>
          <cell r="AJ1384"/>
        </row>
        <row r="1385">
          <cell r="E1385" t="str">
            <v>S0028509</v>
          </cell>
          <cell r="F1385" t="str">
            <v>SPS KARRINYUP RD STIRLING</v>
          </cell>
          <cell r="H1385" t="str">
            <v>SEC Supply</v>
          </cell>
          <cell r="I1385" t="str">
            <v>S0028513</v>
          </cell>
          <cell r="J1385" t="str">
            <v>SB1</v>
          </cell>
          <cell r="K1385" t="str">
            <v>17780-40-1</v>
          </cell>
          <cell r="M1385"/>
          <cell r="S1385" t="str">
            <v>PVC</v>
          </cell>
          <cell r="T1385" t="str">
            <v>3x1C 6mm2</v>
          </cell>
          <cell r="V1385" t="str">
            <v>MCB</v>
          </cell>
          <cell r="W1385">
            <v>80</v>
          </cell>
          <cell r="AF1385">
            <v>1971</v>
          </cell>
          <cell r="AH1385" t="str">
            <v>Dave Sutton</v>
          </cell>
          <cell r="AI1385" t="str">
            <v>WC</v>
          </cell>
          <cell r="AJ1385"/>
        </row>
        <row r="1386">
          <cell r="E1386" t="str">
            <v>S0028489</v>
          </cell>
          <cell r="F1386" t="str">
            <v>SPS IBIS ST STIRLING</v>
          </cell>
          <cell r="I1386" t="str">
            <v>S0028495</v>
          </cell>
          <cell r="K1386" t="str">
            <v>14164-40-2</v>
          </cell>
          <cell r="M1386"/>
          <cell r="AF1386">
            <v>1977</v>
          </cell>
          <cell r="AH1386" t="str">
            <v>Dave Sutton</v>
          </cell>
          <cell r="AI1386" t="str">
            <v>WC</v>
          </cell>
          <cell r="AJ1386"/>
        </row>
        <row r="1387">
          <cell r="E1387" t="str">
            <v>S2003451</v>
          </cell>
          <cell r="F1387" t="str">
            <v>SPS CANDELLA SQ STIRLING</v>
          </cell>
          <cell r="H1387" t="str">
            <v>Supply Authority</v>
          </cell>
          <cell r="I1387" t="str">
            <v>S2003455</v>
          </cell>
          <cell r="J1387" t="str">
            <v>Main SB</v>
          </cell>
          <cell r="K1387" t="str">
            <v>FT65-41-5</v>
          </cell>
          <cell r="M1387"/>
          <cell r="O1387">
            <v>415</v>
          </cell>
          <cell r="S1387" t="str">
            <v>XLPE/PVC</v>
          </cell>
          <cell r="T1387" t="str">
            <v>3x1C 95mm2</v>
          </cell>
          <cell r="V1387" t="str">
            <v>MCB</v>
          </cell>
          <cell r="W1387">
            <v>630</v>
          </cell>
          <cell r="AF1387">
            <v>2001</v>
          </cell>
          <cell r="AH1387" t="str">
            <v>Dave Sutton</v>
          </cell>
          <cell r="AI1387" t="str">
            <v>WC</v>
          </cell>
          <cell r="AJ1387"/>
        </row>
        <row r="1388">
          <cell r="E1388" t="str">
            <v>S0028296</v>
          </cell>
          <cell r="F1388" t="str">
            <v>SPS CIVIC PL STIRLING</v>
          </cell>
          <cell r="H1388" t="str">
            <v>SEC Supply</v>
          </cell>
          <cell r="I1388" t="str">
            <v>S2003518</v>
          </cell>
          <cell r="J1388" t="str">
            <v>Main SB</v>
          </cell>
          <cell r="K1388" t="str">
            <v>DC21-41-5</v>
          </cell>
          <cell r="M1388"/>
          <cell r="O1388">
            <v>415</v>
          </cell>
          <cell r="S1388" t="str">
            <v>PVC/PVC</v>
          </cell>
          <cell r="T1388" t="str">
            <v>16mm2</v>
          </cell>
          <cell r="V1388" t="str">
            <v>MCB</v>
          </cell>
          <cell r="W1388">
            <v>32</v>
          </cell>
          <cell r="AF1388">
            <v>1995</v>
          </cell>
          <cell r="AH1388" t="str">
            <v>Dave Sutton</v>
          </cell>
          <cell r="AI1388" t="str">
            <v>WC</v>
          </cell>
          <cell r="AJ1388"/>
        </row>
        <row r="1389">
          <cell r="E1389" t="str">
            <v>S0032603</v>
          </cell>
          <cell r="F1389" t="str">
            <v>SPS ALLEN PARK SWANBOURNE</v>
          </cell>
          <cell r="H1389" t="str">
            <v>SEC Supply</v>
          </cell>
          <cell r="I1389" t="str">
            <v>S0032607</v>
          </cell>
          <cell r="K1389" t="str">
            <v>07197-40-2</v>
          </cell>
          <cell r="M1389"/>
          <cell r="AF1389">
            <v>1980</v>
          </cell>
          <cell r="AH1389" t="str">
            <v>Dave Sutton</v>
          </cell>
          <cell r="AI1389" t="str">
            <v>WC</v>
          </cell>
          <cell r="AJ1389"/>
        </row>
        <row r="1390">
          <cell r="E1390" t="str">
            <v>S0032618</v>
          </cell>
          <cell r="F1390" t="str">
            <v>SPS DUNE CT SWANBOURNE</v>
          </cell>
          <cell r="H1390" t="str">
            <v>Supply Authority</v>
          </cell>
          <cell r="I1390" t="str">
            <v>S2003535</v>
          </cell>
          <cell r="J1390" t="str">
            <v>Main SB</v>
          </cell>
          <cell r="K1390" t="str">
            <v>DO93-41-5</v>
          </cell>
          <cell r="M1390"/>
          <cell r="O1390">
            <v>415</v>
          </cell>
          <cell r="S1390" t="str">
            <v>PVC</v>
          </cell>
          <cell r="T1390" t="str">
            <v>10mm2</v>
          </cell>
          <cell r="V1390" t="str">
            <v>MCB</v>
          </cell>
          <cell r="W1390">
            <v>32</v>
          </cell>
          <cell r="AF1390">
            <v>1996</v>
          </cell>
          <cell r="AH1390" t="str">
            <v>Dave Sutton</v>
          </cell>
          <cell r="AI1390" t="str">
            <v>WC</v>
          </cell>
          <cell r="AJ1390"/>
        </row>
        <row r="1391">
          <cell r="E1391" t="str">
            <v>S2016971</v>
          </cell>
          <cell r="F1391" t="str">
            <v>SPS REDWOOD DR TAPPING</v>
          </cell>
          <cell r="H1391" t="str">
            <v>Supply Authority</v>
          </cell>
          <cell r="I1391" t="str">
            <v>S2017317</v>
          </cell>
          <cell r="J1391" t="str">
            <v>Main SB</v>
          </cell>
          <cell r="K1391" t="str">
            <v>GZ07-41-5</v>
          </cell>
          <cell r="M1391">
            <v>200</v>
          </cell>
          <cell r="N1391">
            <v>22</v>
          </cell>
          <cell r="O1391">
            <v>415</v>
          </cell>
          <cell r="S1391" t="str">
            <v>PVC</v>
          </cell>
          <cell r="T1391" t="str">
            <v>16mm2</v>
          </cell>
          <cell r="V1391" t="str">
            <v>Fuse</v>
          </cell>
          <cell r="W1391">
            <v>60</v>
          </cell>
          <cell r="X1391" t="str">
            <v>GZ07-40-2</v>
          </cell>
          <cell r="AF1391">
            <v>2004</v>
          </cell>
          <cell r="AH1391" t="str">
            <v>Dave Sutton</v>
          </cell>
          <cell r="AI1391" t="str">
            <v>WC</v>
          </cell>
          <cell r="AJ1391"/>
        </row>
        <row r="1392">
          <cell r="E1392" t="str">
            <v>S2017022</v>
          </cell>
          <cell r="F1392" t="str">
            <v>SPS PINJAR RD TAPPING</v>
          </cell>
          <cell r="H1392" t="str">
            <v>Supply Authority</v>
          </cell>
          <cell r="I1392" t="str">
            <v>S2019208</v>
          </cell>
          <cell r="J1392" t="str">
            <v>Main SB</v>
          </cell>
          <cell r="K1392" t="str">
            <v>HC98-41-5</v>
          </cell>
          <cell r="M1392">
            <v>315</v>
          </cell>
          <cell r="N1392">
            <v>22</v>
          </cell>
          <cell r="O1392">
            <v>415</v>
          </cell>
          <cell r="S1392" t="str">
            <v>XLPE/PVC</v>
          </cell>
          <cell r="T1392" t="str">
            <v>25mm2</v>
          </cell>
          <cell r="V1392" t="str">
            <v>Fuse</v>
          </cell>
          <cell r="W1392">
            <v>100</v>
          </cell>
          <cell r="X1392" t="str">
            <v>HC98-40-2</v>
          </cell>
          <cell r="AF1392">
            <v>2006</v>
          </cell>
          <cell r="AH1392" t="str">
            <v>Dave Sutton</v>
          </cell>
          <cell r="AI1392" t="str">
            <v>WC</v>
          </cell>
          <cell r="AJ1392"/>
        </row>
        <row r="1393">
          <cell r="E1393" t="str">
            <v>W2000095</v>
          </cell>
          <cell r="F1393" t="str">
            <v>WPS BORDEAUX LA THE VINES</v>
          </cell>
          <cell r="I1393" t="str">
            <v>W2000100</v>
          </cell>
          <cell r="K1393" t="str">
            <v>BM52-41-4</v>
          </cell>
          <cell r="M1393"/>
          <cell r="O1393">
            <v>415</v>
          </cell>
          <cell r="AF1393">
            <v>1989</v>
          </cell>
          <cell r="AH1393" t="str">
            <v>Dave Sutton</v>
          </cell>
          <cell r="AI1393" t="str">
            <v>WC</v>
          </cell>
          <cell r="AJ1393"/>
        </row>
        <row r="1394">
          <cell r="E1394" t="str">
            <v>S2001427</v>
          </cell>
          <cell r="F1394" t="str">
            <v>SPS HERMITAGE DR THE VINES</v>
          </cell>
          <cell r="H1394" t="str">
            <v>SEC Supply</v>
          </cell>
          <cell r="I1394" t="str">
            <v>S2003463</v>
          </cell>
          <cell r="J1394" t="str">
            <v>Main SB</v>
          </cell>
          <cell r="K1394" t="str">
            <v>CZ02-40-1</v>
          </cell>
          <cell r="M1394"/>
          <cell r="O1394">
            <v>415</v>
          </cell>
          <cell r="V1394" t="str">
            <v>Fuse</v>
          </cell>
          <cell r="W1394">
            <v>80</v>
          </cell>
          <cell r="AF1394">
            <v>1999</v>
          </cell>
          <cell r="AH1394" t="str">
            <v>Dave Sutton</v>
          </cell>
          <cell r="AI1394" t="str">
            <v>WC</v>
          </cell>
          <cell r="AJ1394"/>
        </row>
        <row r="1395">
          <cell r="E1395" t="str">
            <v>S2003188</v>
          </cell>
          <cell r="F1395" t="str">
            <v>SPS BORDEAUX LANE THE VINES</v>
          </cell>
          <cell r="H1395" t="str">
            <v>Supply Authority</v>
          </cell>
          <cell r="I1395" t="str">
            <v>S2003192</v>
          </cell>
          <cell r="J1395" t="str">
            <v>Main SB</v>
          </cell>
          <cell r="K1395" t="str">
            <v>FH38-41-5</v>
          </cell>
          <cell r="M1395">
            <v>200</v>
          </cell>
          <cell r="O1395">
            <v>415</v>
          </cell>
          <cell r="S1395" t="str">
            <v>PYROLEX</v>
          </cell>
          <cell r="T1395" t="str">
            <v>25mm2</v>
          </cell>
          <cell r="V1395" t="str">
            <v>MCB</v>
          </cell>
          <cell r="W1395">
            <v>160</v>
          </cell>
          <cell r="AF1395">
            <v>2000</v>
          </cell>
          <cell r="AH1395" t="str">
            <v>Dave Sutton</v>
          </cell>
          <cell r="AI1395" t="str">
            <v>WC</v>
          </cell>
          <cell r="AJ1395"/>
        </row>
        <row r="1396">
          <cell r="E1396" t="str">
            <v>S2019014</v>
          </cell>
          <cell r="F1396" t="str">
            <v>SPS ROXBURGHE DR THE VINES</v>
          </cell>
          <cell r="H1396" t="str">
            <v>Supply Authority</v>
          </cell>
          <cell r="I1396" t="str">
            <v>S2019427</v>
          </cell>
          <cell r="J1396" t="str">
            <v>Main SB</v>
          </cell>
          <cell r="K1396" t="str">
            <v>HN79-41-5</v>
          </cell>
          <cell r="M1396"/>
          <cell r="O1396">
            <v>415</v>
          </cell>
          <cell r="S1396" t="str">
            <v>XLPE/PVC</v>
          </cell>
          <cell r="T1396" t="str">
            <v>3x1C 25mm2</v>
          </cell>
          <cell r="V1396" t="str">
            <v>Fuse</v>
          </cell>
          <cell r="W1396">
            <v>80</v>
          </cell>
          <cell r="AF1396">
            <v>2007</v>
          </cell>
          <cell r="AH1396" t="str">
            <v>Dave Sutton</v>
          </cell>
          <cell r="AI1396" t="str">
            <v>WC</v>
          </cell>
          <cell r="AJ1396"/>
        </row>
        <row r="1397">
          <cell r="E1397" t="str">
            <v>S2001428</v>
          </cell>
          <cell r="F1397" t="str">
            <v>SPS CHENIN LANE THE VINES</v>
          </cell>
          <cell r="I1397" t="str">
            <v>S2003459</v>
          </cell>
          <cell r="J1397" t="str">
            <v>Main SB</v>
          </cell>
          <cell r="K1397" t="str">
            <v>FP19-41-1</v>
          </cell>
          <cell r="M1397"/>
          <cell r="AF1397">
            <v>1999</v>
          </cell>
          <cell r="AH1397" t="str">
            <v>Dave Sutton</v>
          </cell>
          <cell r="AI1397" t="str">
            <v>WC</v>
          </cell>
          <cell r="AJ1397"/>
        </row>
        <row r="1398">
          <cell r="E1398" t="str">
            <v>S2001429</v>
          </cell>
          <cell r="F1398" t="str">
            <v>SPS TAITTINGER GR THE VINES</v>
          </cell>
          <cell r="I1398" t="str">
            <v>S2003471</v>
          </cell>
          <cell r="K1398" t="str">
            <v xml:space="preserve">FP20- - </v>
          </cell>
          <cell r="M1398"/>
          <cell r="AF1398">
            <v>1999</v>
          </cell>
          <cell r="AH1398" t="str">
            <v>Dave Sutton</v>
          </cell>
          <cell r="AI1398" t="str">
            <v>WC</v>
          </cell>
          <cell r="AJ1398"/>
        </row>
        <row r="1399">
          <cell r="E1399" t="str">
            <v>S0033395</v>
          </cell>
          <cell r="F1399" t="str">
            <v>SPS CONNEMARA DR THORNLIE</v>
          </cell>
          <cell r="I1399" t="str">
            <v>S0033401</v>
          </cell>
          <cell r="J1399" t="str">
            <v>Main SB</v>
          </cell>
          <cell r="K1399" t="str">
            <v>10765-0-212</v>
          </cell>
          <cell r="M1399"/>
          <cell r="AF1399">
            <v>1973</v>
          </cell>
          <cell r="AH1399" t="str">
            <v>Dave Sutton</v>
          </cell>
          <cell r="AI1399" t="str">
            <v>WC</v>
          </cell>
          <cell r="AJ1399"/>
        </row>
        <row r="1400">
          <cell r="E1400" t="str">
            <v>S0033455</v>
          </cell>
          <cell r="F1400" t="str">
            <v>SPS LYREBIRD WY THORNLIE</v>
          </cell>
          <cell r="I1400" t="str">
            <v>S0033461</v>
          </cell>
          <cell r="K1400" t="str">
            <v>11780-40-1</v>
          </cell>
          <cell r="M1400"/>
          <cell r="AF1400">
            <v>1973</v>
          </cell>
          <cell r="AH1400" t="str">
            <v>Dave Sutton</v>
          </cell>
          <cell r="AI1400" t="str">
            <v>WC</v>
          </cell>
          <cell r="AJ1400"/>
        </row>
        <row r="1401">
          <cell r="E1401" t="str">
            <v>S0033436</v>
          </cell>
          <cell r="F1401" t="str">
            <v>SPS HUME RD THORNLIE</v>
          </cell>
          <cell r="I1401" t="str">
            <v>S0033442</v>
          </cell>
          <cell r="K1401" t="str">
            <v>13242-40-2</v>
          </cell>
          <cell r="M1401"/>
          <cell r="AF1401">
            <v>1974</v>
          </cell>
          <cell r="AH1401" t="str">
            <v>Dave Sutton</v>
          </cell>
          <cell r="AI1401" t="str">
            <v>WC</v>
          </cell>
          <cell r="AJ1401"/>
        </row>
        <row r="1402">
          <cell r="E1402" t="str">
            <v>S0033494</v>
          </cell>
          <cell r="F1402" t="str">
            <v>SPS STOREY RD THORNLIE</v>
          </cell>
          <cell r="H1402" t="str">
            <v>SEC Supply</v>
          </cell>
          <cell r="I1402" t="str">
            <v>S0033500</v>
          </cell>
          <cell r="K1402" t="str">
            <v>12287-40-1</v>
          </cell>
          <cell r="M1402"/>
          <cell r="V1402" t="str">
            <v>Fuse</v>
          </cell>
          <cell r="AF1402">
            <v>1976</v>
          </cell>
          <cell r="AH1402" t="str">
            <v>Dave Sutton</v>
          </cell>
          <cell r="AI1402" t="str">
            <v>WC</v>
          </cell>
          <cell r="AJ1402"/>
        </row>
        <row r="1403">
          <cell r="E1403" t="str">
            <v>S0034459</v>
          </cell>
          <cell r="F1403" t="str">
            <v>SPS WILFRED RD THORNLIE</v>
          </cell>
          <cell r="H1403" t="str">
            <v>SEC Supply</v>
          </cell>
          <cell r="I1403" t="str">
            <v>S0034463</v>
          </cell>
          <cell r="J1403" t="str">
            <v>Main SB</v>
          </cell>
          <cell r="K1403" t="str">
            <v>15870-40-6</v>
          </cell>
          <cell r="M1403"/>
          <cell r="S1403" t="str">
            <v>PVC</v>
          </cell>
          <cell r="T1403" t="str">
            <v>4x1C 4mm2</v>
          </cell>
          <cell r="V1403" t="str">
            <v>MCB</v>
          </cell>
          <cell r="W1403">
            <v>55</v>
          </cell>
          <cell r="AF1403">
            <v>1979</v>
          </cell>
          <cell r="AH1403" t="str">
            <v>Dave Sutton</v>
          </cell>
          <cell r="AI1403" t="str">
            <v>WC</v>
          </cell>
          <cell r="AJ1403"/>
        </row>
        <row r="1404">
          <cell r="E1404" t="str">
            <v>S0033407</v>
          </cell>
          <cell r="F1404" t="str">
            <v>SPS CULLIGAN RD THORNLIE</v>
          </cell>
          <cell r="I1404" t="str">
            <v>S0033411</v>
          </cell>
          <cell r="J1404" t="str">
            <v>SB1</v>
          </cell>
          <cell r="K1404" t="str">
            <v>10854-40-2</v>
          </cell>
          <cell r="M1404"/>
          <cell r="S1404" t="str">
            <v>PVC</v>
          </cell>
          <cell r="T1404" t="str">
            <v>3x1C 6mm2</v>
          </cell>
          <cell r="AF1404">
            <v>1980</v>
          </cell>
          <cell r="AH1404" t="str">
            <v>Dave Sutton</v>
          </cell>
          <cell r="AI1404" t="str">
            <v>WC</v>
          </cell>
          <cell r="AJ1404"/>
        </row>
        <row r="1405">
          <cell r="E1405" t="str">
            <v>S0033373</v>
          </cell>
          <cell r="F1405" t="str">
            <v>SPS ARGYLE CT THORNLIE</v>
          </cell>
          <cell r="H1405" t="str">
            <v>SEC Supply</v>
          </cell>
          <cell r="I1405" t="str">
            <v>S0033377</v>
          </cell>
          <cell r="J1405" t="str">
            <v>SB1</v>
          </cell>
          <cell r="K1405" t="str">
            <v>19213-40-1</v>
          </cell>
          <cell r="M1405"/>
          <cell r="S1405" t="str">
            <v>PVC</v>
          </cell>
          <cell r="T1405" t="str">
            <v>3x1C 6mm2</v>
          </cell>
          <cell r="V1405" t="str">
            <v>MCB</v>
          </cell>
          <cell r="W1405">
            <v>80</v>
          </cell>
          <cell r="AF1405">
            <v>1985</v>
          </cell>
          <cell r="AH1405" t="str">
            <v>Dave Sutton</v>
          </cell>
          <cell r="AI1405" t="str">
            <v>WC</v>
          </cell>
          <cell r="AJ1405"/>
        </row>
        <row r="1406">
          <cell r="E1406" t="str">
            <v>S0033501</v>
          </cell>
          <cell r="F1406" t="str">
            <v>SPS TOWNCENTRE DR THORNLIE</v>
          </cell>
          <cell r="H1406" t="str">
            <v>SEC Supply</v>
          </cell>
          <cell r="I1406" t="str">
            <v>S0033505</v>
          </cell>
          <cell r="J1406" t="str">
            <v>Main SB</v>
          </cell>
          <cell r="K1406" t="str">
            <v>BZ28-41-4</v>
          </cell>
          <cell r="M1406"/>
          <cell r="AF1406">
            <v>1992</v>
          </cell>
          <cell r="AH1406" t="str">
            <v>Dave Sutton</v>
          </cell>
          <cell r="AI1406" t="str">
            <v>WC</v>
          </cell>
          <cell r="AJ1406"/>
        </row>
        <row r="1407">
          <cell r="E1407" t="str">
            <v>S0033481</v>
          </cell>
          <cell r="F1407" t="str">
            <v>SPS NYANDI CT THORNLIE</v>
          </cell>
          <cell r="H1407" t="str">
            <v>SEC Supply</v>
          </cell>
          <cell r="I1407" t="str">
            <v>S0033486</v>
          </cell>
          <cell r="J1407" t="str">
            <v>Main SB</v>
          </cell>
          <cell r="K1407" t="str">
            <v>BM45-42-2</v>
          </cell>
          <cell r="M1407"/>
          <cell r="O1407">
            <v>415</v>
          </cell>
          <cell r="T1407" t="str">
            <v>16mm2</v>
          </cell>
          <cell r="V1407" t="str">
            <v>Fuse</v>
          </cell>
          <cell r="W1407">
            <v>40</v>
          </cell>
          <cell r="AF1407">
            <v>1992</v>
          </cell>
          <cell r="AH1407" t="str">
            <v>Dave Sutton</v>
          </cell>
          <cell r="AI1407" t="str">
            <v>WC</v>
          </cell>
          <cell r="AJ1407"/>
        </row>
        <row r="1408">
          <cell r="E1408" t="str">
            <v>S2003449</v>
          </cell>
          <cell r="F1408" t="str">
            <v>SPS ARNOTT ST TRIGG</v>
          </cell>
          <cell r="H1408" t="str">
            <v>Supply Authority</v>
          </cell>
          <cell r="I1408" t="str">
            <v>S2003481</v>
          </cell>
          <cell r="J1408" t="str">
            <v>Main SB</v>
          </cell>
          <cell r="K1408" t="str">
            <v>FO84-41-5</v>
          </cell>
          <cell r="M1408">
            <v>200</v>
          </cell>
          <cell r="O1408">
            <v>415</v>
          </cell>
          <cell r="S1408" t="str">
            <v>XLPE</v>
          </cell>
          <cell r="T1408" t="str">
            <v>35mm2</v>
          </cell>
          <cell r="V1408" t="str">
            <v>MCB</v>
          </cell>
          <cell r="W1408">
            <v>160</v>
          </cell>
          <cell r="AF1408">
            <v>2001</v>
          </cell>
          <cell r="AH1408" t="str">
            <v>Dave Sutton</v>
          </cell>
          <cell r="AI1408" t="str">
            <v>WC</v>
          </cell>
          <cell r="AJ1408"/>
        </row>
        <row r="1409">
          <cell r="E1409" t="str">
            <v>S2012268</v>
          </cell>
          <cell r="F1409" t="str">
            <v>SPS BOURNEMOUTH PDE TRIGG</v>
          </cell>
          <cell r="H1409" t="str">
            <v>Supply Authority</v>
          </cell>
          <cell r="I1409" t="str">
            <v>S2017309</v>
          </cell>
          <cell r="J1409" t="str">
            <v>Main SB</v>
          </cell>
          <cell r="K1409" t="str">
            <v>GK03-41-5</v>
          </cell>
          <cell r="M1409">
            <v>200</v>
          </cell>
          <cell r="O1409">
            <v>415</v>
          </cell>
          <cell r="S1409" t="str">
            <v>PVC/PVC</v>
          </cell>
          <cell r="T1409" t="str">
            <v>25mm2</v>
          </cell>
          <cell r="V1409" t="str">
            <v>Fuse</v>
          </cell>
          <cell r="W1409">
            <v>60</v>
          </cell>
          <cell r="AF1409">
            <v>2004</v>
          </cell>
          <cell r="AH1409" t="str">
            <v>Dave Sutton</v>
          </cell>
          <cell r="AI1409" t="str">
            <v>WC</v>
          </cell>
          <cell r="AJ1409"/>
        </row>
        <row r="1410">
          <cell r="E1410" t="str">
            <v>S2012269</v>
          </cell>
          <cell r="F1410" t="str">
            <v>SPS ELLIOTT RD TRIGG</v>
          </cell>
          <cell r="H1410" t="str">
            <v>Supply Authority</v>
          </cell>
          <cell r="I1410" t="str">
            <v>S2017313</v>
          </cell>
          <cell r="J1410" t="str">
            <v>Main SB</v>
          </cell>
          <cell r="K1410" t="str">
            <v>GK02-41-5</v>
          </cell>
          <cell r="M1410">
            <v>200</v>
          </cell>
          <cell r="O1410">
            <v>415</v>
          </cell>
          <cell r="S1410" t="str">
            <v>PVC/PVC</v>
          </cell>
          <cell r="T1410" t="str">
            <v>16mm2</v>
          </cell>
          <cell r="V1410" t="str">
            <v>Fuse</v>
          </cell>
          <cell r="W1410">
            <v>60</v>
          </cell>
          <cell r="AF1410">
            <v>2004</v>
          </cell>
          <cell r="AH1410" t="str">
            <v>Dave Sutton</v>
          </cell>
          <cell r="AI1410" t="str">
            <v>WC</v>
          </cell>
          <cell r="AJ1410"/>
        </row>
        <row r="1411">
          <cell r="E1411" t="str">
            <v>S2016892</v>
          </cell>
          <cell r="F1411" t="str">
            <v>SPS WEST COAST DR TRIGG</v>
          </cell>
          <cell r="H1411" t="str">
            <v>Supply Authority</v>
          </cell>
          <cell r="I1411" t="str">
            <v>S2018352</v>
          </cell>
          <cell r="J1411" t="str">
            <v>Main SB</v>
          </cell>
          <cell r="K1411" t="str">
            <v>GQ53-41-5</v>
          </cell>
          <cell r="M1411">
            <v>200</v>
          </cell>
          <cell r="O1411">
            <v>415</v>
          </cell>
          <cell r="S1411" t="str">
            <v>XLPE</v>
          </cell>
          <cell r="T1411" t="str">
            <v>16mm2</v>
          </cell>
          <cell r="V1411" t="str">
            <v>Fuse</v>
          </cell>
          <cell r="W1411">
            <v>60</v>
          </cell>
          <cell r="X1411" t="str">
            <v>GQ53-40-2</v>
          </cell>
          <cell r="AF1411">
            <v>2005</v>
          </cell>
          <cell r="AH1411" t="str">
            <v>Dave Sutton</v>
          </cell>
          <cell r="AI1411" t="str">
            <v>WC</v>
          </cell>
          <cell r="AJ1411"/>
        </row>
        <row r="1412">
          <cell r="E1412" t="str">
            <v>S0028705</v>
          </cell>
          <cell r="F1412" t="str">
            <v>SPS WATTLE ST TUART HILL</v>
          </cell>
          <cell r="H1412" t="str">
            <v>SEC Supply</v>
          </cell>
          <cell r="I1412" t="str">
            <v>S0028709</v>
          </cell>
          <cell r="J1412" t="str">
            <v>Main SB</v>
          </cell>
          <cell r="K1412" t="str">
            <v>BZ86-41-3</v>
          </cell>
          <cell r="M1412"/>
          <cell r="O1412">
            <v>415</v>
          </cell>
          <cell r="V1412" t="str">
            <v>Fuse</v>
          </cell>
          <cell r="W1412">
            <v>32</v>
          </cell>
          <cell r="AF1412">
            <v>1992</v>
          </cell>
          <cell r="AH1412" t="str">
            <v>Dave Sutton</v>
          </cell>
          <cell r="AI1412" t="str">
            <v>WC</v>
          </cell>
          <cell r="AJ1412"/>
        </row>
        <row r="1413">
          <cell r="E1413" t="str">
            <v>S0028437</v>
          </cell>
          <cell r="F1413" t="str">
            <v>SPS GRENVILLE ST TUART HILL</v>
          </cell>
          <cell r="H1413" t="str">
            <v>SEC Supply</v>
          </cell>
          <cell r="I1413" t="str">
            <v>S2003538</v>
          </cell>
          <cell r="J1413" t="str">
            <v>Main SB</v>
          </cell>
          <cell r="K1413" t="str">
            <v>CL09-41-5</v>
          </cell>
          <cell r="M1413"/>
          <cell r="O1413">
            <v>415</v>
          </cell>
          <cell r="S1413" t="str">
            <v>PVC/PVC</v>
          </cell>
          <cell r="T1413" t="str">
            <v>3x1C 16mm2</v>
          </cell>
          <cell r="V1413" t="str">
            <v>MCB</v>
          </cell>
          <cell r="W1413">
            <v>32</v>
          </cell>
          <cell r="AF1413">
            <v>1993</v>
          </cell>
          <cell r="AH1413" t="str">
            <v>Dave Sutton</v>
          </cell>
          <cell r="AI1413" t="str">
            <v>WC</v>
          </cell>
          <cell r="AJ1413"/>
        </row>
        <row r="1414">
          <cell r="E1414" t="str">
            <v>S0030326</v>
          </cell>
          <cell r="F1414" t="str">
            <v>SPS JORDAN ST TWO ROCKS</v>
          </cell>
          <cell r="H1414" t="str">
            <v>SEC Supply</v>
          </cell>
          <cell r="I1414" t="str">
            <v>S0030330</v>
          </cell>
          <cell r="K1414" t="str">
            <v>12205-40-2</v>
          </cell>
          <cell r="M1414"/>
          <cell r="AF1414">
            <v>1981</v>
          </cell>
          <cell r="AH1414" t="str">
            <v>Dave Sutton</v>
          </cell>
          <cell r="AI1414" t="str">
            <v>WC</v>
          </cell>
          <cell r="AJ1414"/>
        </row>
        <row r="1415">
          <cell r="E1415" t="str">
            <v>S2018340</v>
          </cell>
          <cell r="F1415" t="str">
            <v>SPS ABROLHOS CL TWO ROCKS</v>
          </cell>
          <cell r="H1415" t="str">
            <v>Supply Authority</v>
          </cell>
          <cell r="I1415" t="str">
            <v>S2018344</v>
          </cell>
          <cell r="J1415" t="str">
            <v>Main SB</v>
          </cell>
          <cell r="K1415" t="str">
            <v>IH21-41-5</v>
          </cell>
          <cell r="M1415">
            <v>500</v>
          </cell>
          <cell r="N1415">
            <v>22</v>
          </cell>
          <cell r="O1415">
            <v>415</v>
          </cell>
          <cell r="P1415">
            <v>4.2999999999999997E-2</v>
          </cell>
          <cell r="S1415" t="str">
            <v>XLPE</v>
          </cell>
          <cell r="T1415" t="str">
            <v>16mm2</v>
          </cell>
          <cell r="V1415" t="str">
            <v>Fuse</v>
          </cell>
          <cell r="W1415">
            <v>60</v>
          </cell>
          <cell r="X1415" t="str">
            <v>IH21-40-2</v>
          </cell>
          <cell r="AF1415">
            <v>2007</v>
          </cell>
          <cell r="AH1415" t="str">
            <v>Dave Sutton</v>
          </cell>
          <cell r="AI1415" t="str">
            <v>WC</v>
          </cell>
          <cell r="AJ1415"/>
        </row>
        <row r="1416">
          <cell r="E1416" t="str">
            <v>W2000262</v>
          </cell>
          <cell r="F1416" t="str">
            <v>WPS COPLEY RD UPPER SWAN</v>
          </cell>
          <cell r="H1416" t="str">
            <v>SEC Supply</v>
          </cell>
          <cell r="I1416" t="str">
            <v>W2000265</v>
          </cell>
          <cell r="K1416" t="str">
            <v>CI38-41-2</v>
          </cell>
          <cell r="M1416"/>
          <cell r="O1416">
            <v>240</v>
          </cell>
          <cell r="S1416" t="str">
            <v>PVC</v>
          </cell>
          <cell r="T1416" t="str">
            <v>6mm2</v>
          </cell>
          <cell r="AF1416">
            <v>2001</v>
          </cell>
          <cell r="AH1416" t="str">
            <v>Dave Sutton</v>
          </cell>
          <cell r="AI1416" t="str">
            <v>WC</v>
          </cell>
          <cell r="AJ1416"/>
        </row>
        <row r="1417">
          <cell r="E1417" t="str">
            <v>D0036462</v>
          </cell>
          <cell r="F1417" t="str">
            <v>DPS DANE ST EAST VIC PARK</v>
          </cell>
          <cell r="I1417" t="str">
            <v>D0036466</v>
          </cell>
          <cell r="M1417"/>
          <cell r="AF1417">
            <v>1958</v>
          </cell>
          <cell r="AH1417" t="str">
            <v>Dave Sutton</v>
          </cell>
          <cell r="AI1417" t="str">
            <v>WC</v>
          </cell>
          <cell r="AJ1417"/>
        </row>
        <row r="1418">
          <cell r="E1418" t="str">
            <v>D0036467</v>
          </cell>
          <cell r="F1418" t="str">
            <v>DPS MILLER ST EAST VIC PARK</v>
          </cell>
          <cell r="I1418" t="str">
            <v>D0036471</v>
          </cell>
          <cell r="M1418"/>
          <cell r="AF1418">
            <v>1958</v>
          </cell>
          <cell r="AH1418" t="str">
            <v>Dave Sutton</v>
          </cell>
          <cell r="AI1418" t="str">
            <v>WC</v>
          </cell>
          <cell r="AJ1418"/>
        </row>
        <row r="1419">
          <cell r="E1419" t="str">
            <v>S0033972</v>
          </cell>
          <cell r="F1419" t="str">
            <v>SPS BEATTY AV EAST VICTORIA PARK</v>
          </cell>
          <cell r="I1419" t="str">
            <v>S0033976</v>
          </cell>
          <cell r="J1419" t="str">
            <v>Main SB</v>
          </cell>
          <cell r="K1419" t="str">
            <v>07523-40-2</v>
          </cell>
          <cell r="M1419"/>
          <cell r="AF1419">
            <v>1978</v>
          </cell>
          <cell r="AH1419" t="str">
            <v>Dave Sutton</v>
          </cell>
          <cell r="AI1419" t="str">
            <v>WC</v>
          </cell>
          <cell r="AJ1419"/>
        </row>
        <row r="1420">
          <cell r="E1420" t="str">
            <v>S0028975</v>
          </cell>
          <cell r="F1420" t="str">
            <v>SPS ELVIRE ST VIVEASH</v>
          </cell>
          <cell r="H1420" t="str">
            <v>SEC Supply</v>
          </cell>
          <cell r="I1420" t="str">
            <v>S0028979</v>
          </cell>
          <cell r="J1420" t="str">
            <v>SB1</v>
          </cell>
          <cell r="K1420" t="str">
            <v>07698-40-1</v>
          </cell>
          <cell r="M1420"/>
          <cell r="S1420" t="str">
            <v>PVC/PVC</v>
          </cell>
          <cell r="T1420" t="str">
            <v>4C 6mm2</v>
          </cell>
          <cell r="V1420" t="str">
            <v>Fuse</v>
          </cell>
          <cell r="W1420">
            <v>40</v>
          </cell>
          <cell r="AF1420">
            <v>1985</v>
          </cell>
          <cell r="AH1420" t="str">
            <v>Dave Sutton</v>
          </cell>
          <cell r="AI1420" t="str">
            <v>WC</v>
          </cell>
          <cell r="AJ1420"/>
        </row>
        <row r="1421">
          <cell r="E1421" t="str">
            <v>S0030455</v>
          </cell>
          <cell r="F1421" t="str">
            <v>SPS PORTSMOUTH PL WAIKIKI</v>
          </cell>
          <cell r="I1421" t="str">
            <v>S0030461</v>
          </cell>
          <cell r="J1421" t="str">
            <v>Main SB</v>
          </cell>
          <cell r="K1421" t="str">
            <v>14754-1-20</v>
          </cell>
          <cell r="M1421"/>
          <cell r="AF1421">
            <v>1978</v>
          </cell>
          <cell r="AH1421" t="str">
            <v>Dave Sutton</v>
          </cell>
          <cell r="AI1421" t="str">
            <v>WC</v>
          </cell>
          <cell r="AJ1421"/>
        </row>
        <row r="1422">
          <cell r="E1422" t="str">
            <v>S0030426</v>
          </cell>
          <cell r="F1422" t="str">
            <v>SPS GNANGARA DR WAIKIKI</v>
          </cell>
          <cell r="H1422" t="str">
            <v>SEC Supply</v>
          </cell>
          <cell r="I1422" t="str">
            <v>S0030430</v>
          </cell>
          <cell r="J1422" t="str">
            <v>Main SB</v>
          </cell>
          <cell r="K1422" t="str">
            <v>BS26-42-2</v>
          </cell>
          <cell r="M1422"/>
          <cell r="O1422">
            <v>415</v>
          </cell>
          <cell r="V1422" t="str">
            <v>Fuse</v>
          </cell>
          <cell r="W1422">
            <v>50</v>
          </cell>
          <cell r="AF1422">
            <v>1992</v>
          </cell>
          <cell r="AH1422" t="str">
            <v>Dave Sutton</v>
          </cell>
          <cell r="AI1422" t="str">
            <v>WC</v>
          </cell>
          <cell r="AJ1422"/>
        </row>
        <row r="1423">
          <cell r="E1423" t="str">
            <v>D2000135</v>
          </cell>
          <cell r="F1423" t="str">
            <v>DPS HARRINGTON WATERS DR WAIKIKI</v>
          </cell>
          <cell r="H1423" t="str">
            <v>SEC Supply</v>
          </cell>
          <cell r="I1423" t="str">
            <v>D0036700</v>
          </cell>
          <cell r="J1423" t="str">
            <v>Main SB</v>
          </cell>
          <cell r="K1423" t="str">
            <v>AI55-42-4</v>
          </cell>
          <cell r="M1423"/>
          <cell r="O1423">
            <v>415</v>
          </cell>
          <cell r="V1423" t="str">
            <v>MCB</v>
          </cell>
          <cell r="W1423">
            <v>63</v>
          </cell>
          <cell r="AF1423">
            <v>1994</v>
          </cell>
          <cell r="AH1423" t="str">
            <v>Dave Sutton</v>
          </cell>
          <cell r="AI1423" t="str">
            <v>WC</v>
          </cell>
          <cell r="AJ1423"/>
        </row>
        <row r="1424">
          <cell r="E1424" t="str">
            <v>W0035213</v>
          </cell>
          <cell r="F1424" t="str">
            <v>WPS RAYMOND RD WALLISTON</v>
          </cell>
          <cell r="H1424" t="str">
            <v>SEC Supply</v>
          </cell>
          <cell r="I1424" t="str">
            <v>W0035220</v>
          </cell>
          <cell r="K1424" t="str">
            <v>12184-10-1</v>
          </cell>
          <cell r="M1424"/>
          <cell r="AF1424">
            <v>1974</v>
          </cell>
          <cell r="AH1424" t="str">
            <v>Dave Sutton</v>
          </cell>
          <cell r="AI1424" t="str">
            <v>WC</v>
          </cell>
          <cell r="AJ1424"/>
        </row>
        <row r="1425">
          <cell r="E1425" t="str">
            <v>S2023500</v>
          </cell>
          <cell r="F1425" t="str">
            <v>SPS DARLING CH WANDI</v>
          </cell>
          <cell r="H1425" t="str">
            <v>Supply Authority</v>
          </cell>
          <cell r="I1425" t="str">
            <v>S2037098</v>
          </cell>
          <cell r="J1425" t="str">
            <v>Main Incoming and Metering Cubicle</v>
          </cell>
          <cell r="K1425" t="str">
            <v>KF44-41-5</v>
          </cell>
          <cell r="M1425">
            <v>1000</v>
          </cell>
          <cell r="N1425">
            <v>22</v>
          </cell>
          <cell r="O1425">
            <v>440</v>
          </cell>
          <cell r="S1425" t="str">
            <v>XLPE/PVC</v>
          </cell>
          <cell r="T1425" t="str">
            <v>4x1C 150mm2</v>
          </cell>
          <cell r="V1425" t="str">
            <v>MCB</v>
          </cell>
          <cell r="W1425">
            <v>250</v>
          </cell>
          <cell r="X1425" t="str">
            <v>KF44-40-2</v>
          </cell>
          <cell r="AF1425">
            <v>2012</v>
          </cell>
          <cell r="AH1425" t="str">
            <v>Dave Sutton</v>
          </cell>
          <cell r="AI1425" t="str">
            <v>WC</v>
          </cell>
          <cell r="AJ1425"/>
        </row>
        <row r="1426">
          <cell r="E1426" t="str">
            <v>S2023500</v>
          </cell>
          <cell r="F1426" t="str">
            <v>SPS DARLING CH WANDI</v>
          </cell>
          <cell r="H1426" t="str">
            <v>Main Incoming and Metering Cubicle</v>
          </cell>
          <cell r="J1426" t="str">
            <v>Pump Station SB</v>
          </cell>
          <cell r="K1426" t="str">
            <v>KF44-42-5</v>
          </cell>
          <cell r="S1426" t="str">
            <v>XLPE/PVC</v>
          </cell>
          <cell r="T1426" t="str">
            <v>4x1C 150mm2</v>
          </cell>
          <cell r="V1426" t="str">
            <v>MCB</v>
          </cell>
          <cell r="W1426">
            <v>250</v>
          </cell>
          <cell r="X1426" t="str">
            <v>KF44-40-2</v>
          </cell>
          <cell r="AF1426">
            <v>2012</v>
          </cell>
          <cell r="AH1426" t="str">
            <v>Dave Sutton</v>
          </cell>
          <cell r="AI1426" t="str">
            <v>WC</v>
          </cell>
          <cell r="AJ1426"/>
        </row>
        <row r="1427">
          <cell r="E1427" t="str">
            <v>S2019213</v>
          </cell>
          <cell r="F1427" t="str">
            <v>SPS DISTINCTION RD WANGARA</v>
          </cell>
          <cell r="H1427" t="str">
            <v>Supply Authority</v>
          </cell>
          <cell r="I1427" t="str">
            <v>S2023013</v>
          </cell>
          <cell r="J1427" t="str">
            <v>Main SB</v>
          </cell>
          <cell r="K1427" t="str">
            <v>IT37-41-5</v>
          </cell>
          <cell r="M1427">
            <v>200</v>
          </cell>
          <cell r="O1427">
            <v>415</v>
          </cell>
          <cell r="S1427" t="str">
            <v>XLPE/PVC</v>
          </cell>
          <cell r="T1427" t="str">
            <v>25mm2</v>
          </cell>
          <cell r="V1427" t="str">
            <v>Fuse</v>
          </cell>
          <cell r="W1427">
            <v>100</v>
          </cell>
          <cell r="AF1427">
            <v>2008</v>
          </cell>
          <cell r="AH1427" t="str">
            <v>Dave Sutton</v>
          </cell>
          <cell r="AI1427" t="str">
            <v>WC</v>
          </cell>
          <cell r="AJ1427"/>
        </row>
        <row r="1428">
          <cell r="E1428" t="str">
            <v>S0029329</v>
          </cell>
          <cell r="F1428" t="str">
            <v>SPS ACTION PL WANGARA</v>
          </cell>
          <cell r="H1428" t="str">
            <v>SEC Supply</v>
          </cell>
          <cell r="I1428" t="str">
            <v>S0029332</v>
          </cell>
          <cell r="J1428" t="str">
            <v>Main SB</v>
          </cell>
          <cell r="K1428" t="str">
            <v>BR53-41-1</v>
          </cell>
          <cell r="M1428"/>
          <cell r="O1428">
            <v>415</v>
          </cell>
          <cell r="T1428" t="str">
            <v>35mm2</v>
          </cell>
          <cell r="V1428" t="str">
            <v>Fuse</v>
          </cell>
          <cell r="W1428">
            <v>50</v>
          </cell>
          <cell r="AF1428">
            <v>1992</v>
          </cell>
          <cell r="AH1428" t="str">
            <v>Dave Sutton</v>
          </cell>
          <cell r="AI1428" t="str">
            <v>WC</v>
          </cell>
          <cell r="AJ1428"/>
        </row>
        <row r="1429">
          <cell r="E1429" t="str">
            <v>S2037206</v>
          </cell>
          <cell r="F1429" t="str">
            <v>SPS DESTINY WAY WANGARA</v>
          </cell>
          <cell r="H1429" t="str">
            <v>Supply Authority</v>
          </cell>
          <cell r="I1429" t="str">
            <v>S2038969</v>
          </cell>
          <cell r="J1429" t="str">
            <v>Main SB</v>
          </cell>
          <cell r="K1429" t="str">
            <v>LA96-41-5</v>
          </cell>
          <cell r="M1429"/>
          <cell r="N1429">
            <v>22</v>
          </cell>
          <cell r="O1429">
            <v>415</v>
          </cell>
          <cell r="P1429">
            <v>0.06</v>
          </cell>
          <cell r="S1429" t="str">
            <v>XLPE/PVC</v>
          </cell>
          <cell r="T1429" t="str">
            <v>4x1C 25mm2</v>
          </cell>
          <cell r="V1429" t="str">
            <v>Fuse</v>
          </cell>
          <cell r="W1429">
            <v>80</v>
          </cell>
          <cell r="X1429" t="str">
            <v>LA96-40-2</v>
          </cell>
          <cell r="AF1429">
            <v>2014</v>
          </cell>
          <cell r="AH1429" t="str">
            <v>Dave Sutton</v>
          </cell>
          <cell r="AI1429" t="str">
            <v>WC</v>
          </cell>
          <cell r="AJ1429"/>
        </row>
        <row r="1430">
          <cell r="E1430" t="str">
            <v>S0045007</v>
          </cell>
          <cell r="F1430" t="str">
            <v>SPS QUEEN PDE WANNANUP</v>
          </cell>
          <cell r="H1430" t="str">
            <v>Supply Authority</v>
          </cell>
          <cell r="I1430" t="str">
            <v>S8003250</v>
          </cell>
          <cell r="J1430" t="str">
            <v>Main SB</v>
          </cell>
          <cell r="K1430" t="str">
            <v>DX92-41-5</v>
          </cell>
          <cell r="M1430">
            <v>200</v>
          </cell>
          <cell r="O1430">
            <v>415</v>
          </cell>
          <cell r="S1430" t="str">
            <v>XLPE</v>
          </cell>
          <cell r="T1430" t="str">
            <v>50mm2</v>
          </cell>
          <cell r="V1430" t="str">
            <v>MCB</v>
          </cell>
          <cell r="W1430">
            <v>125</v>
          </cell>
          <cell r="AF1430">
            <v>1997</v>
          </cell>
          <cell r="AH1430" t="str">
            <v>Dave Sutton</v>
          </cell>
          <cell r="AI1430" t="str">
            <v>WC</v>
          </cell>
          <cell r="AJ1430"/>
        </row>
        <row r="1431">
          <cell r="E1431" t="str">
            <v>S8000842</v>
          </cell>
          <cell r="F1431" t="str">
            <v>SPS WESTVIEW PDE WANNANUP</v>
          </cell>
          <cell r="H1431" t="str">
            <v>Supply Authority</v>
          </cell>
          <cell r="I1431" t="str">
            <v>S8005520</v>
          </cell>
          <cell r="J1431" t="str">
            <v>Main SB</v>
          </cell>
          <cell r="K1431" t="str">
            <v>FO73-41-5</v>
          </cell>
          <cell r="M1431">
            <v>200</v>
          </cell>
          <cell r="O1431">
            <v>415</v>
          </cell>
          <cell r="S1431" t="str">
            <v>PYROLEX</v>
          </cell>
          <cell r="T1431" t="str">
            <v>25mm2</v>
          </cell>
          <cell r="V1431" t="str">
            <v>MCB</v>
          </cell>
          <cell r="W1431">
            <v>160</v>
          </cell>
          <cell r="AF1431">
            <v>2003</v>
          </cell>
          <cell r="AH1431" t="str">
            <v>Dave Sutton</v>
          </cell>
          <cell r="AI1431" t="str">
            <v>WC</v>
          </cell>
          <cell r="AJ1431"/>
        </row>
        <row r="1432">
          <cell r="E1432" t="str">
            <v>S0044998</v>
          </cell>
          <cell r="F1432" t="str">
            <v>SPS JOHN DORY COVE WANNANUP</v>
          </cell>
          <cell r="H1432" t="str">
            <v>SEC Supply</v>
          </cell>
          <cell r="I1432" t="str">
            <v>S8004165</v>
          </cell>
          <cell r="J1432" t="str">
            <v>Main SB</v>
          </cell>
          <cell r="K1432" t="str">
            <v>DJ31-41-5</v>
          </cell>
          <cell r="M1432"/>
          <cell r="O1432">
            <v>415</v>
          </cell>
          <cell r="V1432" t="str">
            <v>MCB</v>
          </cell>
          <cell r="W1432">
            <v>63</v>
          </cell>
          <cell r="AF1432">
            <v>1995</v>
          </cell>
          <cell r="AH1432" t="str">
            <v>Dave Sutton</v>
          </cell>
          <cell r="AI1432" t="str">
            <v>WC</v>
          </cell>
          <cell r="AJ1432"/>
        </row>
        <row r="1433">
          <cell r="E1433" t="str">
            <v>S8000274</v>
          </cell>
          <cell r="F1433" t="str">
            <v>SPS ABROLHOS QYS WANNANUP</v>
          </cell>
          <cell r="H1433" t="str">
            <v>Supply Authority</v>
          </cell>
          <cell r="I1433" t="str">
            <v>S8000279</v>
          </cell>
          <cell r="J1433" t="str">
            <v>Main SB</v>
          </cell>
          <cell r="K1433" t="str">
            <v>FB09-41-5</v>
          </cell>
          <cell r="M1433">
            <v>200</v>
          </cell>
          <cell r="O1433">
            <v>415</v>
          </cell>
          <cell r="S1433" t="str">
            <v>PVC</v>
          </cell>
          <cell r="T1433" t="str">
            <v>16mm2</v>
          </cell>
          <cell r="V1433" t="str">
            <v>MCB</v>
          </cell>
          <cell r="W1433">
            <v>32</v>
          </cell>
          <cell r="AF1433">
            <v>1999</v>
          </cell>
          <cell r="AH1433" t="str">
            <v>Dave Sutton</v>
          </cell>
          <cell r="AI1433" t="str">
            <v>WC</v>
          </cell>
          <cell r="AJ1433"/>
        </row>
        <row r="1434">
          <cell r="E1434" t="str">
            <v>S2003487</v>
          </cell>
          <cell r="F1434" t="str">
            <v>SPS SCENIC DR WANNEROO</v>
          </cell>
          <cell r="H1434" t="str">
            <v>Supply Authority</v>
          </cell>
          <cell r="I1434" t="str">
            <v>S2003491</v>
          </cell>
          <cell r="J1434" t="str">
            <v>Main SB</v>
          </cell>
          <cell r="K1434" t="str">
            <v>FG46-41-5</v>
          </cell>
          <cell r="M1434">
            <v>200</v>
          </cell>
          <cell r="O1434">
            <v>415</v>
          </cell>
          <cell r="S1434" t="str">
            <v>XLPE</v>
          </cell>
          <cell r="T1434" t="str">
            <v>25mm2</v>
          </cell>
          <cell r="V1434" t="str">
            <v>MCB</v>
          </cell>
          <cell r="W1434">
            <v>100</v>
          </cell>
          <cell r="AF1434">
            <v>2001</v>
          </cell>
          <cell r="AH1434" t="str">
            <v>Dave Sutton</v>
          </cell>
          <cell r="AI1434" t="str">
            <v>WC</v>
          </cell>
          <cell r="AJ1434"/>
        </row>
        <row r="1435">
          <cell r="E1435" t="str">
            <v>S0029333</v>
          </cell>
          <cell r="F1435" t="str">
            <v>SPS ARITI AV WANNEROO</v>
          </cell>
          <cell r="H1435" t="str">
            <v>SEC Supply</v>
          </cell>
          <cell r="I1435" t="str">
            <v>S0029339</v>
          </cell>
          <cell r="J1435" t="str">
            <v>Main SB</v>
          </cell>
          <cell r="K1435" t="str">
            <v>13248-40-2</v>
          </cell>
          <cell r="M1435"/>
          <cell r="AF1435">
            <v>1974</v>
          </cell>
          <cell r="AH1435" t="str">
            <v>Dave Sutton</v>
          </cell>
          <cell r="AI1435" t="str">
            <v>WC</v>
          </cell>
          <cell r="AJ1435"/>
        </row>
        <row r="1436">
          <cell r="E1436" t="str">
            <v>S0029111</v>
          </cell>
          <cell r="F1436" t="str">
            <v>SPS BELGRADE RD WANNEROO</v>
          </cell>
          <cell r="H1436" t="str">
            <v>SEC Supply</v>
          </cell>
          <cell r="I1436" t="str">
            <v>S2003504</v>
          </cell>
          <cell r="J1436" t="str">
            <v>Main SB</v>
          </cell>
          <cell r="K1436" t="str">
            <v>CX00-41-4</v>
          </cell>
          <cell r="M1436"/>
          <cell r="O1436">
            <v>415</v>
          </cell>
          <cell r="V1436" t="str">
            <v>MCB</v>
          </cell>
          <cell r="W1436">
            <v>32</v>
          </cell>
          <cell r="AF1436">
            <v>1993</v>
          </cell>
          <cell r="AH1436" t="str">
            <v>Dave Sutton</v>
          </cell>
          <cell r="AI1436" t="str">
            <v>WC</v>
          </cell>
          <cell r="AJ1436"/>
        </row>
        <row r="1437">
          <cell r="E1437" t="str">
            <v>S2011272</v>
          </cell>
          <cell r="F1437" t="str">
            <v>SPS DUNDEBAR RD WANNEROO</v>
          </cell>
          <cell r="H1437" t="str">
            <v>Supply Authority</v>
          </cell>
          <cell r="I1437" t="str">
            <v>S2011276</v>
          </cell>
          <cell r="J1437" t="str">
            <v>Main SB</v>
          </cell>
          <cell r="K1437" t="str">
            <v>GI04-41-5</v>
          </cell>
          <cell r="M1437"/>
          <cell r="O1437">
            <v>415</v>
          </cell>
          <cell r="S1437" t="str">
            <v>PVC</v>
          </cell>
          <cell r="T1437" t="str">
            <v>10mm2</v>
          </cell>
          <cell r="V1437" t="str">
            <v>MCB</v>
          </cell>
          <cell r="W1437">
            <v>40</v>
          </cell>
          <cell r="AF1437">
            <v>2003</v>
          </cell>
          <cell r="AH1437" t="str">
            <v>Dave Sutton</v>
          </cell>
          <cell r="AI1437" t="str">
            <v>WC</v>
          </cell>
          <cell r="AJ1437"/>
        </row>
        <row r="1438">
          <cell r="E1438" t="str">
            <v>S2018310</v>
          </cell>
          <cell r="F1438" t="str">
            <v>SPS WANNEROO RD WANNEROO</v>
          </cell>
          <cell r="H1438" t="str">
            <v>Supply Authority</v>
          </cell>
          <cell r="I1438" t="str">
            <v>S2022986</v>
          </cell>
          <cell r="J1438" t="str">
            <v>Main SB</v>
          </cell>
          <cell r="K1438" t="str">
            <v>HM57-41-5</v>
          </cell>
          <cell r="M1438"/>
          <cell r="N1438">
            <v>22</v>
          </cell>
          <cell r="O1438">
            <v>415</v>
          </cell>
          <cell r="S1438" t="str">
            <v>PVC/PVC</v>
          </cell>
          <cell r="T1438" t="str">
            <v>1x4C 25mm2</v>
          </cell>
          <cell r="V1438" t="str">
            <v>Fuse</v>
          </cell>
          <cell r="W1438">
            <v>60</v>
          </cell>
          <cell r="X1438" t="str">
            <v>HM57-40-2</v>
          </cell>
          <cell r="AF1438">
            <v>2008</v>
          </cell>
          <cell r="AH1438" t="str">
            <v>Dave Sutton</v>
          </cell>
          <cell r="AI1438" t="str">
            <v>WC</v>
          </cell>
          <cell r="AJ1438"/>
        </row>
        <row r="1439">
          <cell r="E1439" t="str">
            <v>S0030519</v>
          </cell>
          <cell r="F1439" t="str">
            <v>SPS FENDAM ST WARNBRO</v>
          </cell>
          <cell r="H1439" t="str">
            <v>SEC Supply</v>
          </cell>
          <cell r="I1439" t="str">
            <v>S0030523</v>
          </cell>
          <cell r="J1439" t="str">
            <v>Main SB</v>
          </cell>
          <cell r="K1439" t="str">
            <v>CT75-41-5</v>
          </cell>
          <cell r="M1439"/>
          <cell r="O1439">
            <v>415</v>
          </cell>
          <cell r="S1439" t="str">
            <v>PVC</v>
          </cell>
          <cell r="T1439" t="str">
            <v>10mm2</v>
          </cell>
          <cell r="V1439" t="str">
            <v>MCB</v>
          </cell>
          <cell r="W1439">
            <v>32</v>
          </cell>
          <cell r="AF1439">
            <v>1994</v>
          </cell>
          <cell r="AH1439" t="str">
            <v>Dave Sutton</v>
          </cell>
          <cell r="AI1439" t="str">
            <v>WC</v>
          </cell>
          <cell r="AJ1439"/>
        </row>
        <row r="1440">
          <cell r="E1440" t="str">
            <v>S0028559</v>
          </cell>
          <cell r="F1440" t="str">
            <v>SPS MILLPORT DR WARWICK</v>
          </cell>
          <cell r="H1440" t="str">
            <v>SEC Supply</v>
          </cell>
          <cell r="I1440" t="str">
            <v>S0028563</v>
          </cell>
          <cell r="J1440" t="str">
            <v>SB1</v>
          </cell>
          <cell r="K1440" t="str">
            <v>17939-40-1</v>
          </cell>
          <cell r="M1440"/>
          <cell r="S1440" t="str">
            <v>PVC</v>
          </cell>
          <cell r="T1440" t="str">
            <v>4x1C 6mm2</v>
          </cell>
          <cell r="V1440" t="str">
            <v>MCB</v>
          </cell>
          <cell r="W1440">
            <v>55</v>
          </cell>
          <cell r="AF1440">
            <v>1981</v>
          </cell>
          <cell r="AH1440" t="str">
            <v>Dave Sutton</v>
          </cell>
          <cell r="AI1440" t="str">
            <v>WC</v>
          </cell>
          <cell r="AJ1440"/>
        </row>
        <row r="1441">
          <cell r="E1441" t="str">
            <v>S0033016</v>
          </cell>
          <cell r="F1441" t="str">
            <v>SPS KILKENNY CIR WATERFORD</v>
          </cell>
          <cell r="H1441" t="str">
            <v>SEC Supply</v>
          </cell>
          <cell r="I1441" t="str">
            <v>S0033022</v>
          </cell>
          <cell r="J1441" t="str">
            <v>SB1</v>
          </cell>
          <cell r="K1441" t="str">
            <v>17696-40-4</v>
          </cell>
          <cell r="M1441"/>
          <cell r="AF1441">
            <v>1980</v>
          </cell>
          <cell r="AH1441" t="str">
            <v>Dave Sutton</v>
          </cell>
          <cell r="AI1441" t="str">
            <v>WC</v>
          </cell>
          <cell r="AJ1441"/>
        </row>
        <row r="1442">
          <cell r="E1442" t="str">
            <v>S2018328</v>
          </cell>
          <cell r="F1442" t="str">
            <v>SPS WEST COAST DR WATERMANS BAY</v>
          </cell>
          <cell r="H1442" t="str">
            <v>Supply Authority</v>
          </cell>
          <cell r="I1442" t="str">
            <v>S2018435</v>
          </cell>
          <cell r="J1442" t="str">
            <v>Main SB</v>
          </cell>
          <cell r="K1442" t="str">
            <v>HV11-41-5</v>
          </cell>
          <cell r="M1442">
            <v>200</v>
          </cell>
          <cell r="N1442">
            <v>22</v>
          </cell>
          <cell r="O1442">
            <v>415</v>
          </cell>
          <cell r="S1442" t="str">
            <v>XLPE</v>
          </cell>
          <cell r="T1442" t="str">
            <v>16mm2</v>
          </cell>
          <cell r="V1442" t="str">
            <v>Fuse</v>
          </cell>
          <cell r="W1442">
            <v>60</v>
          </cell>
          <cell r="X1442" t="str">
            <v>HV11-40-3</v>
          </cell>
          <cell r="AF1442">
            <v>2005</v>
          </cell>
          <cell r="AH1442" t="str">
            <v>Dave Sutton</v>
          </cell>
          <cell r="AI1442" t="str">
            <v>WC</v>
          </cell>
          <cell r="AJ1442"/>
        </row>
        <row r="1443">
          <cell r="E1443" t="str">
            <v>S0033097</v>
          </cell>
          <cell r="F1443" t="str">
            <v>SPS ST JOHN RD WATTLE GROVE</v>
          </cell>
          <cell r="H1443" t="str">
            <v>SEC Supply</v>
          </cell>
          <cell r="I1443" t="str">
            <v>S0033103</v>
          </cell>
          <cell r="J1443" t="str">
            <v>Main SB</v>
          </cell>
          <cell r="K1443" t="str">
            <v>15615-40-2</v>
          </cell>
          <cell r="M1443"/>
          <cell r="V1443" t="str">
            <v>Fuse</v>
          </cell>
          <cell r="W1443">
            <v>150</v>
          </cell>
          <cell r="AF1443">
            <v>1980</v>
          </cell>
          <cell r="AH1443" t="str">
            <v>Dave Sutton</v>
          </cell>
          <cell r="AI1443" t="str">
            <v>WC</v>
          </cell>
          <cell r="AJ1443"/>
        </row>
        <row r="1444">
          <cell r="E1444" t="str">
            <v>S2004021</v>
          </cell>
          <cell r="F1444" t="str">
            <v>SPS SHEFFIELD RD STH WATTLE GROVE</v>
          </cell>
          <cell r="H1444" t="str">
            <v>Supply Authority</v>
          </cell>
          <cell r="I1444" t="str">
            <v>S2007283</v>
          </cell>
          <cell r="J1444" t="str">
            <v>Main SB</v>
          </cell>
          <cell r="K1444" t="str">
            <v>FZ03-41-5</v>
          </cell>
          <cell r="M1444"/>
          <cell r="S1444" t="str">
            <v>XLPE</v>
          </cell>
          <cell r="T1444" t="str">
            <v>16mm2</v>
          </cell>
          <cell r="V1444" t="str">
            <v>MCB</v>
          </cell>
          <cell r="W1444">
            <v>63</v>
          </cell>
          <cell r="AF1444">
            <v>2001</v>
          </cell>
          <cell r="AH1444" t="str">
            <v>Dave Sutton</v>
          </cell>
          <cell r="AI1444" t="str">
            <v>WC</v>
          </cell>
          <cell r="AJ1444"/>
        </row>
        <row r="1445">
          <cell r="E1445" t="str">
            <v>S2017558</v>
          </cell>
          <cell r="F1445" t="str">
            <v>SPS SHEFFIELD RD NTH WATTLE GROVE</v>
          </cell>
          <cell r="H1445" t="str">
            <v>Supply Authority</v>
          </cell>
          <cell r="I1445" t="str">
            <v>S2017562</v>
          </cell>
          <cell r="J1445" t="str">
            <v>Main SB</v>
          </cell>
          <cell r="K1445" t="str">
            <v>HH14-41-5</v>
          </cell>
          <cell r="M1445">
            <v>200</v>
          </cell>
          <cell r="O1445">
            <v>415</v>
          </cell>
          <cell r="S1445" t="str">
            <v>XLPE</v>
          </cell>
          <cell r="T1445" t="str">
            <v>35mm2</v>
          </cell>
          <cell r="V1445" t="str">
            <v>Fuse</v>
          </cell>
          <cell r="W1445">
            <v>100</v>
          </cell>
          <cell r="AF1445">
            <v>2005</v>
          </cell>
          <cell r="AH1445" t="str">
            <v>Dave Sutton</v>
          </cell>
          <cell r="AI1445" t="str">
            <v>WC</v>
          </cell>
          <cell r="AJ1445"/>
        </row>
        <row r="1446">
          <cell r="E1446" t="str">
            <v>S2019791</v>
          </cell>
          <cell r="F1446" t="str">
            <v>SPS PORTOBELLO RD WELLARD</v>
          </cell>
          <cell r="H1446" t="str">
            <v>Supply Authority</v>
          </cell>
          <cell r="I1446" t="str">
            <v>S2023159</v>
          </cell>
          <cell r="J1446" t="str">
            <v>Main SB</v>
          </cell>
          <cell r="K1446" t="str">
            <v>JA86-41-5</v>
          </cell>
          <cell r="M1446"/>
          <cell r="N1446">
            <v>22</v>
          </cell>
          <cell r="O1446">
            <v>415</v>
          </cell>
          <cell r="S1446" t="str">
            <v>XLPE/PVC</v>
          </cell>
          <cell r="T1446" t="str">
            <v>4x1C 25mm2</v>
          </cell>
          <cell r="V1446" t="str">
            <v>Fuse</v>
          </cell>
          <cell r="W1446">
            <v>100</v>
          </cell>
          <cell r="X1446" t="str">
            <v>JA86-40-2</v>
          </cell>
          <cell r="AF1446">
            <v>2009</v>
          </cell>
          <cell r="AH1446" t="str">
            <v>Dave Sutton</v>
          </cell>
          <cell r="AI1446" t="str">
            <v>WC</v>
          </cell>
          <cell r="AJ1446"/>
        </row>
        <row r="1447">
          <cell r="E1447" t="str">
            <v>S2023059</v>
          </cell>
          <cell r="F1447" t="str">
            <v>SPS MOONSTONE PWY WELLARD</v>
          </cell>
          <cell r="H1447" t="str">
            <v>Supply Authority</v>
          </cell>
          <cell r="I1447" t="str">
            <v>S2030351</v>
          </cell>
          <cell r="J1447" t="str">
            <v>Main SB</v>
          </cell>
          <cell r="K1447" t="str">
            <v>JU87-41-5</v>
          </cell>
          <cell r="M1447"/>
          <cell r="N1447">
            <v>22</v>
          </cell>
          <cell r="O1447">
            <v>415</v>
          </cell>
          <cell r="S1447" t="str">
            <v>XLPE/PVC</v>
          </cell>
          <cell r="T1447" t="str">
            <v>1x4C 25mm2</v>
          </cell>
          <cell r="V1447" t="str">
            <v>Fuse</v>
          </cell>
          <cell r="W1447">
            <v>100</v>
          </cell>
          <cell r="X1447" t="str">
            <v>JU87-40-2</v>
          </cell>
          <cell r="AF1447">
            <v>2010</v>
          </cell>
          <cell r="AH1447" t="str">
            <v>Dave Sutton</v>
          </cell>
          <cell r="AI1447" t="str">
            <v>WC</v>
          </cell>
          <cell r="AJ1447"/>
        </row>
        <row r="1448">
          <cell r="E1448" t="str">
            <v>S0033128</v>
          </cell>
          <cell r="F1448" t="str">
            <v>SPS RAILWAY PDE WELSHPOOL</v>
          </cell>
          <cell r="H1448" t="str">
            <v>SEC Supply</v>
          </cell>
          <cell r="I1448" t="str">
            <v>S0033134</v>
          </cell>
          <cell r="J1448" t="str">
            <v>Main SB</v>
          </cell>
          <cell r="K1448" t="str">
            <v>06629-40-2</v>
          </cell>
          <cell r="M1448"/>
          <cell r="AF1448">
            <v>1979</v>
          </cell>
          <cell r="AH1448" t="str">
            <v>Dave Sutton</v>
          </cell>
          <cell r="AI1448" t="str">
            <v>WC</v>
          </cell>
          <cell r="AJ1448"/>
        </row>
        <row r="1449">
          <cell r="E1449" t="str">
            <v>S0033116</v>
          </cell>
          <cell r="F1449" t="str">
            <v>SPS TOMLINSON ST WELSHPOOL</v>
          </cell>
          <cell r="H1449" t="str">
            <v>Supply Authority</v>
          </cell>
          <cell r="I1449" t="str">
            <v>S0033120</v>
          </cell>
          <cell r="J1449" t="str">
            <v>Main SB</v>
          </cell>
          <cell r="K1449" t="str">
            <v>AX06-41-4</v>
          </cell>
          <cell r="M1449"/>
          <cell r="AF1449">
            <v>1985</v>
          </cell>
          <cell r="AH1449" t="str">
            <v>Dave Sutton</v>
          </cell>
          <cell r="AI1449" t="str">
            <v>WC</v>
          </cell>
          <cell r="AJ1449"/>
        </row>
        <row r="1450">
          <cell r="E1450" t="str">
            <v>D0036650</v>
          </cell>
          <cell r="F1450" t="str">
            <v>DPS FORWARD ST WELSHPOOL</v>
          </cell>
          <cell r="H1450" t="str">
            <v>SEC Supply</v>
          </cell>
          <cell r="I1450" t="str">
            <v>D0036654</v>
          </cell>
          <cell r="J1450" t="str">
            <v>Main SB</v>
          </cell>
          <cell r="K1450" t="str">
            <v>AI61-41-4</v>
          </cell>
          <cell r="AF1450">
            <v>1988</v>
          </cell>
          <cell r="AH1450" t="str">
            <v>Dave Sutton</v>
          </cell>
          <cell r="AI1450" t="str">
            <v>WC</v>
          </cell>
          <cell r="AJ1450"/>
        </row>
        <row r="1451">
          <cell r="E1451" t="str">
            <v>S0031714</v>
          </cell>
          <cell r="F1451" t="str">
            <v>SPS HERDSMAN PDE WEMBLEY</v>
          </cell>
          <cell r="H1451" t="str">
            <v>SEC Supply</v>
          </cell>
          <cell r="I1451" t="str">
            <v>S0031720</v>
          </cell>
          <cell r="J1451" t="str">
            <v>Main SB</v>
          </cell>
          <cell r="K1451" t="str">
            <v>CI37-41-4</v>
          </cell>
          <cell r="M1451"/>
          <cell r="O1451">
            <v>415</v>
          </cell>
          <cell r="S1451" t="str">
            <v>XLPE/PVC</v>
          </cell>
          <cell r="T1451" t="str">
            <v>3x1C 16mm2</v>
          </cell>
          <cell r="V1451" t="str">
            <v>MCB</v>
          </cell>
          <cell r="W1451">
            <v>63</v>
          </cell>
          <cell r="AF1451">
            <v>1992</v>
          </cell>
          <cell r="AH1451" t="str">
            <v>Dave Sutton</v>
          </cell>
          <cell r="AI1451" t="str">
            <v>WC</v>
          </cell>
          <cell r="AJ1451"/>
        </row>
        <row r="1452">
          <cell r="E1452" t="str">
            <v>W0034526</v>
          </cell>
          <cell r="F1452" t="str">
            <v>WPS DOVER CR WEMBLEY DOWNS</v>
          </cell>
          <cell r="H1452" t="str">
            <v>SEC Supply</v>
          </cell>
          <cell r="I1452" t="str">
            <v>W0034533</v>
          </cell>
          <cell r="J1452" t="str">
            <v>Main SB</v>
          </cell>
          <cell r="K1452" t="str">
            <v>14902-40-2</v>
          </cell>
          <cell r="M1452"/>
          <cell r="V1452" t="str">
            <v>Fuse</v>
          </cell>
          <cell r="W1452">
            <v>150</v>
          </cell>
          <cell r="AF1452">
            <v>1959</v>
          </cell>
          <cell r="AH1452" t="str">
            <v>Dave Sutton</v>
          </cell>
          <cell r="AI1452" t="str">
            <v>WC</v>
          </cell>
          <cell r="AJ1452"/>
        </row>
        <row r="1453">
          <cell r="E1453" t="str">
            <v>S0031986</v>
          </cell>
          <cell r="F1453" t="str">
            <v>SPS BUXTON RD WEMBLEY DOWNS</v>
          </cell>
          <cell r="I1453" t="str">
            <v>S0031992</v>
          </cell>
          <cell r="J1453" t="str">
            <v>Main SB</v>
          </cell>
          <cell r="K1453" t="str">
            <v>11306-10-1</v>
          </cell>
          <cell r="M1453"/>
          <cell r="AF1453">
            <v>1972</v>
          </cell>
          <cell r="AH1453" t="str">
            <v>Dave Sutton</v>
          </cell>
          <cell r="AI1453" t="str">
            <v>WC</v>
          </cell>
          <cell r="AJ1453"/>
        </row>
        <row r="1454">
          <cell r="E1454" t="str">
            <v>S0034181</v>
          </cell>
          <cell r="F1454" t="str">
            <v>SPS THELMA ST WEST COMO</v>
          </cell>
          <cell r="H1454" t="str">
            <v>Supply Authority</v>
          </cell>
          <cell r="I1454" t="str">
            <v>S0034187</v>
          </cell>
          <cell r="J1454" t="str">
            <v>Main SB</v>
          </cell>
          <cell r="K1454" t="str">
            <v>06305-41-2</v>
          </cell>
          <cell r="M1454"/>
          <cell r="V1454" t="str">
            <v>MCB</v>
          </cell>
          <cell r="W1454">
            <v>50</v>
          </cell>
          <cell r="AF1454">
            <v>1976</v>
          </cell>
          <cell r="AH1454" t="str">
            <v>Dave Sutton</v>
          </cell>
          <cell r="AI1454" t="str">
            <v>WC</v>
          </cell>
          <cell r="AJ1454"/>
        </row>
        <row r="1455">
          <cell r="E1455" t="str">
            <v>S0030191</v>
          </cell>
          <cell r="F1455" t="str">
            <v>SPS MORLEY DR WEST DIANELLA</v>
          </cell>
          <cell r="H1455" t="str">
            <v>SEC Supply</v>
          </cell>
          <cell r="I1455" t="str">
            <v>S0030195</v>
          </cell>
          <cell r="J1455" t="str">
            <v>SB1</v>
          </cell>
          <cell r="K1455" t="str">
            <v>17584-40-1</v>
          </cell>
          <cell r="M1455"/>
          <cell r="V1455" t="str">
            <v>MCB</v>
          </cell>
          <cell r="W1455">
            <v>55</v>
          </cell>
          <cell r="AF1455">
            <v>1981</v>
          </cell>
          <cell r="AH1455" t="str">
            <v>Dave Sutton</v>
          </cell>
          <cell r="AI1455" t="str">
            <v>WC</v>
          </cell>
          <cell r="AJ1455"/>
        </row>
        <row r="1456">
          <cell r="E1456" t="str">
            <v>S0033775</v>
          </cell>
          <cell r="F1456" t="str">
            <v>SPS MARMION ST WEST MYAREE</v>
          </cell>
          <cell r="H1456" t="str">
            <v>Supply Authority</v>
          </cell>
          <cell r="I1456" t="str">
            <v>S0033780</v>
          </cell>
          <cell r="J1456" t="str">
            <v>Main SB</v>
          </cell>
          <cell r="K1456" t="str">
            <v>DY94-41-5</v>
          </cell>
          <cell r="M1456">
            <v>315</v>
          </cell>
          <cell r="O1456">
            <v>415</v>
          </cell>
          <cell r="S1456" t="str">
            <v>PYROLEX</v>
          </cell>
          <cell r="T1456" t="str">
            <v>35mm2</v>
          </cell>
          <cell r="V1456" t="str">
            <v>MCB</v>
          </cell>
          <cell r="W1456">
            <v>125</v>
          </cell>
          <cell r="AF1456">
            <v>1998</v>
          </cell>
          <cell r="AH1456" t="str">
            <v>Dave Sutton</v>
          </cell>
          <cell r="AI1456" t="str">
            <v>WC</v>
          </cell>
          <cell r="AJ1456"/>
        </row>
        <row r="1457">
          <cell r="E1457" t="str">
            <v>S2004007</v>
          </cell>
          <cell r="F1457" t="str">
            <v>SPS BANDYUP PRISON WEST SWAN</v>
          </cell>
          <cell r="I1457" t="str">
            <v>S2004011</v>
          </cell>
          <cell r="J1457" t="str">
            <v>Main SB</v>
          </cell>
          <cell r="K1457" t="str">
            <v>FK91-41-5</v>
          </cell>
          <cell r="M1457"/>
          <cell r="O1457">
            <v>415</v>
          </cell>
          <cell r="S1457" t="str">
            <v>PVC</v>
          </cell>
          <cell r="T1457" t="str">
            <v>10mm2</v>
          </cell>
          <cell r="V1457" t="str">
            <v>MCB</v>
          </cell>
          <cell r="W1457">
            <v>32</v>
          </cell>
          <cell r="AF1457">
            <v>2001</v>
          </cell>
          <cell r="AH1457" t="str">
            <v>Dave Sutton</v>
          </cell>
          <cell r="AI1457" t="str">
            <v>WC</v>
          </cell>
          <cell r="AJ1457"/>
        </row>
        <row r="1458">
          <cell r="E1458" t="str">
            <v>S0028467</v>
          </cell>
          <cell r="F1458" t="str">
            <v>SPS HARRIS WY WESTMINSTER</v>
          </cell>
          <cell r="I1458" t="str">
            <v>S0028473</v>
          </cell>
          <cell r="K1458" t="str">
            <v>14914-1-14</v>
          </cell>
          <cell r="M1458"/>
          <cell r="AF1458">
            <v>1979</v>
          </cell>
          <cell r="AH1458" t="str">
            <v>Dave Sutton</v>
          </cell>
          <cell r="AI1458" t="str">
            <v>WC</v>
          </cell>
          <cell r="AJ1458"/>
        </row>
        <row r="1459">
          <cell r="E1459" t="str">
            <v>S0033319</v>
          </cell>
          <cell r="F1459" t="str">
            <v>SPS SAMSON ST WHITE GUM VALLEY</v>
          </cell>
          <cell r="H1459" t="str">
            <v>SEC Supply</v>
          </cell>
          <cell r="I1459" t="str">
            <v>S0033323</v>
          </cell>
          <cell r="J1459" t="str">
            <v>Main SB</v>
          </cell>
          <cell r="K1459" t="str">
            <v>08188-41-4</v>
          </cell>
          <cell r="M1459"/>
          <cell r="O1459">
            <v>415</v>
          </cell>
          <cell r="V1459" t="str">
            <v>Fuse</v>
          </cell>
          <cell r="W1459">
            <v>100</v>
          </cell>
          <cell r="AF1459">
            <v>2000</v>
          </cell>
          <cell r="AH1459" t="str">
            <v>Dave Sutton</v>
          </cell>
          <cell r="AI1459" t="str">
            <v>WC</v>
          </cell>
          <cell r="AJ1459"/>
        </row>
        <row r="1460">
          <cell r="E1460" t="str">
            <v>S0033807</v>
          </cell>
          <cell r="F1460" t="str">
            <v>SPS MILROY ST WILLAGEE</v>
          </cell>
          <cell r="I1460" t="str">
            <v>S0033813</v>
          </cell>
          <cell r="K1460" t="str">
            <v>10009-40-1</v>
          </cell>
          <cell r="M1460"/>
          <cell r="AF1460">
            <v>1968</v>
          </cell>
          <cell r="AH1460" t="str">
            <v>Dave Sutton</v>
          </cell>
          <cell r="AI1460" t="str">
            <v>WC</v>
          </cell>
          <cell r="AJ1460"/>
        </row>
        <row r="1461">
          <cell r="E1461" t="str">
            <v>S0034445</v>
          </cell>
          <cell r="F1461" t="str">
            <v>SPS THE QUARTERDECK WILLETTON</v>
          </cell>
          <cell r="I1461" t="str">
            <v>S0034451</v>
          </cell>
          <cell r="J1461" t="str">
            <v>Main SB</v>
          </cell>
          <cell r="K1461" t="str">
            <v>11218-40-1</v>
          </cell>
          <cell r="M1461"/>
          <cell r="V1461" t="str">
            <v>Fuse</v>
          </cell>
          <cell r="W1461">
            <v>100</v>
          </cell>
          <cell r="AF1461">
            <v>1971</v>
          </cell>
          <cell r="AH1461" t="str">
            <v>Dave Sutton</v>
          </cell>
          <cell r="AI1461" t="str">
            <v>WC</v>
          </cell>
          <cell r="AJ1461"/>
        </row>
        <row r="1462">
          <cell r="E1462" t="str">
            <v>S0034327</v>
          </cell>
          <cell r="F1462" t="str">
            <v>SPS LARISSA RD WILLETTON</v>
          </cell>
          <cell r="I1462" t="str">
            <v>S0034333</v>
          </cell>
          <cell r="J1462" t="str">
            <v>Main SB</v>
          </cell>
          <cell r="K1462" t="str">
            <v>16207-40-2</v>
          </cell>
          <cell r="M1462"/>
          <cell r="AF1462">
            <v>1979</v>
          </cell>
          <cell r="AH1462" t="str">
            <v>Dave Sutton</v>
          </cell>
          <cell r="AI1462" t="str">
            <v>WC</v>
          </cell>
          <cell r="AJ1462"/>
        </row>
        <row r="1463">
          <cell r="E1463" t="str">
            <v>S0034230</v>
          </cell>
          <cell r="F1463" t="str">
            <v>SPS BURRENDAH BVD WILLETTON</v>
          </cell>
          <cell r="H1463" t="str">
            <v>SEC Supply</v>
          </cell>
          <cell r="I1463" t="str">
            <v>S0034236</v>
          </cell>
          <cell r="J1463" t="str">
            <v>Main SB</v>
          </cell>
          <cell r="K1463" t="str">
            <v>13354-40-1</v>
          </cell>
          <cell r="M1463"/>
          <cell r="V1463" t="str">
            <v>Fuse</v>
          </cell>
          <cell r="W1463">
            <v>60</v>
          </cell>
          <cell r="AF1463">
            <v>1975</v>
          </cell>
          <cell r="AH1463" t="str">
            <v>Dave Sutton</v>
          </cell>
          <cell r="AI1463" t="str">
            <v>WC</v>
          </cell>
          <cell r="AJ1463"/>
        </row>
        <row r="1464">
          <cell r="E1464" t="str">
            <v>S0034265</v>
          </cell>
          <cell r="F1464" t="str">
            <v>SPS COLLINS RD WILLETTON</v>
          </cell>
          <cell r="H1464" t="str">
            <v>SEC Supply</v>
          </cell>
          <cell r="I1464" t="str">
            <v>S0034269</v>
          </cell>
          <cell r="J1464" t="str">
            <v>Main SB</v>
          </cell>
          <cell r="K1464" t="str">
            <v>18195-40-1</v>
          </cell>
          <cell r="M1464"/>
          <cell r="S1464" t="str">
            <v>PVC</v>
          </cell>
          <cell r="T1464" t="str">
            <v>4x1C 10mm2</v>
          </cell>
          <cell r="V1464" t="str">
            <v>MCB</v>
          </cell>
          <cell r="W1464">
            <v>63</v>
          </cell>
          <cell r="AF1464">
            <v>1983</v>
          </cell>
          <cell r="AH1464" t="str">
            <v>Dave Sutton</v>
          </cell>
          <cell r="AI1464" t="str">
            <v>WC</v>
          </cell>
          <cell r="AJ1464"/>
        </row>
        <row r="1465">
          <cell r="E1465" t="str">
            <v>S0032987</v>
          </cell>
          <cell r="F1465" t="str">
            <v>SPS FERN RD WILSON</v>
          </cell>
          <cell r="H1465" t="str">
            <v>SEC Supply</v>
          </cell>
          <cell r="I1465" t="str">
            <v>S0032991</v>
          </cell>
          <cell r="J1465" t="str">
            <v>Main SB</v>
          </cell>
          <cell r="K1465" t="str">
            <v>18911-40-1</v>
          </cell>
          <cell r="M1465"/>
          <cell r="S1465" t="str">
            <v>PVC</v>
          </cell>
          <cell r="T1465" t="str">
            <v>4x1C 6mm2</v>
          </cell>
          <cell r="V1465" t="str">
            <v>MCB</v>
          </cell>
          <cell r="W1465">
            <v>80</v>
          </cell>
          <cell r="AF1465">
            <v>1984</v>
          </cell>
          <cell r="AH1465" t="str">
            <v>Dave Sutton</v>
          </cell>
          <cell r="AI1465" t="str">
            <v>WC</v>
          </cell>
          <cell r="AJ1465"/>
        </row>
        <row r="1466">
          <cell r="E1466" t="str">
            <v>S0033880</v>
          </cell>
          <cell r="F1466" t="str">
            <v>SPS WINTHROP DR WINTHROP</v>
          </cell>
          <cell r="H1466" t="str">
            <v>SEC Supply</v>
          </cell>
          <cell r="I1466" t="str">
            <v>S0033884</v>
          </cell>
          <cell r="J1466" t="str">
            <v>SB1</v>
          </cell>
          <cell r="K1466" t="str">
            <v>AK03-40-1</v>
          </cell>
          <cell r="M1466"/>
          <cell r="V1466" t="str">
            <v>MCB</v>
          </cell>
          <cell r="W1466">
            <v>100</v>
          </cell>
          <cell r="AF1466">
            <v>1986</v>
          </cell>
          <cell r="AH1466" t="str">
            <v>Dave Sutton</v>
          </cell>
          <cell r="AI1466" t="str">
            <v>WC</v>
          </cell>
          <cell r="AJ1466"/>
        </row>
        <row r="1467">
          <cell r="E1467" t="str">
            <v>S0030152</v>
          </cell>
          <cell r="F1467" t="str">
            <v>SPS HOLMESDALE RD WOODBRIDGE</v>
          </cell>
          <cell r="H1467" t="str">
            <v>Supply Authority</v>
          </cell>
          <cell r="I1467" t="str">
            <v>S2020176</v>
          </cell>
          <cell r="J1467" t="str">
            <v>Main SB</v>
          </cell>
          <cell r="K1467" t="str">
            <v>GN55-41-5</v>
          </cell>
          <cell r="M1467"/>
          <cell r="S1467" t="str">
            <v>XLPE</v>
          </cell>
          <cell r="T1467" t="str">
            <v>16mm2</v>
          </cell>
          <cell r="V1467" t="str">
            <v>MCB</v>
          </cell>
          <cell r="W1467">
            <v>63</v>
          </cell>
          <cell r="AF1467">
            <v>2003</v>
          </cell>
          <cell r="AH1467" t="str">
            <v>Dave Sutton</v>
          </cell>
          <cell r="AI1467" t="str">
            <v>WC</v>
          </cell>
          <cell r="AJ1467"/>
        </row>
        <row r="1468">
          <cell r="E1468" t="str">
            <v>S0030138</v>
          </cell>
          <cell r="F1468" t="str">
            <v>SPS HARPER ST WOODBRIDGE</v>
          </cell>
          <cell r="H1468" t="str">
            <v>SEC Supply</v>
          </cell>
          <cell r="I1468" t="str">
            <v>S0030144</v>
          </cell>
          <cell r="J1468" t="str">
            <v>Main SB</v>
          </cell>
          <cell r="K1468" t="str">
            <v>DD19-41-5</v>
          </cell>
          <cell r="M1468"/>
          <cell r="O1468">
            <v>415</v>
          </cell>
          <cell r="S1468" t="str">
            <v>PVC/PVC</v>
          </cell>
          <cell r="T1468" t="str">
            <v>4x1C 16mm2</v>
          </cell>
          <cell r="V1468" t="str">
            <v>MCB</v>
          </cell>
          <cell r="W1468">
            <v>32</v>
          </cell>
          <cell r="AF1468">
            <v>1994</v>
          </cell>
          <cell r="AH1468" t="str">
            <v>Dave Sutton</v>
          </cell>
          <cell r="AI1468" t="str">
            <v>WC</v>
          </cell>
          <cell r="AJ1468"/>
        </row>
        <row r="1469">
          <cell r="E1469" t="str">
            <v>S0032028</v>
          </cell>
          <cell r="F1469" t="str">
            <v>SPS ROSEWOOD AV WOODLANDS</v>
          </cell>
          <cell r="I1469" t="str">
            <v>S0032034</v>
          </cell>
          <cell r="K1469" t="str">
            <v>11308-10-1</v>
          </cell>
          <cell r="M1469"/>
          <cell r="AF1469">
            <v>1972</v>
          </cell>
          <cell r="AH1469" t="str">
            <v>Dave Sutton</v>
          </cell>
          <cell r="AI1469" t="str">
            <v>WC</v>
          </cell>
          <cell r="AJ1469"/>
        </row>
        <row r="1470">
          <cell r="E1470" t="str">
            <v>S0028369</v>
          </cell>
          <cell r="F1470" t="str">
            <v>SPS DUFFY TCE WOODVALE</v>
          </cell>
          <cell r="H1470" t="str">
            <v>SEC Supply</v>
          </cell>
          <cell r="I1470" t="str">
            <v>S0028375</v>
          </cell>
          <cell r="J1470" t="str">
            <v>Main SB</v>
          </cell>
          <cell r="K1470" t="str">
            <v>16252-40-3</v>
          </cell>
          <cell r="M1470"/>
          <cell r="AF1470">
            <v>1980</v>
          </cell>
          <cell r="AH1470" t="str">
            <v>Dave Sutton</v>
          </cell>
          <cell r="AI1470" t="str">
            <v>WC</v>
          </cell>
          <cell r="AJ1470"/>
        </row>
        <row r="1471">
          <cell r="E1471" t="str">
            <v>S2000279</v>
          </cell>
          <cell r="F1471" t="str">
            <v>SPS WATERVIEW DR WOODVALE</v>
          </cell>
          <cell r="H1471" t="str">
            <v>Supply Authority</v>
          </cell>
          <cell r="I1471" t="str">
            <v>S2000283</v>
          </cell>
          <cell r="J1471" t="str">
            <v>Main SB</v>
          </cell>
          <cell r="K1471" t="str">
            <v>EY12-41-5</v>
          </cell>
          <cell r="M1471"/>
          <cell r="O1471">
            <v>415</v>
          </cell>
          <cell r="S1471" t="str">
            <v>PYROLEX</v>
          </cell>
          <cell r="T1471" t="str">
            <v>10mm2</v>
          </cell>
          <cell r="V1471" t="str">
            <v>MCB</v>
          </cell>
          <cell r="W1471">
            <v>32</v>
          </cell>
          <cell r="AF1471">
            <v>1999</v>
          </cell>
          <cell r="AH1471" t="str">
            <v>Dave Sutton</v>
          </cell>
          <cell r="AI1471" t="str">
            <v>WC</v>
          </cell>
          <cell r="AJ1471"/>
        </row>
        <row r="1472">
          <cell r="E1472" t="str">
            <v>W0035076</v>
          </cell>
          <cell r="F1472" t="str">
            <v>WPS RAILS CR WUNGONG</v>
          </cell>
          <cell r="I1472" t="str">
            <v>W0035081</v>
          </cell>
          <cell r="J1472" t="str">
            <v>SB1</v>
          </cell>
          <cell r="K1472" t="str">
            <v>16781-40-2</v>
          </cell>
          <cell r="M1472"/>
          <cell r="S1472" t="str">
            <v>PVC</v>
          </cell>
          <cell r="T1472" t="str">
            <v>3x1C 6mm2</v>
          </cell>
          <cell r="AF1472">
            <v>1980</v>
          </cell>
          <cell r="AH1472" t="str">
            <v>Dave Sutton</v>
          </cell>
          <cell r="AI1472" t="str">
            <v>WC</v>
          </cell>
          <cell r="AJ1472"/>
        </row>
        <row r="1473">
          <cell r="E1473" t="str">
            <v>S0030331</v>
          </cell>
          <cell r="F1473" t="str">
            <v>SPS ST ANDREWS DR YANCHEP</v>
          </cell>
          <cell r="I1473" t="str">
            <v>S0030337</v>
          </cell>
          <cell r="K1473" t="str">
            <v>13767-40-1</v>
          </cell>
          <cell r="M1473"/>
          <cell r="AF1473">
            <v>1974</v>
          </cell>
          <cell r="AH1473" t="str">
            <v>Dave Sutton</v>
          </cell>
          <cell r="AI1473" t="str">
            <v>WC</v>
          </cell>
          <cell r="AJ1473"/>
        </row>
        <row r="1474">
          <cell r="E1474" t="str">
            <v>S0030338</v>
          </cell>
          <cell r="F1474" t="str">
            <v>SPS WELWYN AV YANCHEP</v>
          </cell>
          <cell r="H1474" t="str">
            <v>SEC Supply</v>
          </cell>
          <cell r="I1474" t="str">
            <v>S0030342</v>
          </cell>
          <cell r="J1474" t="str">
            <v>Main SB</v>
          </cell>
          <cell r="K1474" t="str">
            <v>17390-40-3</v>
          </cell>
          <cell r="M1474"/>
          <cell r="S1474" t="str">
            <v>PVC</v>
          </cell>
          <cell r="T1474" t="str">
            <v>4x1C 6mm2</v>
          </cell>
          <cell r="AF1474">
            <v>1980</v>
          </cell>
          <cell r="AH1474" t="str">
            <v>Dave Sutton</v>
          </cell>
          <cell r="AI1474" t="str">
            <v>WC</v>
          </cell>
          <cell r="AJ1474"/>
        </row>
        <row r="1475">
          <cell r="E1475" t="str">
            <v>S2018321</v>
          </cell>
          <cell r="F1475" t="str">
            <v>SPS YANCHEP BEACH RD YANCHEP</v>
          </cell>
          <cell r="H1475" t="str">
            <v>Supply Authority</v>
          </cell>
          <cell r="I1475" t="str">
            <v>S2019250</v>
          </cell>
          <cell r="J1475" t="str">
            <v>Main SB</v>
          </cell>
          <cell r="K1475" t="str">
            <v>ID78-41-5</v>
          </cell>
          <cell r="M1475"/>
          <cell r="O1475">
            <v>415</v>
          </cell>
          <cell r="S1475" t="str">
            <v>XLPE</v>
          </cell>
          <cell r="T1475" t="str">
            <v>25mm2</v>
          </cell>
          <cell r="V1475" t="str">
            <v>MCB</v>
          </cell>
          <cell r="W1475">
            <v>100</v>
          </cell>
          <cell r="AF1475">
            <v>2007</v>
          </cell>
          <cell r="AH1475" t="str">
            <v>Dave Sutton</v>
          </cell>
          <cell r="AI1475" t="str">
            <v>WC</v>
          </cell>
          <cell r="AJ1475"/>
        </row>
        <row r="1476">
          <cell r="E1476" t="str">
            <v>S0030323</v>
          </cell>
          <cell r="F1476" t="str">
            <v>SPS FORESHORE VSTA YANCHEP</v>
          </cell>
          <cell r="H1476" t="str">
            <v>Supply Authority</v>
          </cell>
          <cell r="I1476" t="str">
            <v>S2003537</v>
          </cell>
          <cell r="J1476" t="str">
            <v>Main SB</v>
          </cell>
          <cell r="K1476" t="str">
            <v>DV02-41-5</v>
          </cell>
          <cell r="M1476"/>
          <cell r="O1476">
            <v>415</v>
          </cell>
          <cell r="S1476" t="str">
            <v>PYROLEX</v>
          </cell>
          <cell r="T1476" t="str">
            <v>10mm2</v>
          </cell>
          <cell r="V1476" t="str">
            <v>MCB</v>
          </cell>
          <cell r="W1476">
            <v>63</v>
          </cell>
          <cell r="AF1476">
            <v>1996</v>
          </cell>
          <cell r="AH1476" t="str">
            <v>Dave Sutton</v>
          </cell>
          <cell r="AI1476" t="str">
            <v>WC</v>
          </cell>
          <cell r="AJ1476"/>
        </row>
        <row r="1477">
          <cell r="E1477" t="str">
            <v>S2013763</v>
          </cell>
          <cell r="F1477" t="str">
            <v>SPS LADY LINDSAY COVE YANCHEP</v>
          </cell>
          <cell r="H1477" t="str">
            <v>Supply Authority</v>
          </cell>
          <cell r="I1477" t="str">
            <v>S2013767</v>
          </cell>
          <cell r="J1477" t="str">
            <v>Main SB</v>
          </cell>
          <cell r="K1477" t="str">
            <v>GL07-41-5</v>
          </cell>
          <cell r="M1477">
            <v>200</v>
          </cell>
          <cell r="O1477">
            <v>415</v>
          </cell>
          <cell r="S1477" t="str">
            <v>PVC</v>
          </cell>
          <cell r="T1477" t="str">
            <v>16mm2</v>
          </cell>
          <cell r="V1477" t="str">
            <v>MCB</v>
          </cell>
          <cell r="W1477">
            <v>63</v>
          </cell>
          <cell r="AF1477">
            <v>2003</v>
          </cell>
          <cell r="AH1477" t="str">
            <v>Dave Sutton</v>
          </cell>
          <cell r="AI1477" t="str">
            <v>WC</v>
          </cell>
          <cell r="AJ1477"/>
        </row>
        <row r="1478">
          <cell r="E1478" t="str">
            <v>S2019064</v>
          </cell>
          <cell r="F1478" t="str">
            <v>SPS BEACHHAVEN DR YANCHEP</v>
          </cell>
          <cell r="H1478" t="str">
            <v>Supply Authority</v>
          </cell>
          <cell r="I1478" t="str">
            <v>S2019835</v>
          </cell>
          <cell r="J1478" t="str">
            <v>Main SB</v>
          </cell>
          <cell r="K1478" t="str">
            <v>IJ91-41-5</v>
          </cell>
          <cell r="M1478">
            <v>500</v>
          </cell>
          <cell r="N1478">
            <v>22</v>
          </cell>
          <cell r="O1478">
            <v>415</v>
          </cell>
          <cell r="S1478" t="str">
            <v>PVC/PVC</v>
          </cell>
          <cell r="T1478" t="str">
            <v>16mm2</v>
          </cell>
          <cell r="V1478" t="str">
            <v>Fuse</v>
          </cell>
          <cell r="W1478">
            <v>60</v>
          </cell>
          <cell r="X1478" t="str">
            <v>IJ91-40-2</v>
          </cell>
          <cell r="AF1478">
            <v>2007</v>
          </cell>
          <cell r="AH1478" t="str">
            <v>Dave Sutton</v>
          </cell>
          <cell r="AI1478" t="str">
            <v>WC</v>
          </cell>
          <cell r="AJ1478"/>
        </row>
        <row r="1479">
          <cell r="E1479" t="str">
            <v>S2020124</v>
          </cell>
          <cell r="F1479" t="str">
            <v>SPS TWO ROCKS RD YANCHEP</v>
          </cell>
          <cell r="H1479" t="str">
            <v>Supply Authority</v>
          </cell>
          <cell r="I1479" t="str">
            <v>S2023441</v>
          </cell>
          <cell r="J1479" t="str">
            <v>Main SB</v>
          </cell>
          <cell r="K1479" t="str">
            <v>JG53-41-5</v>
          </cell>
          <cell r="M1479">
            <v>315</v>
          </cell>
          <cell r="N1479">
            <v>22</v>
          </cell>
          <cell r="O1479">
            <v>415</v>
          </cell>
          <cell r="S1479" t="str">
            <v>XLPE/PVC</v>
          </cell>
          <cell r="T1479" t="str">
            <v>25mm2</v>
          </cell>
          <cell r="V1479" t="str">
            <v>Fuse</v>
          </cell>
          <cell r="W1479">
            <v>80</v>
          </cell>
          <cell r="X1479" t="str">
            <v>JG53-40-2</v>
          </cell>
          <cell r="AF1479">
            <v>2009</v>
          </cell>
          <cell r="AH1479" t="str">
            <v>Dave Sutton</v>
          </cell>
          <cell r="AI1479" t="str">
            <v>WC</v>
          </cell>
          <cell r="AJ1479"/>
        </row>
        <row r="1480">
          <cell r="E1480" t="str">
            <v>S2023141</v>
          </cell>
          <cell r="F1480" t="str">
            <v>SPS MORWELL ST TEMP YANCHEP</v>
          </cell>
          <cell r="H1480" t="str">
            <v>Supply Authority</v>
          </cell>
          <cell r="I1480" t="str">
            <v>S2030062</v>
          </cell>
          <cell r="J1480" t="str">
            <v>Main SB</v>
          </cell>
          <cell r="K1480" t="str">
            <v>JR15-41-5</v>
          </cell>
          <cell r="M1480"/>
          <cell r="N1480">
            <v>22</v>
          </cell>
          <cell r="O1480">
            <v>415</v>
          </cell>
          <cell r="S1480" t="str">
            <v>XLPE/PVC</v>
          </cell>
          <cell r="T1480" t="str">
            <v>25mm2</v>
          </cell>
          <cell r="V1480" t="str">
            <v>MCB</v>
          </cell>
          <cell r="W1480">
            <v>50</v>
          </cell>
          <cell r="X1480" t="str">
            <v>JR15-40-2</v>
          </cell>
          <cell r="AF1480">
            <v>2010</v>
          </cell>
          <cell r="AH1480" t="str">
            <v>Dave Sutton</v>
          </cell>
          <cell r="AI1480" t="str">
            <v>WC</v>
          </cell>
          <cell r="AJ1480"/>
        </row>
        <row r="1481">
          <cell r="E1481" t="str">
            <v>S2023141</v>
          </cell>
          <cell r="F1481" t="str">
            <v>SPS MORWELL ST TEMP YANCHEP</v>
          </cell>
          <cell r="H1481" t="str">
            <v>Main SB</v>
          </cell>
          <cell r="J1481" t="str">
            <v>Pump Station CB</v>
          </cell>
          <cell r="K1481" t="str">
            <v>JR15-42-5</v>
          </cell>
          <cell r="M1481"/>
          <cell r="S1481" t="str">
            <v>XLPE/PVC</v>
          </cell>
          <cell r="T1481" t="str">
            <v>25mm2</v>
          </cell>
          <cell r="V1481" t="str">
            <v>MCB</v>
          </cell>
          <cell r="W1481">
            <v>50</v>
          </cell>
          <cell r="X1481" t="str">
            <v>JR15-40-2</v>
          </cell>
          <cell r="AF1481">
            <v>2010</v>
          </cell>
          <cell r="AH1481" t="str">
            <v>Dave Sutton</v>
          </cell>
          <cell r="AI1481" t="str">
            <v>WC</v>
          </cell>
          <cell r="AJ1481"/>
        </row>
        <row r="1482">
          <cell r="E1482" t="str">
            <v>D0036743</v>
          </cell>
          <cell r="F1482" t="str">
            <v>DPS YANGEBUP RD YANGEBUP</v>
          </cell>
          <cell r="H1482" t="str">
            <v>Supply Authority</v>
          </cell>
          <cell r="I1482" t="str">
            <v>D0036749</v>
          </cell>
          <cell r="J1482" t="str">
            <v>Main SB</v>
          </cell>
          <cell r="K1482" t="str">
            <v>CH84-40-1</v>
          </cell>
          <cell r="M1482">
            <v>630</v>
          </cell>
          <cell r="N1482">
            <v>22</v>
          </cell>
          <cell r="O1482">
            <v>415</v>
          </cell>
          <cell r="V1482" t="str">
            <v>MCB</v>
          </cell>
          <cell r="W1482">
            <v>1000</v>
          </cell>
          <cell r="AF1482">
            <v>2000</v>
          </cell>
          <cell r="AH1482" t="str">
            <v>Dave Sutton</v>
          </cell>
          <cell r="AI1482" t="str">
            <v>WC</v>
          </cell>
          <cell r="AJ1482"/>
        </row>
        <row r="1483">
          <cell r="E1483" t="str">
            <v>W2000229</v>
          </cell>
          <cell r="F1483" t="str">
            <v>WPS BONITO PL YANGEBUP</v>
          </cell>
          <cell r="H1483" t="str">
            <v>Supply Authority</v>
          </cell>
          <cell r="I1483" t="str">
            <v>W2000234</v>
          </cell>
          <cell r="J1483" t="str">
            <v>Main SB</v>
          </cell>
          <cell r="K1483" t="str">
            <v>FJ49-41-5</v>
          </cell>
          <cell r="M1483"/>
          <cell r="O1483">
            <v>415</v>
          </cell>
          <cell r="S1483" t="str">
            <v>XLPE</v>
          </cell>
          <cell r="T1483" t="str">
            <v>3x1C 25mm2</v>
          </cell>
          <cell r="V1483" t="str">
            <v>MCB</v>
          </cell>
          <cell r="W1483">
            <v>63</v>
          </cell>
          <cell r="AF1483">
            <v>2000</v>
          </cell>
          <cell r="AH1483" t="str">
            <v>Dave Sutton</v>
          </cell>
          <cell r="AI1483" t="str">
            <v>WC</v>
          </cell>
          <cell r="AJ1483" t="str">
            <v>Genset onsite (20kVA)</v>
          </cell>
        </row>
        <row r="1484">
          <cell r="E1484" t="str">
            <v>D0036175</v>
          </cell>
          <cell r="F1484" t="str">
            <v>DPS WELLINGTON PDE YOKINE</v>
          </cell>
          <cell r="I1484" t="str">
            <v>D0036179</v>
          </cell>
          <cell r="K1484" t="str">
            <v>09674-40-1</v>
          </cell>
          <cell r="M1484"/>
          <cell r="AF1484">
            <v>1966</v>
          </cell>
          <cell r="AH1484" t="str">
            <v>Dave Sutton</v>
          </cell>
          <cell r="AI1484" t="str">
            <v>WC</v>
          </cell>
          <cell r="AJ1484"/>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wer_Pump_Stations"/>
      <sheetName val="Gamma"/>
      <sheetName val="Beta"/>
      <sheetName val="Alpha"/>
      <sheetName val="Golden"/>
      <sheetName val="ViewX58"/>
      <sheetName val="GPSFormat"/>
      <sheetName val="PowerMeters"/>
      <sheetName val="Locations"/>
      <sheetName val="HELVDatabase"/>
      <sheetName val="IForm Input"/>
      <sheetName val="MAIN"/>
      <sheetName val="Sheet2"/>
      <sheetName val="GR Blue"/>
      <sheetName val="AlphaBeta"/>
      <sheetName val="AutoSave2"/>
    </sheetNames>
    <sheetDataSet>
      <sheetData sheetId="0"/>
      <sheetData sheetId="1"/>
      <sheetData sheetId="2"/>
      <sheetData sheetId="3"/>
      <sheetData sheetId="4"/>
      <sheetData sheetId="5"/>
      <sheetData sheetId="6"/>
      <sheetData sheetId="7">
        <row r="1">
          <cell r="G1" t="str">
            <v>Description of functional location</v>
          </cell>
          <cell r="H1" t="str">
            <v>Functional 
Location</v>
          </cell>
          <cell r="I1" t="str">
            <v>Address 1</v>
          </cell>
          <cell r="J1" t="str">
            <v>Address 2</v>
          </cell>
          <cell r="K1" t="str">
            <v>Meter</v>
          </cell>
        </row>
        <row r="2">
          <cell r="G2" t="str">
            <v>SP POST TANK GRASS PATCH</v>
          </cell>
          <cell r="H2" t="str">
            <v>W0021736</v>
          </cell>
          <cell r="I2" t="str">
            <v>L64 FREEMAN ST</v>
          </cell>
          <cell r="J2" t="str">
            <v>GRASS PATCH WA 6446</v>
          </cell>
          <cell r="K2" t="str">
            <v>15D061823</v>
          </cell>
        </row>
        <row r="3">
          <cell r="G3" t="str">
            <v>BOREFIELD CARNARVON</v>
          </cell>
          <cell r="H3" t="str">
            <v>W0038055</v>
          </cell>
          <cell r="I3" t="str">
            <v>UNIT 53E/1401 LAWSON ST</v>
          </cell>
          <cell r="J3" t="str">
            <v>CARNARVON WA 6701</v>
          </cell>
          <cell r="K3" t="str">
            <v>410M202481</v>
          </cell>
        </row>
        <row r="4">
          <cell r="G4" t="str">
            <v>BORE 2/03 WEDGE PIT LAVERTON</v>
          </cell>
          <cell r="H4" t="str">
            <v>W6004340</v>
          </cell>
          <cell r="I4" t="str">
            <v>UNIT 2/LOC 4771 GREAT CENTRAL ROAD</v>
          </cell>
          <cell r="J4" t="str">
            <v>LAVERTON WA 6440</v>
          </cell>
          <cell r="K4" t="str">
            <v>0380003992</v>
          </cell>
        </row>
        <row r="5">
          <cell r="G5" t="str">
            <v>BOREFIELD CARNARVON</v>
          </cell>
          <cell r="H5" t="str">
            <v>W0038055</v>
          </cell>
          <cell r="I5" t="str">
            <v>UNIT 53E/992 LAWSON ST</v>
          </cell>
          <cell r="J5" t="str">
            <v>CARNARVON WA 6701</v>
          </cell>
          <cell r="K5" t="str">
            <v>A38307900</v>
          </cell>
        </row>
        <row r="6">
          <cell r="G6" t="str">
            <v>WTP LEONORA</v>
          </cell>
          <cell r="H6" t="str">
            <v>W6003060</v>
          </cell>
          <cell r="I6" t="str">
            <v>UNIT 303/LOC 4771 GREAT CENTRAL ROAD</v>
          </cell>
          <cell r="J6" t="str">
            <v>LAVERTON WA 6440</v>
          </cell>
          <cell r="K6" t="str">
            <v>0380003993</v>
          </cell>
        </row>
        <row r="7">
          <cell r="G7" t="str">
            <v>BOREFIELD CARNARVON</v>
          </cell>
          <cell r="H7" t="str">
            <v>W0038055</v>
          </cell>
          <cell r="I7" t="str">
            <v>UNIT 53E/1601 LAWSON ST</v>
          </cell>
          <cell r="J7" t="str">
            <v>CARNARVON WA 6701</v>
          </cell>
          <cell r="K7" t="str">
            <v>410M202860</v>
          </cell>
        </row>
        <row r="8">
          <cell r="G8" t="str">
            <v>SPS MH0242 SIMS ST ESPERANCE</v>
          </cell>
          <cell r="H8" t="str">
            <v>S0015164</v>
          </cell>
          <cell r="I8" t="str">
            <v>LOC 108 SIMS STREET</v>
          </cell>
          <cell r="J8" t="str">
            <v>ESPERANCE WA 6450</v>
          </cell>
          <cell r="K8" t="str">
            <v>0350018303</v>
          </cell>
        </row>
        <row r="9">
          <cell r="G9" t="str">
            <v>SPS 4 CABLE BCH RD BROOME</v>
          </cell>
          <cell r="H9" t="str">
            <v>S0025526</v>
          </cell>
          <cell r="I9" t="str">
            <v>LOT 2224 CABLE ROAD W</v>
          </cell>
          <cell r="J9" t="str">
            <v>CABLE BEACH WA 6726</v>
          </cell>
          <cell r="K9" t="str">
            <v>0180029446</v>
          </cell>
        </row>
        <row r="10">
          <cell r="G10" t="str">
            <v>WATER TREATMENT DESAL DENHAM</v>
          </cell>
          <cell r="H10" t="str">
            <v>W230-002-004</v>
          </cell>
          <cell r="I10" t="str">
            <v>UNIT 53/LOC 28924 MONKEY MIA RD</v>
          </cell>
          <cell r="J10" t="str">
            <v>DENHAM WA 6537</v>
          </cell>
          <cell r="K10" t="str">
            <v>0136001732</v>
          </cell>
        </row>
        <row r="11">
          <cell r="G11" t="str">
            <v>WPS BRICKHOUSE CARNARVON</v>
          </cell>
          <cell r="H11" t="str">
            <v>W0039043</v>
          </cell>
          <cell r="I11" t="str">
            <v>UNIT 53E/382 LAWSON ST</v>
          </cell>
          <cell r="J11" t="str">
            <v>CARNARVON WA 6701</v>
          </cell>
          <cell r="K11" t="str">
            <v>A34389623</v>
          </cell>
        </row>
        <row r="12">
          <cell r="G12" t="str">
            <v>WTP SANDSTONE</v>
          </cell>
          <cell r="H12" t="str">
            <v>W4000897</v>
          </cell>
          <cell r="I12" t="str">
            <v>SANDSTONE -WILUNA RD</v>
          </cell>
          <cell r="J12" t="str">
            <v>SANDSTONE WA 6639</v>
          </cell>
          <cell r="K12" t="str">
            <v>450M22358</v>
          </cell>
        </row>
        <row r="13">
          <cell r="G13" t="str">
            <v>REYNOLDS ST,GIBSON</v>
          </cell>
          <cell r="H13" t="str">
            <v>WA006592</v>
          </cell>
          <cell r="I13" t="str">
            <v>LOC 27882 COOLGARDIE-ESPERANCE HWY</v>
          </cell>
          <cell r="J13" t="str">
            <v>GIBSON WA 6448</v>
          </cell>
          <cell r="K13" t="str">
            <v>15M109761</v>
          </cell>
        </row>
        <row r="14">
          <cell r="G14" t="str">
            <v>DAM DIVERSION KUNUNURRA</v>
          </cell>
          <cell r="H14" t="str">
            <v>I002-005-001</v>
          </cell>
          <cell r="I14" t="str">
            <v>LOT 768 VICTORIA HWY</v>
          </cell>
          <cell r="J14" t="str">
            <v>KUNUNURRA WA 6743</v>
          </cell>
          <cell r="K14" t="str">
            <v>4200M2437</v>
          </cell>
        </row>
        <row r="15">
          <cell r="G15" t="str">
            <v>SPS 13 CHANTILLY CIR ESPERANCE</v>
          </cell>
          <cell r="H15" t="str">
            <v>S6001000</v>
          </cell>
          <cell r="I15" t="str">
            <v>LOT 3000 CHANTILLY COURT</v>
          </cell>
          <cell r="J15" t="str">
            <v>CASTLETOWN WA 6450</v>
          </cell>
          <cell r="K15" t="str">
            <v>0380010119</v>
          </cell>
        </row>
        <row r="16">
          <cell r="G16" t="str">
            <v>BORE 07-90 HALLS CK</v>
          </cell>
          <cell r="H16" t="str">
            <v>W0026130</v>
          </cell>
          <cell r="I16" t="str">
            <v>LOT 23136 DUNCAN HIGHWAY</v>
          </cell>
          <cell r="J16" t="str">
            <v>HALLS CREEK WA</v>
          </cell>
          <cell r="K16" t="str">
            <v>0180034193</v>
          </cell>
        </row>
        <row r="17">
          <cell r="G17" t="str">
            <v>SCADA PAYNE ST SANDSTONE</v>
          </cell>
          <cell r="H17" t="str">
            <v>WZ018480</v>
          </cell>
          <cell r="I17" t="str">
            <v>LOT 73 PAYNE ST</v>
          </cell>
          <cell r="J17" t="str">
            <v>SANDSTONE WA 6639</v>
          </cell>
          <cell r="K17" t="str">
            <v>15D061914</v>
          </cell>
        </row>
        <row r="18">
          <cell r="G18" t="str">
            <v>BORE 02-05 HOPETOUN</v>
          </cell>
          <cell r="H18" t="str">
            <v>W7004377</v>
          </cell>
          <cell r="I18" t="str">
            <v>LOC 968 HOPETOUN ROAD HOPETOUN WA</v>
          </cell>
          <cell r="J18" t="str">
            <v>HOPETOUN WA</v>
          </cell>
          <cell r="K18" t="str">
            <v>0280000227</v>
          </cell>
        </row>
        <row r="19">
          <cell r="G19" t="str">
            <v>WWTP BROOME SOUTH</v>
          </cell>
          <cell r="H19" t="str">
            <v>S038-002-004</v>
          </cell>
          <cell r="I19" t="str">
            <v>34 CLEMENTSON STREET</v>
          </cell>
          <cell r="J19" t="str">
            <v>BROOME WA 6725</v>
          </cell>
          <cell r="K19" t="str">
            <v>0136002075</v>
          </cell>
        </row>
        <row r="20">
          <cell r="G20" t="str">
            <v>SPS MH0515 DANN PL BROOME</v>
          </cell>
          <cell r="H20" t="str">
            <v>S0025540</v>
          </cell>
          <cell r="I20" t="str">
            <v>LOT 2629 DANN PLACE</v>
          </cell>
          <cell r="J20" t="str">
            <v>BROOME WA 6725</v>
          </cell>
          <cell r="K20" t="str">
            <v>0180002242</v>
          </cell>
        </row>
        <row r="21">
          <cell r="G21" t="str">
            <v>BOREFIELD CARNARVON</v>
          </cell>
          <cell r="H21" t="str">
            <v>W0038055</v>
          </cell>
          <cell r="I21" t="str">
            <v>UNIT 53E/2194 LAWSON ST</v>
          </cell>
          <cell r="J21" t="str">
            <v>CARNARVON WA 6701</v>
          </cell>
          <cell r="K21" t="str">
            <v>410M198009</v>
          </cell>
        </row>
        <row r="22">
          <cell r="G22" t="str">
            <v>WPS SALMON GUMS QUARRY</v>
          </cell>
          <cell r="H22" t="str">
            <v>W6002921</v>
          </cell>
          <cell r="I22" t="str">
            <v>LOT 1587 COOLGARDIE-ESPERANCE HWY</v>
          </cell>
          <cell r="J22" t="str">
            <v>SALMON GUMS WA 6445</v>
          </cell>
          <cell r="K22" t="str">
            <v>0350012504</v>
          </cell>
        </row>
        <row r="23">
          <cell r="G23" t="str">
            <v>SPS 1 SEARIPPLE RD KARRATHA</v>
          </cell>
          <cell r="H23" t="str">
            <v>S0025609</v>
          </cell>
          <cell r="I23" t="str">
            <v>UNIT 52/LOT 1077 SEARIPPLE ROAD</v>
          </cell>
          <cell r="J23" t="str">
            <v>KARRATHA WA 6714</v>
          </cell>
          <cell r="K23" t="str">
            <v>4150AM524</v>
          </cell>
        </row>
        <row r="24">
          <cell r="G24" t="str">
            <v>SPS 9 TRAVERS ST ESPERANCE</v>
          </cell>
          <cell r="H24" t="str">
            <v>S0015205</v>
          </cell>
          <cell r="I24" t="str">
            <v>LOT 879 TRAVERS AVENUE</v>
          </cell>
          <cell r="J24" t="str">
            <v>ESPERANCE WA 6450</v>
          </cell>
          <cell r="K24" t="str">
            <v>410M204472</v>
          </cell>
        </row>
        <row r="25">
          <cell r="G25" t="str">
            <v>BOREFIELD CARNARVON</v>
          </cell>
          <cell r="H25" t="str">
            <v>W0038055</v>
          </cell>
          <cell r="I25" t="str">
            <v>1594 LAWSON ST</v>
          </cell>
          <cell r="J25" t="str">
            <v>CARNARVON WA 6701</v>
          </cell>
          <cell r="K25" t="str">
            <v>2118000131</v>
          </cell>
        </row>
        <row r="26">
          <cell r="G26" t="str">
            <v>METER WPS KANGAROO HILL DAMPIER</v>
          </cell>
          <cell r="H26" t="str">
            <v>W0026474</v>
          </cell>
          <cell r="I26" t="str">
            <v>UNIT 52/LOT 24 BURRUP PENINSULA</v>
          </cell>
          <cell r="J26" t="str">
            <v>KARRATHA WA 6714</v>
          </cell>
          <cell r="K26" t="str">
            <v>0211000802</v>
          </cell>
        </row>
        <row r="27">
          <cell r="G27" t="str">
            <v>WPS CANE RIVER</v>
          </cell>
          <cell r="H27" t="str">
            <v>W0026253</v>
          </cell>
          <cell r="I27" t="str">
            <v>LOT 938 MCGRATH AVENUE</v>
          </cell>
          <cell r="J27" t="str">
            <v>ONSLOW WA 6710</v>
          </cell>
          <cell r="K27" t="str">
            <v>0380004299</v>
          </cell>
        </row>
        <row r="28">
          <cell r="G28" t="str">
            <v>SPS 4 PINK LAKE RD ESPERANCE</v>
          </cell>
          <cell r="H28" t="str">
            <v>S0015191</v>
          </cell>
          <cell r="I28" t="str">
            <v>LOT 419 PAINE ROAD</v>
          </cell>
          <cell r="J28" t="str">
            <v>ESPERANCE WA 6450</v>
          </cell>
          <cell r="K28" t="str">
            <v>410M2006070</v>
          </cell>
        </row>
        <row r="29">
          <cell r="G29" t="str">
            <v>BORE 29-97 BUTTY 43</v>
          </cell>
          <cell r="H29" t="str">
            <v>W6000003</v>
          </cell>
          <cell r="I29" t="str">
            <v>UNIT 43/LOC 499 THOMPSON ST</v>
          </cell>
          <cell r="J29" t="str">
            <v>ESPERANCE WA 6450</v>
          </cell>
          <cell r="K29" t="str">
            <v>0350038794</v>
          </cell>
        </row>
        <row r="30">
          <cell r="G30" t="str">
            <v>WPS 1 SIMPSON ST ONSLOW TX</v>
          </cell>
          <cell r="H30" t="str">
            <v>W0026261</v>
          </cell>
          <cell r="I30" t="str">
            <v>LOT 566 BEADON CREEK RD</v>
          </cell>
          <cell r="J30" t="str">
            <v>ONSLOW</v>
          </cell>
          <cell r="K30" t="str">
            <v>410M169210</v>
          </cell>
        </row>
        <row r="31">
          <cell r="G31" t="str">
            <v>WPS 1 SIMPSON ST ONSLOW TX</v>
          </cell>
          <cell r="H31" t="str">
            <v>W0026261</v>
          </cell>
          <cell r="I31" t="str">
            <v>UNIT 52/LOT 383 SIMPSON STREET</v>
          </cell>
          <cell r="J31" t="str">
            <v>ONSLOW WA 6710</v>
          </cell>
          <cell r="K31" t="str">
            <v>0380004298</v>
          </cell>
        </row>
        <row r="32">
          <cell r="G32" t="str">
            <v>BOREFIELD GIBSON</v>
          </cell>
          <cell r="H32" t="str">
            <v>W0021719</v>
          </cell>
          <cell r="I32" t="str">
            <v>LOC 3041 REYNOLDS STREET</v>
          </cell>
          <cell r="J32" t="str">
            <v>GIBSON WA 6448</v>
          </cell>
          <cell r="K32" t="str">
            <v>0280001180</v>
          </cell>
        </row>
        <row r="33">
          <cell r="G33" t="str">
            <v>SPS 6 FALCON PDE KARRATHA</v>
          </cell>
          <cell r="H33" t="str">
            <v>S3001402</v>
          </cell>
          <cell r="I33" t="str">
            <v>LOT 508 FALCON PDE</v>
          </cell>
          <cell r="J33" t="str">
            <v>GAP RIDGE WA 6714</v>
          </cell>
          <cell r="K33" t="str">
            <v>0136006321</v>
          </cell>
        </row>
        <row r="34">
          <cell r="G34" t="str">
            <v>BORE 02-83 TWILIGHT 26</v>
          </cell>
          <cell r="H34" t="str">
            <v>W0021667</v>
          </cell>
          <cell r="I34" t="str">
            <v>LOC 4180 THOMPSON STREET</v>
          </cell>
          <cell r="J34" t="str">
            <v>ESPERANCE WA 6450</v>
          </cell>
          <cell r="K34" t="str">
            <v>0350015130</v>
          </cell>
        </row>
        <row r="35">
          <cell r="G35" t="str">
            <v>BOREFIELD CARNARVON</v>
          </cell>
          <cell r="H35" t="str">
            <v>W0038055</v>
          </cell>
          <cell r="I35" t="str">
            <v>UNIT 53E/1701 LAWSON ST</v>
          </cell>
          <cell r="J35" t="str">
            <v>CARNARVON WA 6701</v>
          </cell>
          <cell r="K35" t="str">
            <v>410M177428</v>
          </cell>
        </row>
        <row r="36">
          <cell r="G36" t="str">
            <v>BORE 15-87 SANDSTONE</v>
          </cell>
          <cell r="H36" t="str">
            <v>W0042631</v>
          </cell>
          <cell r="I36" t="str">
            <v>UNIT 53/LOC 11714 SANDSTONE-WILUNA RD</v>
          </cell>
          <cell r="J36" t="str">
            <v>SANDSTONE WA 6639</v>
          </cell>
          <cell r="K36" t="str">
            <v>450M22362</v>
          </cell>
        </row>
        <row r="37">
          <cell r="G37"/>
          <cell r="H37" t="e">
            <v>#N/A</v>
          </cell>
          <cell r="I37" t="str">
            <v>50 KOOLINDA PARADE</v>
          </cell>
          <cell r="J37" t="str">
            <v>BAYNTON  WA 6714</v>
          </cell>
          <cell r="K37" t="str">
            <v>0180021332</v>
          </cell>
        </row>
        <row r="38">
          <cell r="G38" t="str">
            <v>BOREFIELD CARNARVON</v>
          </cell>
          <cell r="H38" t="str">
            <v>W0038055</v>
          </cell>
          <cell r="I38" t="str">
            <v>UNIT 53E/1894 LAWSON ST</v>
          </cell>
          <cell r="J38" t="str">
            <v>CARNARVON WA 6701</v>
          </cell>
          <cell r="K38" t="str">
            <v>450M5093</v>
          </cell>
        </row>
        <row r="39">
          <cell r="G39" t="str">
            <v>BORE 04-91 TOWN 38</v>
          </cell>
          <cell r="H39" t="str">
            <v>W0021679</v>
          </cell>
          <cell r="I39" t="str">
            <v>LOC 1356 DOWNES STREET</v>
          </cell>
          <cell r="J39" t="str">
            <v>ESPERANCE WA 6450</v>
          </cell>
          <cell r="K39" t="str">
            <v>0350018318</v>
          </cell>
        </row>
        <row r="40">
          <cell r="G40" t="str">
            <v>BORE 04-75 CUE</v>
          </cell>
          <cell r="H40" t="str">
            <v>W0040690</v>
          </cell>
          <cell r="I40" t="str">
            <v>LOC 99999 GREAT NORTHERN HIGHWAY</v>
          </cell>
          <cell r="J40" t="str">
            <v>CUE WA 6640</v>
          </cell>
          <cell r="K40" t="str">
            <v>02147811086</v>
          </cell>
        </row>
        <row r="41">
          <cell r="G41" t="str">
            <v>BOREFIELD EXMOUTH</v>
          </cell>
          <cell r="H41" t="str">
            <v>W0040978</v>
          </cell>
          <cell r="I41" t="str">
            <v>LOC 34055 LEARMONTH ST</v>
          </cell>
          <cell r="J41" t="str">
            <v>EXMOUTH WA 6707</v>
          </cell>
          <cell r="K41" t="str">
            <v>2147200081</v>
          </cell>
        </row>
        <row r="42">
          <cell r="G42" t="str">
            <v>SPS 3 PATON RD NTH STH HEDLAND</v>
          </cell>
          <cell r="H42" t="str">
            <v>S0025844</v>
          </cell>
          <cell r="I42" t="str">
            <v>UNIT 52/LOT 5965 PATON ROAD</v>
          </cell>
          <cell r="J42" t="str">
            <v>SOUTH HEDLAND WA 6722</v>
          </cell>
          <cell r="K42" t="str">
            <v>2118001057</v>
          </cell>
        </row>
        <row r="43">
          <cell r="G43" t="str">
            <v>BOREFIELD CARNARVON</v>
          </cell>
          <cell r="H43" t="str">
            <v>W0038055</v>
          </cell>
          <cell r="I43" t="str">
            <v>UNIT 53E/1501 LAWSON ST</v>
          </cell>
          <cell r="J43" t="str">
            <v>CARNARVON WA 6701</v>
          </cell>
          <cell r="K43" t="str">
            <v>410M202479</v>
          </cell>
        </row>
        <row r="44">
          <cell r="G44" t="str">
            <v>BORE 01-91 TOWN 9</v>
          </cell>
          <cell r="H44" t="str">
            <v>W0021681</v>
          </cell>
          <cell r="I44" t="str">
            <v>U55/LOT 775 CONNOLLY ST</v>
          </cell>
          <cell r="J44" t="str">
            <v>ESPERANCE WA 6450</v>
          </cell>
          <cell r="K44" t="str">
            <v>0350018310</v>
          </cell>
        </row>
        <row r="45">
          <cell r="G45" t="str">
            <v>BORE 27-97 TOWN 40</v>
          </cell>
          <cell r="H45" t="str">
            <v>W6000000</v>
          </cell>
          <cell r="I45" t="str">
            <v>UNIT 27/LOC 499 THOMPSON STREET</v>
          </cell>
          <cell r="J45" t="str">
            <v>ESPERANCE WA 6450</v>
          </cell>
          <cell r="K45" t="str">
            <v>0350007463</v>
          </cell>
        </row>
        <row r="46">
          <cell r="G46" t="str">
            <v>TANK EL 1 WSC STANLEY ST STH HEDLAND</v>
          </cell>
          <cell r="H46" t="str">
            <v>W0026353</v>
          </cell>
          <cell r="I46" t="str">
            <v>UNIT 52/LOT 89 STANLEY STREET</v>
          </cell>
          <cell r="J46" t="str">
            <v>SOUTH HEDLAND WA 6722</v>
          </cell>
          <cell r="K46" t="str">
            <v>410M47903</v>
          </cell>
        </row>
        <row r="47">
          <cell r="G47" t="str">
            <v>COMMON FACILITIES WTP LEONORA</v>
          </cell>
          <cell r="H47" t="str">
            <v>W6003100</v>
          </cell>
          <cell r="I47" t="str">
            <v>UNIT B/25 FORREST STREET</v>
          </cell>
          <cell r="J47" t="str">
            <v>LEONORA WA 6438</v>
          </cell>
          <cell r="K47" t="str">
            <v>0136002452</v>
          </cell>
        </row>
        <row r="48">
          <cell r="G48" t="str">
            <v>SPS MH0140 PHILLIPS ST ESPERANCE</v>
          </cell>
          <cell r="H48" t="str">
            <v>S0015158</v>
          </cell>
          <cell r="I48" t="str">
            <v>58 PHILLIPS STREET</v>
          </cell>
          <cell r="J48" t="str">
            <v>ESPERANCE WA 6450</v>
          </cell>
          <cell r="K48" t="str">
            <v>0350018298</v>
          </cell>
        </row>
        <row r="49">
          <cell r="G49" t="str">
            <v>WPS PAINE RD ESPERANCE</v>
          </cell>
          <cell r="H49" t="str">
            <v>W0021695</v>
          </cell>
          <cell r="I49" t="str">
            <v>LOT 416 PAINE RD</v>
          </cell>
          <cell r="J49" t="str">
            <v>ESPERANCE WA 6450</v>
          </cell>
          <cell r="K49" t="str">
            <v>4200M131</v>
          </cell>
        </row>
        <row r="50">
          <cell r="G50" t="str">
            <v>COMMON FACILITIES S/DELIVERY EAST KIMBER</v>
          </cell>
          <cell r="H50" t="str">
            <v>C023</v>
          </cell>
          <cell r="I50" t="str">
            <v>UNIT 52 / LOT 3 COOLIBAH DR</v>
          </cell>
          <cell r="J50" t="str">
            <v>KUNUNURRA WA 6743</v>
          </cell>
          <cell r="K50" t="str">
            <v>4200M1470</v>
          </cell>
        </row>
        <row r="51">
          <cell r="G51" t="str">
            <v>BOREFIELD CARNARVON</v>
          </cell>
          <cell r="H51" t="str">
            <v>W0038055</v>
          </cell>
          <cell r="I51" t="str">
            <v>UNIT 53E/1201 LAWSON ST</v>
          </cell>
          <cell r="J51" t="str">
            <v>CARNARVON WA 6701</v>
          </cell>
          <cell r="K51" t="str">
            <v>180000445</v>
          </cell>
        </row>
        <row r="52">
          <cell r="G52" t="str">
            <v>BOREFIELD CARNARVON</v>
          </cell>
          <cell r="H52" t="str">
            <v>W0038055</v>
          </cell>
          <cell r="I52" t="str">
            <v>UNIT 53E/1902 LAWSON ST</v>
          </cell>
          <cell r="J52" t="str">
            <v>CARNARVON WA 6701</v>
          </cell>
          <cell r="K52" t="str">
            <v>180011005</v>
          </cell>
        </row>
        <row r="53">
          <cell r="G53" t="str">
            <v>BORE 02-04 HALLS CK</v>
          </cell>
          <cell r="H53" t="str">
            <v>W3001525</v>
          </cell>
          <cell r="I53" t="str">
            <v>UNIT 52 / LOT 49 WELMAN ROAD</v>
          </cell>
          <cell r="J53" t="str">
            <v>HALLS CREEK WA</v>
          </cell>
          <cell r="K53" t="str">
            <v>0180018140</v>
          </cell>
        </row>
        <row r="54">
          <cell r="G54" t="str">
            <v>BOREFIELD WILUNA</v>
          </cell>
          <cell r="H54" t="str">
            <v>W0042784</v>
          </cell>
          <cell r="I54" t="str">
            <v>UNIT 53/LOC 21142 GUNBARREL HIGHWAY</v>
          </cell>
          <cell r="J54" t="str">
            <v>WILUNA WA 6646</v>
          </cell>
          <cell r="K54" t="str">
            <v>0136004671</v>
          </cell>
        </row>
        <row r="55">
          <cell r="G55" t="str">
            <v>RO SYS WTP YALGOO</v>
          </cell>
          <cell r="H55" t="str">
            <v>W4002241</v>
          </cell>
          <cell r="I55" t="str">
            <v>YALGOO NORTH ROAD</v>
          </cell>
          <cell r="J55" t="str">
            <v>YALGOO WA 6635</v>
          </cell>
          <cell r="K55" t="str">
            <v>0136005096</v>
          </cell>
        </row>
        <row r="56">
          <cell r="G56" t="str">
            <v>BORE 36-86 MT MAGNET</v>
          </cell>
          <cell r="H56" t="str">
            <v>W0042270</v>
          </cell>
          <cell r="I56" t="str">
            <v>UNIT 53/ LOC 99996 MOUNT MAGNET-YOWERAGABBIE RD</v>
          </cell>
          <cell r="J56" t="str">
            <v>MOUNT MAGNET WA 6638</v>
          </cell>
          <cell r="K56" t="str">
            <v>0180007090</v>
          </cell>
        </row>
        <row r="57">
          <cell r="G57" t="str">
            <v>SPS 12 GOLDFIELDS RD ESPERANCE</v>
          </cell>
          <cell r="H57" t="str">
            <v>S6000320</v>
          </cell>
          <cell r="I57" t="str">
            <v>LOT 799 GOLDFIELDS ROAD</v>
          </cell>
          <cell r="J57" t="str">
            <v>ESPERANCE WA 6450</v>
          </cell>
          <cell r="K57" t="str">
            <v>410M205426</v>
          </cell>
        </row>
        <row r="58">
          <cell r="G58" t="str">
            <v>BORE 02-89 FITZROY</v>
          </cell>
          <cell r="H58" t="str">
            <v>W0026085</v>
          </cell>
          <cell r="I58" t="str">
            <v>UNIT 52 / LOC 9656 FALLON ROAD</v>
          </cell>
          <cell r="J58" t="str">
            <v>FITZROY CROSSING WA 6765</v>
          </cell>
          <cell r="K58" t="str">
            <v>0350004561</v>
          </cell>
        </row>
        <row r="59">
          <cell r="G59" t="str">
            <v>WPS LAKESIDE KUNUNURRA</v>
          </cell>
          <cell r="H59" t="str">
            <v>W3000654</v>
          </cell>
          <cell r="I59" t="str">
            <v>LOT 2463 VICTORIA HIGHWAY</v>
          </cell>
          <cell r="J59" t="str">
            <v>KUNUNURRA WA 6743</v>
          </cell>
          <cell r="K59" t="str">
            <v>0136002595</v>
          </cell>
        </row>
        <row r="60">
          <cell r="G60" t="str">
            <v>SPS 1 ATHOL ST PT HEDLAND</v>
          </cell>
          <cell r="H60" t="str">
            <v>S0025774</v>
          </cell>
          <cell r="I60" t="str">
            <v>UNIT 52/ LOT 1732 ATHOL STREET</v>
          </cell>
          <cell r="J60" t="str">
            <v>PORT HEDLAND WA 6721</v>
          </cell>
          <cell r="K60" t="str">
            <v>410M122203</v>
          </cell>
        </row>
        <row r="61">
          <cell r="G61" t="str">
            <v>BORE 09-88 SPRINGDALE</v>
          </cell>
          <cell r="H61" t="str">
            <v>W0023033</v>
          </cell>
          <cell r="I61" t="str">
            <v>LOC 831 SPRINGDALE RD</v>
          </cell>
          <cell r="J61" t="str">
            <v>HOPETOUN WA 6348</v>
          </cell>
          <cell r="K61" t="str">
            <v>0380006289</v>
          </cell>
        </row>
        <row r="62">
          <cell r="G62" t="str">
            <v>BORE 03-99 HALLS CK</v>
          </cell>
          <cell r="H62" t="str">
            <v>W3000435</v>
          </cell>
          <cell r="I62" t="str">
            <v>DUNCAN HIGHWAY</v>
          </cell>
          <cell r="J62" t="str">
            <v>HALLS CREEK WA 6770</v>
          </cell>
          <cell r="K62" t="str">
            <v>0380003030</v>
          </cell>
        </row>
        <row r="63">
          <cell r="G63" t="str">
            <v>WPS CABLE BEACH</v>
          </cell>
          <cell r="H63" t="str">
            <v>W0025960</v>
          </cell>
          <cell r="I63" t="str">
            <v>UNIT 52 / LOT 833 BUCKLEYS ROAD</v>
          </cell>
          <cell r="J63" t="str">
            <v>BROOME WA 6725</v>
          </cell>
          <cell r="K63" t="str">
            <v>4200M2690</v>
          </cell>
        </row>
        <row r="64">
          <cell r="G64" t="str">
            <v>BORE 28-97 BUTTY 41</v>
          </cell>
          <cell r="H64" t="str">
            <v>W6000001</v>
          </cell>
          <cell r="I64" t="str">
            <v>41/LOT 499 THOMPSON STREET</v>
          </cell>
          <cell r="J64" t="str">
            <v>ESPERANCE WA 6450</v>
          </cell>
          <cell r="K64" t="str">
            <v>0350007460</v>
          </cell>
        </row>
        <row r="65">
          <cell r="G65" t="str">
            <v>BOREFIELD CARNARVON</v>
          </cell>
          <cell r="H65" t="str">
            <v>W0038055</v>
          </cell>
          <cell r="I65" t="str">
            <v>UNIT 53E/384 LAWSON ST</v>
          </cell>
          <cell r="J65" t="str">
            <v>CARNARVON WA 6701</v>
          </cell>
          <cell r="K65" t="str">
            <v>450M8881</v>
          </cell>
        </row>
        <row r="66">
          <cell r="G66"/>
          <cell r="H66" t="e">
            <v>#N/A</v>
          </cell>
          <cell r="I66" t="str">
            <v>UNIT 55/LOT 106 HALL STREET</v>
          </cell>
          <cell r="J66" t="str">
            <v>LEONORA WA 6438</v>
          </cell>
          <cell r="K66" t="str">
            <v>410M153794</v>
          </cell>
        </row>
        <row r="67">
          <cell r="G67" t="str">
            <v>VPS CROWTHER ST CARNARVON</v>
          </cell>
          <cell r="H67" t="str">
            <v>S4001069</v>
          </cell>
          <cell r="I67" t="str">
            <v>LOT 4 CROWTHER STREET</v>
          </cell>
          <cell r="J67" t="str">
            <v>CARNARVON WA 6701</v>
          </cell>
          <cell r="K67" t="str">
            <v>0180028649</v>
          </cell>
        </row>
        <row r="68">
          <cell r="G68" t="str">
            <v>SPS 7 ACACIA WY STH HEDLAND</v>
          </cell>
          <cell r="H68" t="str">
            <v>S0025869</v>
          </cell>
          <cell r="I68" t="str">
            <v>LOT 2912 ACACIA WAY</v>
          </cell>
          <cell r="J68" t="str">
            <v>SOUTH HEDLAND WA</v>
          </cell>
          <cell r="K68" t="str">
            <v>410M169650</v>
          </cell>
        </row>
        <row r="69">
          <cell r="G69" t="str">
            <v>SPS 5 STYLES RD PT HEDLAND</v>
          </cell>
          <cell r="H69" t="str">
            <v>S0025798</v>
          </cell>
          <cell r="I69" t="str">
            <v>LOT 5955 STYLES ROAD</v>
          </cell>
          <cell r="J69" t="str">
            <v>PORT HEDLAND WA</v>
          </cell>
          <cell r="K69" t="str">
            <v>410M129366</v>
          </cell>
        </row>
        <row r="70">
          <cell r="G70"/>
          <cell r="H70" t="e">
            <v>#N/A</v>
          </cell>
          <cell r="I70" t="str">
            <v>16 DEGREY PL</v>
          </cell>
          <cell r="J70" t="str">
            <v>KARRATHA WA 6714</v>
          </cell>
          <cell r="K70" t="str">
            <v>0136004654</v>
          </cell>
        </row>
        <row r="71">
          <cell r="G71" t="str">
            <v>BORE 01-75 CUE</v>
          </cell>
          <cell r="H71" t="str">
            <v>W0040672</v>
          </cell>
          <cell r="I71" t="str">
            <v>LOC 99998 GREAT NORTHERN HIGHWAY</v>
          </cell>
          <cell r="J71" t="str">
            <v>CUE WA</v>
          </cell>
          <cell r="K71" t="str">
            <v>450M2000538</v>
          </cell>
        </row>
        <row r="72">
          <cell r="G72" t="str">
            <v>REPEATER SITE VHF KELLYS KNOB KUNUNURRA</v>
          </cell>
          <cell r="H72" t="str">
            <v>C0025373</v>
          </cell>
          <cell r="I72" t="str">
            <v>LOT 2422 KELLY ROAD</v>
          </cell>
          <cell r="J72" t="str">
            <v>KUNUNURRA WA</v>
          </cell>
          <cell r="K72" t="str">
            <v>15M90919</v>
          </cell>
        </row>
        <row r="73">
          <cell r="G73" t="str">
            <v>WPS GASCOYNE JUNCTION</v>
          </cell>
          <cell r="H73" t="str">
            <v>W0041574</v>
          </cell>
          <cell r="I73" t="str">
            <v>LOT 1 SMITH STREET</v>
          </cell>
          <cell r="J73" t="str">
            <v>GASCOYNE JUNCTION</v>
          </cell>
          <cell r="K73" t="str">
            <v>410M127755</v>
          </cell>
        </row>
        <row r="74">
          <cell r="G74" t="str">
            <v>WTP WYNDHAM</v>
          </cell>
          <cell r="H74" t="str">
            <v>W3002255</v>
          </cell>
          <cell r="I74" t="str">
            <v>9 A COVERLEY STREET</v>
          </cell>
          <cell r="J74" t="str">
            <v>WYNDHAM WA</v>
          </cell>
          <cell r="K74" t="str">
            <v>0136005873</v>
          </cell>
        </row>
        <row r="75">
          <cell r="G75" t="str">
            <v>BORE 09-88 SPRINGDALE</v>
          </cell>
          <cell r="H75" t="str">
            <v>W0023033</v>
          </cell>
          <cell r="I75" t="str">
            <v>L831 SPRINGDALE RD</v>
          </cell>
          <cell r="J75" t="str">
            <v>HOPETOUN</v>
          </cell>
          <cell r="K75" t="str">
            <v>410M146495</v>
          </cell>
        </row>
        <row r="76">
          <cell r="G76" t="str">
            <v>SPS 2 WOODLAND RD HALLS CK</v>
          </cell>
          <cell r="H76" t="str">
            <v>S0025586</v>
          </cell>
          <cell r="I76" t="str">
            <v>LOT 375 WOODLANDS STREET</v>
          </cell>
          <cell r="J76" t="str">
            <v>HALLS CREEK WA</v>
          </cell>
          <cell r="K76" t="str">
            <v>0180021357</v>
          </cell>
        </row>
        <row r="77">
          <cell r="G77" t="str">
            <v>COMMON FACILITIES S/DELIVERY WEST PILBAR</v>
          </cell>
          <cell r="H77" t="str">
            <v>C022</v>
          </cell>
          <cell r="I77" t="str">
            <v>LOT 980 CHERRATTA ROAD</v>
          </cell>
          <cell r="J77" t="str">
            <v>KARRATHA INDUSTRIAL ESTATE WA</v>
          </cell>
          <cell r="K77" t="str">
            <v>4200M332</v>
          </cell>
        </row>
        <row r="78">
          <cell r="G78" t="str">
            <v>SPS 1 DURACK RD WYNDHAM</v>
          </cell>
          <cell r="H78" t="str">
            <v>S0025906</v>
          </cell>
          <cell r="I78" t="str">
            <v>32 DURACK ROAD</v>
          </cell>
          <cell r="J78" t="str">
            <v>WYNDHAM WA</v>
          </cell>
          <cell r="K78" t="str">
            <v>410M140323</v>
          </cell>
        </row>
        <row r="79">
          <cell r="G79" t="str">
            <v>#CHL SYS GUDA GUDA WYNDHAM</v>
          </cell>
          <cell r="H79" t="str">
            <v>W3000980</v>
          </cell>
          <cell r="I79" t="str">
            <v>GREAT NORTHERN HIGHWAY</v>
          </cell>
          <cell r="J79" t="str">
            <v>WYNDHAM WA</v>
          </cell>
          <cell r="K79" t="str">
            <v>15D076307</v>
          </cell>
        </row>
        <row r="80">
          <cell r="G80" t="str">
            <v>SPS KNIGHT TCE DENHAM</v>
          </cell>
          <cell r="H80" t="str">
            <v>S0037382</v>
          </cell>
          <cell r="I80" t="str">
            <v>LOT 37429 MONKEY MIA ROAD</v>
          </cell>
          <cell r="J80" t="str">
            <v>DENHAM WA 6537</v>
          </cell>
          <cell r="K80" t="str">
            <v>450M21287</v>
          </cell>
        </row>
        <row r="81">
          <cell r="G81" t="str">
            <v>BOREFIELD CARNARVON</v>
          </cell>
          <cell r="H81" t="str">
            <v>W0038055</v>
          </cell>
          <cell r="I81" t="str">
            <v>UNIT 53E/1101 LAWSON ST</v>
          </cell>
          <cell r="J81" t="str">
            <v>CARNARVON WA 6701</v>
          </cell>
          <cell r="K81" t="str">
            <v>410M202480</v>
          </cell>
        </row>
        <row r="82">
          <cell r="G82" t="str">
            <v>ROAD WSC DEMPSTER HEAD</v>
          </cell>
          <cell r="H82" t="str">
            <v>WZ005905</v>
          </cell>
          <cell r="I82" t="str">
            <v>LOT 798 MCCARTHY STREET</v>
          </cell>
          <cell r="J82" t="str">
            <v>ESPERANCE WA</v>
          </cell>
          <cell r="K82" t="str">
            <v>15D043096</v>
          </cell>
        </row>
        <row r="83">
          <cell r="G83" t="str">
            <v>WPS THOMPSON ST ESPERANCE</v>
          </cell>
          <cell r="H83" t="str">
            <v>W0021706</v>
          </cell>
          <cell r="I83" t="str">
            <v>LOT 705 THOMPSON STREET</v>
          </cell>
          <cell r="J83" t="str">
            <v>ESPERANCE WA 6450</v>
          </cell>
          <cell r="K83" t="str">
            <v>0211000882</v>
          </cell>
        </row>
        <row r="84">
          <cell r="G84" t="str">
            <v>SPS 1 THE ESPLANADE ESPERANCE</v>
          </cell>
          <cell r="H84" t="str">
            <v>S0015167</v>
          </cell>
          <cell r="I84" t="str">
            <v>LOT 779 THE ESPLANADE</v>
          </cell>
          <cell r="J84" t="str">
            <v>ESPERANCE WA 6450</v>
          </cell>
          <cell r="K84" t="str">
            <v>0180004836</v>
          </cell>
        </row>
        <row r="85">
          <cell r="G85" t="str">
            <v>WPS 2 CUE</v>
          </cell>
          <cell r="H85" t="str">
            <v>W0040782</v>
          </cell>
          <cell r="I85" t="str">
            <v>LOC 99990 GREAT NORTHERN HIGHWAY</v>
          </cell>
          <cell r="J85" t="str">
            <v>CUE WA 6640</v>
          </cell>
          <cell r="K85" t="str">
            <v>450M2000536</v>
          </cell>
        </row>
        <row r="86">
          <cell r="G86" t="str">
            <v>BORE 40-86 MT MAGNET</v>
          </cell>
          <cell r="H86" t="str">
            <v>W0042291</v>
          </cell>
          <cell r="I86" t="str">
            <v>LOC 99994 MOUNT MAGNETYOWERAGABBIE ROAD</v>
          </cell>
          <cell r="J86" t="str">
            <v>MOUNT MAGNET WA</v>
          </cell>
          <cell r="K86" t="str">
            <v>0180007082</v>
          </cell>
        </row>
        <row r="87">
          <cell r="G87" t="str">
            <v>BORE 06-87 CUE</v>
          </cell>
          <cell r="H87" t="str">
            <v>W0040737</v>
          </cell>
          <cell r="I87" t="str">
            <v>LOC 99997 GREAT NORTHERN HIGHWAY</v>
          </cell>
          <cell r="J87" t="str">
            <v>CUE WA</v>
          </cell>
          <cell r="K87" t="str">
            <v>450M2000535</v>
          </cell>
        </row>
        <row r="88">
          <cell r="G88" t="str">
            <v>BORE 04-05 HOPETOUN</v>
          </cell>
          <cell r="H88" t="str">
            <v>W7004379</v>
          </cell>
          <cell r="I88" t="str">
            <v>LOC 638 HOPEETOUN RD</v>
          </cell>
          <cell r="J88" t="str">
            <v>HOPETOUN</v>
          </cell>
          <cell r="K88" t="str">
            <v>410AM500148</v>
          </cell>
        </row>
        <row r="89">
          <cell r="G89" t="str">
            <v>BOREFIELD BEASLEY CREEK LAVERTON</v>
          </cell>
          <cell r="H89" t="str">
            <v>W0021747</v>
          </cell>
          <cell r="I89" t="str">
            <v>LOT 49 LAVERTON-LEONORA ROAD</v>
          </cell>
          <cell r="J89" t="str">
            <v>LAVERTON WA</v>
          </cell>
          <cell r="K89" t="str">
            <v>0136001915</v>
          </cell>
        </row>
        <row r="90">
          <cell r="G90" t="str">
            <v>BORE 07-81 CUE</v>
          </cell>
          <cell r="H90" t="str">
            <v>W0040743</v>
          </cell>
          <cell r="I90" t="str">
            <v>LOC 99992 GREAT NORTHERN HIGHWAY</v>
          </cell>
          <cell r="J90" t="str">
            <v>CUE WA 6640</v>
          </cell>
          <cell r="K90" t="str">
            <v>450M2000530</v>
          </cell>
        </row>
        <row r="91">
          <cell r="G91" t="str">
            <v>BORE 05-81 CUE</v>
          </cell>
          <cell r="H91" t="str">
            <v>W0040700</v>
          </cell>
          <cell r="I91" t="str">
            <v>LOC 99993 GREAT NORTHERN HIGHWAY</v>
          </cell>
          <cell r="J91" t="str">
            <v>CUE WA 6640</v>
          </cell>
          <cell r="K91" t="str">
            <v>450M2000531</v>
          </cell>
        </row>
        <row r="92">
          <cell r="G92" t="str">
            <v>SPS 4 SPEARGRASS RD KUNUNURRA</v>
          </cell>
          <cell r="H92" t="str">
            <v>S0025728</v>
          </cell>
          <cell r="I92" t="str">
            <v>LOT 2229 SPEARGRASS ROAD</v>
          </cell>
          <cell r="J92" t="str">
            <v>KUNUNURRA WA</v>
          </cell>
          <cell r="K92" t="str">
            <v>410M170978</v>
          </cell>
        </row>
        <row r="93">
          <cell r="G93" t="str">
            <v>BORE 32-97 BUTTY 42</v>
          </cell>
          <cell r="H93" t="str">
            <v>W6000002</v>
          </cell>
          <cell r="I93" t="str">
            <v>LOC 499 THOMPSON STREET</v>
          </cell>
          <cell r="J93" t="str">
            <v>ESPERANCE WA</v>
          </cell>
          <cell r="K93" t="str">
            <v>0350007454</v>
          </cell>
        </row>
        <row r="94">
          <cell r="G94" t="str">
            <v>SPS 1 FORREST ST LEONORA</v>
          </cell>
          <cell r="H94" t="str">
            <v>S0015659</v>
          </cell>
          <cell r="I94" t="str">
            <v>25 FORREST STREET</v>
          </cell>
          <cell r="J94" t="str">
            <v>LEONORA WA</v>
          </cell>
          <cell r="K94" t="str">
            <v>410AM502088</v>
          </cell>
        </row>
        <row r="95">
          <cell r="G95" t="str">
            <v>SPS 8 ROWSE ST ESPERANCE</v>
          </cell>
          <cell r="H95" t="str">
            <v>S0015201</v>
          </cell>
          <cell r="I95" t="str">
            <v>LOT 122 ROWSE STREET</v>
          </cell>
          <cell r="J95" t="str">
            <v>ESPERANCE WA</v>
          </cell>
          <cell r="K95" t="str">
            <v>0380011742</v>
          </cell>
        </row>
        <row r="96">
          <cell r="G96" t="str">
            <v>BORE 71-80 TOWN 23</v>
          </cell>
          <cell r="H96" t="str">
            <v>W0021662</v>
          </cell>
          <cell r="I96" t="str">
            <v>LOT 703 THOMPSON ST</v>
          </cell>
          <cell r="J96" t="str">
            <v>ESPERANCE</v>
          </cell>
          <cell r="K96" t="str">
            <v>0350015129</v>
          </cell>
        </row>
        <row r="97">
          <cell r="G97" t="str">
            <v>BOREFIELD TELEGRAPH SHAFT LAVERTON</v>
          </cell>
          <cell r="H97" t="str">
            <v>W0021760</v>
          </cell>
          <cell r="I97" t="str">
            <v>LOC 4771 GREAT CENTRAL ROAD</v>
          </cell>
          <cell r="J97" t="str">
            <v>LAVERTON WA</v>
          </cell>
          <cell r="K97" t="str">
            <v>85N017590</v>
          </cell>
        </row>
        <row r="98">
          <cell r="G98" t="str">
            <v>WPS DURACK ST CAMBALLIN TX</v>
          </cell>
          <cell r="H98" t="str">
            <v>W3000853</v>
          </cell>
          <cell r="I98" t="str">
            <v>LOT 87 DURACK ST</v>
          </cell>
          <cell r="J98" t="str">
            <v>CAMBALLIN</v>
          </cell>
          <cell r="K98" t="str">
            <v>148004033</v>
          </cell>
        </row>
        <row r="99">
          <cell r="G99" t="str">
            <v>BORE 09-00 TOWN 3</v>
          </cell>
          <cell r="H99" t="str">
            <v>W0021627</v>
          </cell>
          <cell r="I99" t="str">
            <v>LOT 365 PINK LAKE ROAD</v>
          </cell>
          <cell r="J99" t="str">
            <v>ESPERANCE WA</v>
          </cell>
          <cell r="K99" t="str">
            <v>0350018315</v>
          </cell>
        </row>
        <row r="100">
          <cell r="G100" t="str">
            <v>BORE 10-00 TOWN 24</v>
          </cell>
          <cell r="H100" t="str">
            <v>W0021664</v>
          </cell>
          <cell r="I100" t="str">
            <v>LOT 702 THOMPSON STREET</v>
          </cell>
          <cell r="J100" t="str">
            <v>ESPERANCE WA</v>
          </cell>
          <cell r="K100" t="str">
            <v>0350014889</v>
          </cell>
        </row>
        <row r="101">
          <cell r="G101" t="str">
            <v>BORE 02-88 TWILIGHT 35</v>
          </cell>
          <cell r="H101" t="str">
            <v>W0021676</v>
          </cell>
          <cell r="I101" t="str">
            <v>U55 THOMPSON ST</v>
          </cell>
          <cell r="J101" t="str">
            <v>ESPERANCE</v>
          </cell>
          <cell r="K101" t="str">
            <v>0350012497</v>
          </cell>
        </row>
        <row r="102">
          <cell r="G102" t="str">
            <v>BOREFIELD CARNARVON</v>
          </cell>
          <cell r="H102" t="str">
            <v>W0038055</v>
          </cell>
          <cell r="I102" t="str">
            <v>UNIT 53E/682 LAWSON ST</v>
          </cell>
          <cell r="J102" t="str">
            <v>CARNARVON WA 6701</v>
          </cell>
          <cell r="K102" t="str">
            <v>DUP736270</v>
          </cell>
        </row>
        <row r="103">
          <cell r="G103" t="str">
            <v>SPS 6 GUBINGE RD BROOME</v>
          </cell>
          <cell r="H103" t="str">
            <v>S0057020</v>
          </cell>
          <cell r="I103" t="str">
            <v>LOT 3086 GUBINGE ROAD</v>
          </cell>
          <cell r="J103" t="str">
            <v>BROOME WA</v>
          </cell>
          <cell r="K103" t="str">
            <v>450M2000434</v>
          </cell>
        </row>
        <row r="104">
          <cell r="G104" t="str">
            <v>SPS 6 BORONIA CL STH HEDLAND</v>
          </cell>
          <cell r="H104" t="str">
            <v>S0025863</v>
          </cell>
          <cell r="I104" t="str">
            <v>LOT 2910 BORONIA CLOSE</v>
          </cell>
          <cell r="J104" t="str">
            <v>SOUTH HEDLAND WA</v>
          </cell>
          <cell r="K104" t="str">
            <v>410M50693</v>
          </cell>
        </row>
        <row r="105">
          <cell r="G105" t="str">
            <v>BORE 01-83 TWILIGHT 25</v>
          </cell>
          <cell r="H105" t="str">
            <v>W0021665</v>
          </cell>
          <cell r="I105" t="str">
            <v>LOT 4180 THOMPSON STREET</v>
          </cell>
          <cell r="J105" t="str">
            <v>ESPERANCE WA</v>
          </cell>
          <cell r="K105" t="str">
            <v>0350015125</v>
          </cell>
        </row>
        <row r="106">
          <cell r="G106" t="str">
            <v>BORE 11-83 TWILIGHT 29</v>
          </cell>
          <cell r="H106" t="str">
            <v>W0021670</v>
          </cell>
          <cell r="I106" t="str">
            <v>LOC 4180 THOMPSON STREET</v>
          </cell>
          <cell r="J106" t="str">
            <v>ESPERANCE WA</v>
          </cell>
          <cell r="K106" t="str">
            <v>0350012496</v>
          </cell>
        </row>
        <row r="107">
          <cell r="G107" t="str">
            <v>BORE 01-85 TWILIGHT 32</v>
          </cell>
          <cell r="H107" t="str">
            <v>W0021673</v>
          </cell>
          <cell r="I107" t="str">
            <v>THOMPSON STREET</v>
          </cell>
          <cell r="J107" t="str">
            <v>ESPERANCE WA</v>
          </cell>
          <cell r="K107" t="str">
            <v>0350018297</v>
          </cell>
        </row>
        <row r="108">
          <cell r="G108" t="str">
            <v>BOREFIELD CARNARVON</v>
          </cell>
          <cell r="H108" t="str">
            <v>W0038055</v>
          </cell>
          <cell r="I108" t="str">
            <v>UNIT 53E/1092 LAWSON ST</v>
          </cell>
          <cell r="J108" t="str">
            <v>CARNARVON WA 6701</v>
          </cell>
          <cell r="K108">
            <v>2118004922</v>
          </cell>
        </row>
        <row r="109">
          <cell r="G109" t="str">
            <v>BOREFIELD CARNARVON</v>
          </cell>
          <cell r="H109" t="str">
            <v>W0038055</v>
          </cell>
          <cell r="I109" t="str">
            <v>UNIT 53E/2094 LAWSON ST</v>
          </cell>
          <cell r="J109" t="str">
            <v>CARNARVON WA 6701</v>
          </cell>
          <cell r="K109" t="str">
            <v>72N026612</v>
          </cell>
        </row>
        <row r="110">
          <cell r="G110" t="str">
            <v>BORE 03-89 MEEKATHARRA</v>
          </cell>
          <cell r="H110" t="str">
            <v>W0042045</v>
          </cell>
          <cell r="I110" t="str">
            <v>LOT 99999 WILUNA ROAD</v>
          </cell>
          <cell r="J110" t="str">
            <v>MEEKATHARRA WA 6642</v>
          </cell>
          <cell r="K110" t="str">
            <v>0180007094</v>
          </cell>
        </row>
        <row r="111">
          <cell r="G111" t="str">
            <v>SPS 6 FORREST ST ESPERANCE</v>
          </cell>
          <cell r="H111" t="str">
            <v>S0015196</v>
          </cell>
          <cell r="I111" t="str">
            <v>LOT 507 FORREST STREET</v>
          </cell>
          <cell r="J111" t="str">
            <v>ESPERANCE WA</v>
          </cell>
          <cell r="K111" t="str">
            <v>0350018309</v>
          </cell>
        </row>
        <row r="112">
          <cell r="G112" t="str">
            <v>BORE 21-01 HOPETOUN</v>
          </cell>
          <cell r="H112" t="str">
            <v>W7001089</v>
          </cell>
          <cell r="I112" t="str">
            <v>LOT 268 BANKSIA RD</v>
          </cell>
          <cell r="J112" t="str">
            <v>HOPETOUN</v>
          </cell>
          <cell r="K112" t="str">
            <v>0380006313</v>
          </cell>
        </row>
        <row r="113">
          <cell r="G113" t="str">
            <v>SPS BIBRA WY CARNARVON</v>
          </cell>
          <cell r="H113" t="str">
            <v>S0037339</v>
          </cell>
          <cell r="I113" t="str">
            <v>10 BIBRA WAY</v>
          </cell>
          <cell r="J113" t="str">
            <v>BROCKMAN WA</v>
          </cell>
          <cell r="K113" t="str">
            <v>0280002779</v>
          </cell>
        </row>
        <row r="114">
          <cell r="G114" t="str">
            <v>DEPOT CARNARVON</v>
          </cell>
          <cell r="H114" t="str">
            <v>C0037136</v>
          </cell>
          <cell r="I114" t="str">
            <v>ANGELO STREET</v>
          </cell>
          <cell r="J114" t="str">
            <v>CARNARVON WA</v>
          </cell>
          <cell r="K114" t="str">
            <v>450M8496</v>
          </cell>
        </row>
        <row r="115">
          <cell r="G115" t="str">
            <v>#TANDPIPE RAW WATER LEINSTER HWY LEONORA</v>
          </cell>
          <cell r="H115" t="str">
            <v>W6005640</v>
          </cell>
          <cell r="I115" t="str">
            <v>LOT 17398 LEINSTER ROAD</v>
          </cell>
          <cell r="J115" t="str">
            <v>LEONORA WA</v>
          </cell>
          <cell r="K115" t="str">
            <v>15D106567</v>
          </cell>
        </row>
        <row r="116">
          <cell r="G116" t="str">
            <v>WPS MUNGLINUP</v>
          </cell>
          <cell r="H116" t="str">
            <v>W055-002-001-001</v>
          </cell>
          <cell r="I116" t="str">
            <v>LOC 1229 SOUTH COAST HIGHWAY</v>
          </cell>
          <cell r="J116" t="str">
            <v>MUNGLINUP WA</v>
          </cell>
          <cell r="K116" t="str">
            <v>15M95517</v>
          </cell>
        </row>
        <row r="117">
          <cell r="G117"/>
          <cell r="H117" t="e">
            <v>#N/A</v>
          </cell>
          <cell r="I117" t="str">
            <v>UNIT 1/14 COGHLAN ST</v>
          </cell>
          <cell r="J117" t="str">
            <v>BROOME WA 6725</v>
          </cell>
          <cell r="K117" t="str">
            <v>0200106280</v>
          </cell>
        </row>
        <row r="118">
          <cell r="G118" t="str">
            <v>BORE 14-88 SPRINGDALE</v>
          </cell>
          <cell r="H118" t="str">
            <v>W0023032</v>
          </cell>
          <cell r="I118" t="str">
            <v>912 SPRINGDALE RD</v>
          </cell>
          <cell r="J118" t="str">
            <v>HOPETOUN</v>
          </cell>
          <cell r="K118" t="str">
            <v>410M153828</v>
          </cell>
        </row>
        <row r="119">
          <cell r="G119" t="str">
            <v>BORE 01-99 DERBY</v>
          </cell>
          <cell r="H119" t="str">
            <v>W3000083</v>
          </cell>
          <cell r="I119" t="str">
            <v>LOT 1326 DERBY HIGHWAY</v>
          </cell>
          <cell r="J119" t="str">
            <v>DERBY WA 6728</v>
          </cell>
          <cell r="K119" t="str">
            <v>450M21385</v>
          </cell>
        </row>
        <row r="120">
          <cell r="G120" t="str">
            <v>SPS 3 MCGREGOR ST PT HEDLAND</v>
          </cell>
          <cell r="H120" t="str">
            <v>S0025786</v>
          </cell>
          <cell r="I120" t="str">
            <v>LOT 1796 MCGREGOR STREET</v>
          </cell>
          <cell r="J120" t="str">
            <v>PORT HEDLAND WA</v>
          </cell>
          <cell r="K120" t="str">
            <v>410M22289</v>
          </cell>
        </row>
        <row r="121">
          <cell r="G121" t="str">
            <v>BORE 03-04 HALLS CK</v>
          </cell>
          <cell r="H121" t="str">
            <v>W3001528</v>
          </cell>
          <cell r="I121" t="str">
            <v>DUNCAN HIGHWAY</v>
          </cell>
          <cell r="J121" t="str">
            <v>HALLS CREEK WA</v>
          </cell>
          <cell r="K121" t="str">
            <v>0280003993</v>
          </cell>
        </row>
        <row r="122">
          <cell r="G122" t="str">
            <v>SPS 3 GT NORTHERN HWY WYNDHAM</v>
          </cell>
          <cell r="H122" t="str">
            <v>S0025918</v>
          </cell>
          <cell r="I122" t="str">
            <v>100 GREAT NORTHERN HIGHWAY</v>
          </cell>
          <cell r="J122" t="str">
            <v>WYNDHAM WA</v>
          </cell>
          <cell r="K122" t="str">
            <v>0350003468</v>
          </cell>
        </row>
        <row r="123">
          <cell r="G123" t="str">
            <v>BORE 10-88 SPRINGDALE</v>
          </cell>
          <cell r="H123" t="str">
            <v>W0023010</v>
          </cell>
          <cell r="I123" t="str">
            <v>LOT 42 SPRINGDALE RD</v>
          </cell>
          <cell r="J123" t="str">
            <v>HOPETOUN WA 6348</v>
          </cell>
          <cell r="K123" t="str">
            <v>0350009710</v>
          </cell>
        </row>
        <row r="124">
          <cell r="G124" t="str">
            <v>SPS 4 GEORGE ST NEWMAN</v>
          </cell>
          <cell r="H124" t="str">
            <v>S0025759</v>
          </cell>
          <cell r="I124" t="str">
            <v>LOT 1909 MCLENNAN DV</v>
          </cell>
          <cell r="J124" t="str">
            <v>NEWMAN WA 6753</v>
          </cell>
          <cell r="K124" t="str">
            <v>21103951</v>
          </cell>
        </row>
        <row r="125">
          <cell r="G125" t="str">
            <v>BORE 10-83 TWILIGHT 31</v>
          </cell>
          <cell r="H125" t="str">
            <v>W0021672</v>
          </cell>
          <cell r="I125" t="str">
            <v>LOC 4180 THOMPSON STREET</v>
          </cell>
          <cell r="J125" t="str">
            <v>ESPERANCE WA</v>
          </cell>
          <cell r="K125" t="str">
            <v>0350018299</v>
          </cell>
        </row>
        <row r="126">
          <cell r="G126" t="str">
            <v>SPS 2 DEMPSTER ST PT HEDLAND</v>
          </cell>
          <cell r="H126" t="str">
            <v>S0025780</v>
          </cell>
          <cell r="I126" t="str">
            <v>LOT 1731 DEMPSTER STREET</v>
          </cell>
          <cell r="J126" t="str">
            <v>PORT HEDLAND WA</v>
          </cell>
          <cell r="K126" t="str">
            <v>410AM104618</v>
          </cell>
        </row>
        <row r="127">
          <cell r="G127" t="str">
            <v>SPS 1 POND ST NEWMAN</v>
          </cell>
          <cell r="H127" t="str">
            <v>S0025754</v>
          </cell>
          <cell r="I127" t="str">
            <v>32 NYABALEE RD</v>
          </cell>
          <cell r="J127" t="str">
            <v>NEWMAN WA 6753</v>
          </cell>
          <cell r="K127" t="str">
            <v>21102239</v>
          </cell>
        </row>
        <row r="128">
          <cell r="G128" t="str">
            <v>COMMON FACILITIES S/DELIVERY EAST PILBAR</v>
          </cell>
          <cell r="H128" t="str">
            <v>C024</v>
          </cell>
          <cell r="I128" t="str">
            <v>LOT 22 SHOVELANNA ST</v>
          </cell>
          <cell r="J128" t="str">
            <v>NEWMAN WA 6753</v>
          </cell>
          <cell r="K128" t="str">
            <v>2809870/1</v>
          </cell>
        </row>
        <row r="129">
          <cell r="G129" t="str">
            <v>SPS 5 BONDINI DR NEWMAN</v>
          </cell>
          <cell r="H129" t="str">
            <v>S0025764</v>
          </cell>
          <cell r="I129" t="str">
            <v>LOT 2275 ANGELO ST</v>
          </cell>
          <cell r="J129" t="str">
            <v>NEWMAN WA 6753</v>
          </cell>
          <cell r="K129" t="str">
            <v>21102241</v>
          </cell>
        </row>
        <row r="130">
          <cell r="G130" t="str">
            <v>BORE 03-83 TWILIGHT 27</v>
          </cell>
          <cell r="H130" t="str">
            <v>W0021668</v>
          </cell>
          <cell r="I130" t="str">
            <v>LOC 4180 THOMPSON STREET</v>
          </cell>
          <cell r="J130" t="str">
            <v>ESPERANCE WA</v>
          </cell>
          <cell r="K130" t="str">
            <v>410M112762</v>
          </cell>
        </row>
        <row r="131">
          <cell r="G131" t="str">
            <v>BORE 01-75 MT MAGNET</v>
          </cell>
          <cell r="H131" t="str">
            <v>W0042252</v>
          </cell>
          <cell r="I131" t="str">
            <v>LOC 99998 MOUNT MAGNETYOWERAGABBIE ROAD</v>
          </cell>
          <cell r="J131" t="str">
            <v>MOUNT MAGNET WA 6638</v>
          </cell>
          <cell r="K131" t="str">
            <v>0180013097</v>
          </cell>
        </row>
        <row r="132">
          <cell r="G132" t="str">
            <v>WPS 1 CUE</v>
          </cell>
          <cell r="H132" t="str">
            <v>W0040777</v>
          </cell>
          <cell r="I132" t="str">
            <v>LOT 192 RIFLE ROAD</v>
          </cell>
          <cell r="J132" t="str">
            <v>CUE WA 6640</v>
          </cell>
          <cell r="K132" t="str">
            <v>450M2000532 306340</v>
          </cell>
        </row>
        <row r="133">
          <cell r="G133" t="str">
            <v>WPS HL BROWN RANGE CARNARVON</v>
          </cell>
          <cell r="H133" t="str">
            <v>W215-004-005-011</v>
          </cell>
          <cell r="I133" t="str">
            <v>LOT 273 MAHONEY DRIVE</v>
          </cell>
          <cell r="J133" t="str">
            <v>CARNARVON WA</v>
          </cell>
          <cell r="K133" t="str">
            <v>410M190494</v>
          </cell>
        </row>
        <row r="134">
          <cell r="G134" t="str">
            <v>WSC DAMPIER</v>
          </cell>
          <cell r="H134" t="str">
            <v>W0026556</v>
          </cell>
          <cell r="I134" t="str">
            <v>LOT 337 ACCESS ROAD</v>
          </cell>
          <cell r="J134" t="str">
            <v>KARRATHA WA</v>
          </cell>
          <cell r="K134" t="str">
            <v>15M185313</v>
          </cell>
        </row>
        <row r="135">
          <cell r="G135" t="str">
            <v>TANK GL 1 WSC ROSEMARY RD KARRATHA</v>
          </cell>
          <cell r="H135" t="str">
            <v>W0026680</v>
          </cell>
          <cell r="I135" t="str">
            <v>ROSEMARY RD</v>
          </cell>
          <cell r="J135" t="str">
            <v>KARRATHA</v>
          </cell>
          <cell r="K135" t="str">
            <v>15M164774</v>
          </cell>
        </row>
        <row r="136">
          <cell r="G136" t="str">
            <v>BOREFIELD CARNARVON</v>
          </cell>
          <cell r="H136" t="str">
            <v>W0038055</v>
          </cell>
          <cell r="I136" t="str">
            <v>UNIT 53E/194 LAWSON ST</v>
          </cell>
          <cell r="J136" t="str">
            <v>CARNARVON WA 6701</v>
          </cell>
          <cell r="K136" t="str">
            <v>410M169145</v>
          </cell>
        </row>
        <row r="137">
          <cell r="G137" t="str">
            <v>SPS 3 BROOME RD BROOME</v>
          </cell>
          <cell r="H137" t="str">
            <v>S0025520</v>
          </cell>
          <cell r="I137" t="str">
            <v>LOT 1201 BROOME ROAD</v>
          </cell>
          <cell r="J137" t="str">
            <v>BROOME WA 6725</v>
          </cell>
          <cell r="K137" t="str">
            <v>410M2009426</v>
          </cell>
        </row>
        <row r="138">
          <cell r="G138" t="str">
            <v>BUILDING STORAGE 11 MILE HARDING YANNERY</v>
          </cell>
          <cell r="H138" t="str">
            <v>W3001743</v>
          </cell>
          <cell r="I138" t="str">
            <v>LOC 9701 NORTH WEST COASTAL HIGHWAY</v>
          </cell>
          <cell r="J138" t="str">
            <v>KARRATHA WA</v>
          </cell>
          <cell r="K138" t="str">
            <v>410M203862</v>
          </cell>
        </row>
        <row r="139">
          <cell r="G139" t="str">
            <v>SPS 3 LAKESIDE KUNUNURRA</v>
          </cell>
          <cell r="H139" t="str">
            <v>S0025722</v>
          </cell>
          <cell r="I139" t="str">
            <v>L971 EUGENIA STREET</v>
          </cell>
          <cell r="J139" t="str">
            <v>KUNUNURRA WA</v>
          </cell>
          <cell r="K139" t="str">
            <v>410M133708</v>
          </cell>
        </row>
        <row r="140">
          <cell r="G140" t="str">
            <v>BOREFIELD CARNARVON</v>
          </cell>
          <cell r="H140" t="str">
            <v>W0038055</v>
          </cell>
          <cell r="I140" t="str">
            <v>UNIT 53E/2102 LAWSON ST</v>
          </cell>
          <cell r="J140" t="str">
            <v>CARNARVON WA 6701</v>
          </cell>
          <cell r="K140" t="str">
            <v>180000213</v>
          </cell>
        </row>
        <row r="141">
          <cell r="G141" t="str">
            <v>SPS 4 PANTON ST DERBY</v>
          </cell>
          <cell r="H141" t="str">
            <v>S0025564</v>
          </cell>
          <cell r="I141" t="str">
            <v>LOT 624 PANTON STREET</v>
          </cell>
          <cell r="J141" t="str">
            <v>DERBY WA</v>
          </cell>
          <cell r="K141" t="str">
            <v>180012421</v>
          </cell>
        </row>
        <row r="142">
          <cell r="G142" t="str">
            <v>BORE 4A-80 TOWN 4</v>
          </cell>
          <cell r="H142" t="str">
            <v>W0021629</v>
          </cell>
          <cell r="I142" t="str">
            <v>33 PARSON ST</v>
          </cell>
          <cell r="J142" t="str">
            <v>ESPERANCE</v>
          </cell>
          <cell r="K142" t="str">
            <v>0350018302</v>
          </cell>
        </row>
        <row r="143">
          <cell r="G143" t="str">
            <v>SPS 2 CONNOR ST WYNDHAM</v>
          </cell>
          <cell r="H143" t="str">
            <v>S0025912</v>
          </cell>
          <cell r="I143" t="str">
            <v>LOT 53 CONNOR STREET</v>
          </cell>
          <cell r="J143" t="str">
            <v>WYNDHAM WA</v>
          </cell>
          <cell r="K143" t="str">
            <v>0380005773</v>
          </cell>
        </row>
        <row r="144">
          <cell r="G144" t="str">
            <v>BOREFIELD CARNARVON</v>
          </cell>
          <cell r="H144" t="str">
            <v>W0038055</v>
          </cell>
          <cell r="I144" t="str">
            <v>UNIT 53E/1677 LAWSON ST</v>
          </cell>
          <cell r="J144" t="str">
            <v>CARNARVON WA 6701</v>
          </cell>
          <cell r="K144" t="str">
            <v>410M181931</v>
          </cell>
        </row>
        <row r="145">
          <cell r="G145" t="str">
            <v>BORE 35-86 MT MAGNET</v>
          </cell>
          <cell r="H145" t="str">
            <v>W0042261</v>
          </cell>
          <cell r="I145" t="str">
            <v>LOC 99997 MOUNT MAGNET-YOWERAGABBIE ROAD</v>
          </cell>
          <cell r="J145" t="str">
            <v>MOUNT MAGNET WA</v>
          </cell>
          <cell r="K145" t="str">
            <v>0180007091</v>
          </cell>
        </row>
        <row r="146">
          <cell r="G146" t="str">
            <v>WPS MT MAGNET TRANSFER</v>
          </cell>
          <cell r="H146" t="str">
            <v>W0042365</v>
          </cell>
          <cell r="I146" t="str">
            <v>LOT 212 RICHARDSON ST</v>
          </cell>
          <cell r="J146" t="str">
            <v>MOUNT MAGNET</v>
          </cell>
          <cell r="K146" t="str">
            <v>15D009831</v>
          </cell>
        </row>
        <row r="147">
          <cell r="G147" t="str">
            <v>#OBS BORE 03-70 HALLS CREEK</v>
          </cell>
          <cell r="H147" t="str">
            <v>W0026123</v>
          </cell>
          <cell r="I147" t="str">
            <v>UNIT 52 GREAT NORTHERN HIGHWAY</v>
          </cell>
          <cell r="J147" t="str">
            <v>HALLS CREEK WA 6770</v>
          </cell>
          <cell r="K147" t="str">
            <v>0380002169</v>
          </cell>
        </row>
        <row r="148">
          <cell r="G148" t="str">
            <v>WPS L2519 SOUTH HEDLAND</v>
          </cell>
          <cell r="H148" t="str">
            <v>W0026356</v>
          </cell>
          <cell r="I148" t="str">
            <v>UNIT 52/ LOT 47 WALLWORK RD</v>
          </cell>
          <cell r="J148" t="str">
            <v>SOUTH HEDLAND WA 6722</v>
          </cell>
          <cell r="K148" t="str">
            <v>0211000713</v>
          </cell>
        </row>
        <row r="149">
          <cell r="G149" t="str">
            <v>BORE 01-88 TWILIGHT 36</v>
          </cell>
          <cell r="H149" t="str">
            <v>W0021677</v>
          </cell>
          <cell r="I149" t="str">
            <v>THOMPSON STREET</v>
          </cell>
          <cell r="J149" t="str">
            <v>ESPERANCE WA</v>
          </cell>
          <cell r="K149" t="str">
            <v>0350014890</v>
          </cell>
        </row>
        <row r="150">
          <cell r="G150" t="str">
            <v>BORE 01-05 HOPETOUN</v>
          </cell>
          <cell r="H150" t="str">
            <v>W7004376</v>
          </cell>
          <cell r="I150" t="str">
            <v>LOC 638 HOPETOUN ROAD</v>
          </cell>
          <cell r="J150" t="str">
            <v>HOPETOUN WA</v>
          </cell>
          <cell r="K150" t="str">
            <v>0280000226</v>
          </cell>
        </row>
        <row r="151">
          <cell r="G151" t="str">
            <v>BORE 01/64 MT MAGNET</v>
          </cell>
          <cell r="H151" t="str">
            <v>W0042245</v>
          </cell>
          <cell r="I151" t="str">
            <v>LOT 44 RICHARDSON ST</v>
          </cell>
          <cell r="J151" t="str">
            <v>MOUNT MAGNET WA 6638</v>
          </cell>
          <cell r="K151" t="str">
            <v>410M99067</v>
          </cell>
        </row>
        <row r="152">
          <cell r="G152" t="str">
            <v>SPS 1 HEDDITCH ST STH HEDLAND</v>
          </cell>
          <cell r="H152" t="str">
            <v>S0025819</v>
          </cell>
          <cell r="I152" t="str">
            <v>U52/LOT 2040 HEDDITCH STREET</v>
          </cell>
          <cell r="J152" t="str">
            <v>SOUTH HEDLAND WA 6722</v>
          </cell>
          <cell r="K152" t="str">
            <v>0136005181</v>
          </cell>
        </row>
        <row r="153">
          <cell r="G153" t="str">
            <v>SPS 6 CHARLES BALL DR PT HEDLAND</v>
          </cell>
          <cell r="H153" t="str">
            <v>S0025804</v>
          </cell>
          <cell r="I153" t="str">
            <v>L5 CHARLES BALL DR</v>
          </cell>
          <cell r="J153" t="str">
            <v>PORT HEDLAND</v>
          </cell>
          <cell r="K153" t="str">
            <v>410M165473</v>
          </cell>
        </row>
        <row r="154">
          <cell r="G154" t="str">
            <v>WPS DURACK ST CAMBALLIN TX</v>
          </cell>
          <cell r="H154" t="str">
            <v>W3000853</v>
          </cell>
          <cell r="I154" t="str">
            <v>LOT 84 DURACK ST</v>
          </cell>
          <cell r="J154" t="str">
            <v>CAMBALLIN</v>
          </cell>
          <cell r="K154" t="str">
            <v>180022787</v>
          </cell>
        </row>
        <row r="155">
          <cell r="G155" t="str">
            <v>BOREFIELD CARNARVON</v>
          </cell>
          <cell r="H155" t="str">
            <v>W0038055</v>
          </cell>
          <cell r="I155" t="str">
            <v>UNIT 53E/293 LAWSON ST</v>
          </cell>
          <cell r="J155" t="str">
            <v>CARNARVON WA 6701</v>
          </cell>
          <cell r="K155" t="str">
            <v>A44147624</v>
          </cell>
        </row>
        <row r="156">
          <cell r="G156" t="str">
            <v>COMMON FACILITIES S/DELIVERY EAST PILBAR</v>
          </cell>
          <cell r="H156" t="str">
            <v>C024</v>
          </cell>
          <cell r="I156" t="str">
            <v>6 TRIG STREET</v>
          </cell>
          <cell r="J156" t="str">
            <v>WEDGEFIELD WA</v>
          </cell>
          <cell r="K156" t="str">
            <v>4150AM500</v>
          </cell>
        </row>
        <row r="157">
          <cell r="G157" t="str">
            <v>SPS VEAL ST HOPETOUN</v>
          </cell>
          <cell r="H157" t="str">
            <v>S7003794</v>
          </cell>
          <cell r="I157" t="str">
            <v>LOC 630 HOPETOUN ROAD</v>
          </cell>
          <cell r="J157" t="str">
            <v>HOPETOUN WA</v>
          </cell>
          <cell r="K157" t="str">
            <v>15M146249</v>
          </cell>
        </row>
        <row r="158">
          <cell r="G158" t="str">
            <v>WPS HARDING DAM</v>
          </cell>
          <cell r="H158" t="str">
            <v>W0026642</v>
          </cell>
          <cell r="I158" t="str">
            <v>LOT 63 HARDING RIVER DAM RD</v>
          </cell>
          <cell r="J158" t="str">
            <v>ROEBOURNE WA 6718</v>
          </cell>
          <cell r="K158" t="str">
            <v>0221000066</v>
          </cell>
        </row>
        <row r="159">
          <cell r="G159" t="str">
            <v>BORE 07-82 MT MAGNET</v>
          </cell>
          <cell r="H159" t="str">
            <v>W0042304</v>
          </cell>
          <cell r="I159" t="str">
            <v>LOC 99993 MOUNT MAGNET-YOWERAGABBIE ROAD</v>
          </cell>
          <cell r="J159" t="str">
            <v>MOUNT MAGNET WA</v>
          </cell>
          <cell r="K159" t="str">
            <v>0180007084</v>
          </cell>
        </row>
        <row r="160">
          <cell r="G160" t="str">
            <v>WPS WODEHOUSE ST DERBY</v>
          </cell>
          <cell r="H160" t="str">
            <v>W0026061</v>
          </cell>
          <cell r="I160" t="str">
            <v>LOT 1142 WODEHOUSE STREET</v>
          </cell>
          <cell r="J160" t="str">
            <v>DERBY WA 6728</v>
          </cell>
          <cell r="K160" t="str">
            <v>4200M845</v>
          </cell>
        </row>
        <row r="161">
          <cell r="G161" t="str">
            <v>BORE 06-81 CUE</v>
          </cell>
          <cell r="H161" t="str">
            <v>W0040718</v>
          </cell>
          <cell r="I161" t="str">
            <v>LOC 99994 GREAT NORTHERN HIGHWAY</v>
          </cell>
          <cell r="J161" t="str">
            <v>CUE 6640</v>
          </cell>
          <cell r="K161" t="str">
            <v>450M2000529</v>
          </cell>
        </row>
        <row r="162">
          <cell r="G162" t="str">
            <v>BORE 09-01 TOWN 22</v>
          </cell>
          <cell r="H162" t="str">
            <v>W0021660</v>
          </cell>
          <cell r="I162" t="str">
            <v>LOT 704 THOMPSON STREET</v>
          </cell>
          <cell r="J162" t="str">
            <v>ESPERANCE WA</v>
          </cell>
          <cell r="K162" t="str">
            <v>0350002668</v>
          </cell>
        </row>
        <row r="163">
          <cell r="G163" t="str">
            <v>WPS 1 SALMON GUMS</v>
          </cell>
          <cell r="H163" t="str">
            <v>W0021926</v>
          </cell>
          <cell r="I163" t="str">
            <v>LOT 243 LEWIS STREET</v>
          </cell>
          <cell r="J163" t="str">
            <v>SALMON GUMS WA</v>
          </cell>
          <cell r="K163" t="str">
            <v>410M2004335</v>
          </cell>
        </row>
        <row r="164">
          <cell r="G164" t="str">
            <v>WWTP STH HEDLAND</v>
          </cell>
          <cell r="H164" t="str">
            <v>S048-001-003</v>
          </cell>
          <cell r="I164" t="str">
            <v>NORTH WEST COASTAL HIGHWAY</v>
          </cell>
          <cell r="J164" t="str">
            <v>SOUTH HEDLAND WA 6722</v>
          </cell>
          <cell r="K164">
            <v>2147210050</v>
          </cell>
        </row>
        <row r="165">
          <cell r="G165" t="str">
            <v>REPEATER SITE VHF MT WEL ROEBOURNE</v>
          </cell>
          <cell r="H165" t="str">
            <v>C0025298</v>
          </cell>
          <cell r="I165" t="str">
            <v>LOT 560 FISHER DRIVE</v>
          </cell>
          <cell r="J165" t="str">
            <v>ROEBOURNE WA 6718</v>
          </cell>
          <cell r="K165" t="str">
            <v>10M8858</v>
          </cell>
        </row>
        <row r="166">
          <cell r="G166" t="str">
            <v>WPS FALLON RD FITZROY CROSSING TX</v>
          </cell>
          <cell r="H166" t="str">
            <v>W0026075</v>
          </cell>
          <cell r="I166" t="str">
            <v>LOT 104 FALLON ROAD</v>
          </cell>
          <cell r="J166" t="str">
            <v>FITZROY CROSSING WA</v>
          </cell>
          <cell r="K166" t="str">
            <v>0350024420</v>
          </cell>
        </row>
        <row r="167">
          <cell r="G167" t="str">
            <v>BOREFIELD YULE RIVER</v>
          </cell>
          <cell r="H167" t="str">
            <v>W0026294</v>
          </cell>
          <cell r="I167" t="str">
            <v>LOC 224 NORTH WEST COASTAL HWAY</v>
          </cell>
          <cell r="J167" t="str">
            <v>PORT HEDLAND 6721</v>
          </cell>
          <cell r="K167" t="str">
            <v>2112100004</v>
          </cell>
        </row>
        <row r="168">
          <cell r="G168" t="str">
            <v>BORE 02-81 CUE</v>
          </cell>
          <cell r="H168" t="str">
            <v>W0040681</v>
          </cell>
          <cell r="I168" t="str">
            <v>LOC 99996 GREAT NORTHERN HIGHWAY</v>
          </cell>
          <cell r="J168" t="str">
            <v>CUE 6640</v>
          </cell>
          <cell r="K168" t="str">
            <v>450M2000533</v>
          </cell>
        </row>
        <row r="169">
          <cell r="G169" t="str">
            <v>SPS 4 OLIVIA TCE CARNARVON (OLD)</v>
          </cell>
          <cell r="H169" t="str">
            <v>S0037321</v>
          </cell>
          <cell r="I169" t="str">
            <v>LOT 106 OLIVIA TERRACE</v>
          </cell>
          <cell r="J169" t="str">
            <v>CARNARVON WA 6701</v>
          </cell>
          <cell r="K169" t="str">
            <v>0137000034</v>
          </cell>
        </row>
        <row r="170">
          <cell r="G170" t="str">
            <v>DEPOT TAMAR ST HOPETOUN</v>
          </cell>
          <cell r="H170" t="str">
            <v>C7000009</v>
          </cell>
          <cell r="I170" t="str">
            <v>LOT 702 TAMAR STREET</v>
          </cell>
          <cell r="J170" t="str">
            <v>HOPETOUN WA</v>
          </cell>
          <cell r="K170" t="str">
            <v>410M85649</v>
          </cell>
        </row>
        <row r="171">
          <cell r="G171" t="str">
            <v>SPS 3 BALMORAL RD KARRATHA</v>
          </cell>
          <cell r="H171" t="str">
            <v>S0025623</v>
          </cell>
          <cell r="I171" t="str">
            <v>LOT 2599 BALMORAL RD</v>
          </cell>
          <cell r="J171" t="str">
            <v>KARRATHA</v>
          </cell>
          <cell r="K171" t="str">
            <v>410M120286</v>
          </cell>
        </row>
        <row r="172">
          <cell r="G172" t="str">
            <v>REPEATER SITE VHF BURRUP</v>
          </cell>
          <cell r="H172" t="str">
            <v>C0025294</v>
          </cell>
          <cell r="I172" t="str">
            <v>LOT 295 ACCESS ROAD</v>
          </cell>
          <cell r="J172" t="str">
            <v>DAMPIER WA</v>
          </cell>
          <cell r="K172" t="str">
            <v>15M216247</v>
          </cell>
        </row>
        <row r="173">
          <cell r="G173"/>
          <cell r="H173" t="e">
            <v>#N/A</v>
          </cell>
          <cell r="I173" t="str">
            <v>UNIT 52/34 BANDICOOT DR</v>
          </cell>
          <cell r="J173" t="str">
            <v>KUNUNURRA WA  6743</v>
          </cell>
          <cell r="K173" t="str">
            <v>0136003012</v>
          </cell>
        </row>
        <row r="174">
          <cell r="G174" t="str">
            <v>WPS GRASS PATCH</v>
          </cell>
          <cell r="H174" t="str">
            <v>W0021741</v>
          </cell>
          <cell r="I174" t="str">
            <v>LOC 13436</v>
          </cell>
          <cell r="J174" t="str">
            <v>GRASS PATCH</v>
          </cell>
          <cell r="K174" t="str">
            <v>15M136412</v>
          </cell>
        </row>
        <row r="175">
          <cell r="G175" t="str">
            <v>SPS ROBINSON ST CORAL BAY</v>
          </cell>
          <cell r="H175" t="str">
            <v>S4001020</v>
          </cell>
          <cell r="I175" t="str">
            <v>LOT 54 ROBINSON STREET</v>
          </cell>
          <cell r="J175" t="str">
            <v>CORAL BAY WA</v>
          </cell>
          <cell r="K175" t="str">
            <v>0280002774</v>
          </cell>
        </row>
        <row r="176">
          <cell r="G176" t="str">
            <v>SPS 3 JOHNS ST ESPERANCE</v>
          </cell>
          <cell r="H176" t="str">
            <v>S0015186</v>
          </cell>
          <cell r="I176" t="str">
            <v>LOT 847 JOHNS STREET</v>
          </cell>
          <cell r="J176" t="str">
            <v>ESPERANCE WA 6450</v>
          </cell>
          <cell r="K176" t="str">
            <v>410M123749</v>
          </cell>
        </row>
        <row r="177">
          <cell r="G177" t="str">
            <v>SPS 5 LIMPET CR STH HEDLAND</v>
          </cell>
          <cell r="H177" t="str">
            <v>S0025857</v>
          </cell>
          <cell r="I177" t="str">
            <v>LOT 2906 LIMPET CRESCENT</v>
          </cell>
          <cell r="J177" t="str">
            <v>SOUTH HEDLAND WA</v>
          </cell>
          <cell r="K177" t="str">
            <v>410M48575</v>
          </cell>
        </row>
        <row r="178">
          <cell r="G178" t="str">
            <v>BOREFIELD DE GREY RIVER</v>
          </cell>
          <cell r="H178" t="str">
            <v>W0026393</v>
          </cell>
          <cell r="I178" t="str">
            <v>U52, LOT 160 NORTH WEST COASTAL HWY</v>
          </cell>
          <cell r="J178" t="str">
            <v>PORT HEDLAND WA 6721</v>
          </cell>
          <cell r="K178" t="str">
            <v>02112100020</v>
          </cell>
        </row>
        <row r="179">
          <cell r="G179" t="str">
            <v>VPS MURAT RD EXMOUTH</v>
          </cell>
          <cell r="H179" t="str">
            <v>S4000023</v>
          </cell>
          <cell r="I179" t="str">
            <v>LOT 1457 MURAT RD</v>
          </cell>
          <cell r="J179" t="str">
            <v>EXMOUTH  WA  6707</v>
          </cell>
          <cell r="K179" t="str">
            <v>0136002964</v>
          </cell>
        </row>
        <row r="180">
          <cell r="G180" t="str">
            <v>WPS SHERWOOD MEEKATHARRA</v>
          </cell>
          <cell r="H180" t="str">
            <v>W0042104</v>
          </cell>
          <cell r="I180" t="str">
            <v>LOC 1 SHERWOOD ROAD</v>
          </cell>
          <cell r="J180" t="str">
            <v>MEEKATHARRA WA</v>
          </cell>
          <cell r="K180" t="str">
            <v>450M11139</v>
          </cell>
        </row>
        <row r="181">
          <cell r="G181" t="str">
            <v>SPS 2 BALMORAL RD KARRATHA</v>
          </cell>
          <cell r="H181" t="str">
            <v>S0025616</v>
          </cell>
          <cell r="I181" t="str">
            <v>LOT 1543 BALMORAL ROAD</v>
          </cell>
          <cell r="J181" t="str">
            <v>PEGS CREEK WA</v>
          </cell>
          <cell r="K181" t="str">
            <v>410M2004517</v>
          </cell>
        </row>
        <row r="182">
          <cell r="G182" t="str">
            <v>SPS 1 ROWAN ST DERBY</v>
          </cell>
          <cell r="H182" t="str">
            <v>S0025552</v>
          </cell>
          <cell r="I182" t="str">
            <v>LOT 840 MONGER STREET</v>
          </cell>
          <cell r="J182" t="str">
            <v>DERBY WA 6728</v>
          </cell>
          <cell r="K182" t="str">
            <v>0410M75076</v>
          </cell>
        </row>
        <row r="183">
          <cell r="G183" t="str">
            <v>WPS ELEVATED TANK MEEKATHARRA</v>
          </cell>
          <cell r="H183" t="str">
            <v>W0042100</v>
          </cell>
          <cell r="I183" t="str">
            <v>LOT 838 HILL STREET</v>
          </cell>
          <cell r="J183" t="str">
            <v>MEEKATHARRA WA 6642</v>
          </cell>
          <cell r="K183" t="str">
            <v>0180007086</v>
          </cell>
        </row>
        <row r="184">
          <cell r="G184" t="str">
            <v>DEPOT MT MAGNET</v>
          </cell>
          <cell r="H184" t="str">
            <v>C0036963</v>
          </cell>
          <cell r="I184" t="str">
            <v>LOT 184 WELCOME STREET</v>
          </cell>
          <cell r="J184" t="str">
            <v>MOUNT MAGNET WA</v>
          </cell>
          <cell r="K184" t="str">
            <v>410M160886</v>
          </cell>
        </row>
        <row r="185">
          <cell r="G185" t="str">
            <v>DEPOT ESPERANCE OFFICE</v>
          </cell>
          <cell r="H185" t="str">
            <v>C0013658</v>
          </cell>
          <cell r="I185" t="str">
            <v>LOT 621 HARBOUR ROAD CNR SIMS RD</v>
          </cell>
          <cell r="J185" t="str">
            <v>ESPERANCE WA</v>
          </cell>
          <cell r="K185" t="str">
            <v>0136004143</v>
          </cell>
        </row>
        <row r="186">
          <cell r="G186" t="str">
            <v>BORE 05-85 CUE</v>
          </cell>
          <cell r="H186" t="str">
            <v>W0040709</v>
          </cell>
          <cell r="I186" t="str">
            <v>LOC 99991 GREAT NORTHERN HIGHWAY</v>
          </cell>
          <cell r="J186" t="str">
            <v>CUE 6640</v>
          </cell>
          <cell r="K186" t="str">
            <v>450M2000528</v>
          </cell>
        </row>
        <row r="187">
          <cell r="G187" t="str">
            <v>BORE 02-99 SANDSTONE</v>
          </cell>
          <cell r="H187" t="str">
            <v>W4000576</v>
          </cell>
          <cell r="I187" t="str">
            <v>LOC 11714 SANDSTONE-WILUNA ROAD</v>
          </cell>
          <cell r="J187" t="str">
            <v>SANDSTONE WA</v>
          </cell>
          <cell r="K187" t="str">
            <v>450M22361</v>
          </cell>
        </row>
        <row r="188">
          <cell r="G188" t="str">
            <v>SPS 3 ELDER ST DERBY</v>
          </cell>
          <cell r="H188" t="str">
            <v>S0025558</v>
          </cell>
          <cell r="I188" t="str">
            <v>8 ELDER STREET</v>
          </cell>
          <cell r="J188" t="str">
            <v>DERBY WA</v>
          </cell>
          <cell r="K188" t="str">
            <v>410M101373</v>
          </cell>
        </row>
        <row r="189">
          <cell r="G189" t="str">
            <v>SPS REUSE GUILDFORD ST WWTP DERBY</v>
          </cell>
          <cell r="H189" t="str">
            <v>S3000351</v>
          </cell>
          <cell r="I189" t="str">
            <v>LOT 811 GUILDFORD STREET</v>
          </cell>
          <cell r="J189" t="str">
            <v>DERBY WA</v>
          </cell>
          <cell r="K189" t="str">
            <v>002101418</v>
          </cell>
        </row>
        <row r="190">
          <cell r="G190" t="str">
            <v>SPS 13 SPOONBILL CR STH HEDLAND</v>
          </cell>
          <cell r="H190" t="str">
            <v>S0025832</v>
          </cell>
          <cell r="I190" t="str">
            <v>LOT 5184 SPOONBILL CRESCENT</v>
          </cell>
          <cell r="J190" t="str">
            <v>SOUTH HEDLAND WA 6722</v>
          </cell>
          <cell r="K190" t="str">
            <v>02118002824</v>
          </cell>
        </row>
        <row r="191">
          <cell r="G191" t="str">
            <v>BORE 31-97 TOWN 10</v>
          </cell>
          <cell r="H191" t="str">
            <v>W0021649</v>
          </cell>
          <cell r="I191" t="str">
            <v>LOT 782 CONNOLLY STREET</v>
          </cell>
          <cell r="J191" t="str">
            <v>ESPERANCE WA</v>
          </cell>
          <cell r="K191" t="str">
            <v>0350018316</v>
          </cell>
        </row>
        <row r="192">
          <cell r="G192" t="str">
            <v>BOREFIELD CARNARVON</v>
          </cell>
          <cell r="H192" t="str">
            <v>W0038055</v>
          </cell>
          <cell r="I192" t="str">
            <v>UNIT 53E/187 LAWSON ST</v>
          </cell>
          <cell r="J192" t="str">
            <v>CARNARVON WA 6701</v>
          </cell>
          <cell r="K192" t="str">
            <v>450M13249</v>
          </cell>
        </row>
        <row r="193">
          <cell r="G193" t="str">
            <v>SPS BABBAGE ISLAND RD CARNARVON</v>
          </cell>
          <cell r="H193" t="str">
            <v>S0037327</v>
          </cell>
          <cell r="I193" t="str">
            <v>LOT 360 DAVID BRAND DRIVE</v>
          </cell>
          <cell r="J193" t="str">
            <v>BROCKMAN WA</v>
          </cell>
          <cell r="K193" t="str">
            <v>A44120124</v>
          </cell>
        </row>
        <row r="194">
          <cell r="G194" t="str">
            <v>BOREFIELD CARNARVON</v>
          </cell>
          <cell r="H194" t="str">
            <v>W0038055</v>
          </cell>
          <cell r="I194" t="str">
            <v>UNIT 53E/1994 LAWSON ST</v>
          </cell>
          <cell r="J194" t="str">
            <v>CARNARVON WA 6701</v>
          </cell>
          <cell r="K194" t="str">
            <v>410M198010</v>
          </cell>
        </row>
        <row r="195">
          <cell r="G195" t="str">
            <v>SPS 7 CRANE CL KARRATHA</v>
          </cell>
          <cell r="H195" t="str">
            <v>S0025644</v>
          </cell>
          <cell r="I195" t="str">
            <v>LOT 4536 CRANE CIRCLE</v>
          </cell>
          <cell r="J195" t="str">
            <v>PEGS CREEK WA</v>
          </cell>
          <cell r="K195" t="str">
            <v>410M136131</v>
          </cell>
        </row>
        <row r="196">
          <cell r="G196" t="str">
            <v>BOREFIELD CARNARVON</v>
          </cell>
          <cell r="H196" t="str">
            <v>W0038055</v>
          </cell>
          <cell r="I196" t="str">
            <v>UNIT 53E/379 LAWSON ST</v>
          </cell>
          <cell r="J196" t="str">
            <v>CARNARVON WA 6701</v>
          </cell>
          <cell r="K196" t="str">
            <v>DUP674721</v>
          </cell>
        </row>
        <row r="197">
          <cell r="G197" t="str">
            <v>POND 1 PRIMARY WWTP 1 ESPERANCE</v>
          </cell>
          <cell r="H197" t="str">
            <v>S0015213</v>
          </cell>
          <cell r="I197" t="str">
            <v>LOT 924 JETTY RD</v>
          </cell>
          <cell r="J197" t="str">
            <v>ESPERANCE WA  6450</v>
          </cell>
          <cell r="K197" t="str">
            <v>0214000809</v>
          </cell>
        </row>
        <row r="198">
          <cell r="G198" t="str">
            <v>BOREFIELD CONDINGUP</v>
          </cell>
          <cell r="H198" t="str">
            <v>W0021552</v>
          </cell>
          <cell r="I198" t="str">
            <v>LOT 151 SUTCLIFFE STREET</v>
          </cell>
          <cell r="J198" t="str">
            <v>CONDINGUP WA</v>
          </cell>
          <cell r="K198" t="str">
            <v>410M152830</v>
          </cell>
        </row>
        <row r="199">
          <cell r="G199" t="str">
            <v>SP BORE 1/04 DERBY</v>
          </cell>
          <cell r="H199" t="str">
            <v>W3001043</v>
          </cell>
          <cell r="I199" t="str">
            <v>GIBB RIVER ROAD</v>
          </cell>
          <cell r="J199" t="str">
            <v>DERBY WA 6728</v>
          </cell>
          <cell r="K199" t="str">
            <v>0280001837</v>
          </cell>
        </row>
        <row r="200">
          <cell r="G200" t="str">
            <v>BORE 01-00 TOWN 15</v>
          </cell>
          <cell r="H200" t="str">
            <v>W0021617</v>
          </cell>
          <cell r="I200" t="str">
            <v>LOT 863 VICTORIA STREET</v>
          </cell>
          <cell r="J200" t="str">
            <v>ESPERANCE WA</v>
          </cell>
          <cell r="K200" t="str">
            <v>0350018305</v>
          </cell>
        </row>
        <row r="201">
          <cell r="G201" t="str">
            <v>SPS 1 ROE ST ROEBOURNE</v>
          </cell>
          <cell r="H201" t="str">
            <v>S0025670</v>
          </cell>
          <cell r="I201" t="str">
            <v>LOT 264 ROE STREET</v>
          </cell>
          <cell r="J201" t="str">
            <v>ROEBOURNE WA</v>
          </cell>
          <cell r="K201" t="str">
            <v>450M5122</v>
          </cell>
        </row>
        <row r="202">
          <cell r="G202" t="str">
            <v>BORE 05-91 TOWN 39</v>
          </cell>
          <cell r="H202" t="str">
            <v>W0021680</v>
          </cell>
          <cell r="I202" t="str">
            <v>LOC 1356 DOWNES STREET</v>
          </cell>
          <cell r="J202" t="str">
            <v>ESPERANCE WA 6450</v>
          </cell>
          <cell r="K202" t="str">
            <v>0350018308</v>
          </cell>
        </row>
        <row r="203">
          <cell r="G203" t="str">
            <v>BORE 3/99 WEDGE PIT LAVERTON</v>
          </cell>
          <cell r="H203" t="str">
            <v>W6001750</v>
          </cell>
          <cell r="I203" t="str">
            <v>LOC 4771 GREAT CENTRAL ROAD</v>
          </cell>
          <cell r="J203" t="str">
            <v>LAVERTON WA</v>
          </cell>
          <cell r="K203" t="str">
            <v>410M202470</v>
          </cell>
        </row>
        <row r="204">
          <cell r="G204" t="str">
            <v>SPS 1 IVANHOE RD KUNUNURRA</v>
          </cell>
          <cell r="H204" t="str">
            <v>S0025712</v>
          </cell>
          <cell r="I204" t="str">
            <v>LOT 248 IVANHOE ROAD</v>
          </cell>
          <cell r="J204" t="str">
            <v>KUNUNURRA WA</v>
          </cell>
          <cell r="K204" t="str">
            <v>0350036004</v>
          </cell>
        </row>
        <row r="205">
          <cell r="G205" t="str">
            <v>BOREFIELD CARNARVON</v>
          </cell>
          <cell r="H205" t="str">
            <v>W0038055</v>
          </cell>
          <cell r="I205" t="str">
            <v>UNIT 53E/193 LAWSON ST</v>
          </cell>
          <cell r="J205" t="str">
            <v>CARNARVON WA 6701</v>
          </cell>
          <cell r="K205" t="str">
            <v>410M181930</v>
          </cell>
        </row>
        <row r="206">
          <cell r="G206" t="str">
            <v>WPS LAKEVIEW DR KUNUNURRA TX</v>
          </cell>
          <cell r="H206" t="str">
            <v>W0026145</v>
          </cell>
          <cell r="I206" t="str">
            <v>LOT 324 VICTORIA HIGHWAY</v>
          </cell>
          <cell r="J206" t="str">
            <v>KUNUNURRA WA 6743</v>
          </cell>
          <cell r="K206" t="str">
            <v>4200M1735</v>
          </cell>
        </row>
        <row r="207">
          <cell r="G207" t="str">
            <v>BORE 06-85 CUE</v>
          </cell>
          <cell r="H207" t="str">
            <v>W0040728</v>
          </cell>
          <cell r="I207" t="str">
            <v>LOC 99995 GREAT NORTHERN HIGHWAY</v>
          </cell>
          <cell r="J207" t="str">
            <v>CUE 6640</v>
          </cell>
          <cell r="K207" t="str">
            <v>450M2000534</v>
          </cell>
        </row>
        <row r="208">
          <cell r="G208" t="str">
            <v>DEPOT HALLS CREEK</v>
          </cell>
          <cell r="H208" t="str">
            <v>C0025348</v>
          </cell>
          <cell r="I208" t="str">
            <v>DUNCAN HIGHWAY</v>
          </cell>
          <cell r="J208" t="str">
            <v>HALLS CREEK WA</v>
          </cell>
          <cell r="K208" t="str">
            <v>0136005713</v>
          </cell>
        </row>
        <row r="209">
          <cell r="G209" t="str">
            <v>BORE 03-05 HOPETOUN</v>
          </cell>
          <cell r="H209" t="str">
            <v>W7004378</v>
          </cell>
          <cell r="I209" t="str">
            <v>LOC 968 HOPETOUN ROAD</v>
          </cell>
          <cell r="J209" t="str">
            <v>HOPETOUN WA</v>
          </cell>
          <cell r="K209" t="str">
            <v>0280000224</v>
          </cell>
        </row>
        <row r="210">
          <cell r="G210" t="str">
            <v>SPS 2 DEMPSTER ST ESPERANCE</v>
          </cell>
          <cell r="H210" t="str">
            <v>S0015181</v>
          </cell>
          <cell r="I210" t="str">
            <v>LOT 821 DEMPSTER STREET</v>
          </cell>
          <cell r="J210" t="str">
            <v>ESPERANCE WA 6450</v>
          </cell>
          <cell r="K210" t="str">
            <v>0180004827</v>
          </cell>
        </row>
        <row r="211">
          <cell r="G211" t="str">
            <v>BORE 03-85 TWILIGHT 34</v>
          </cell>
          <cell r="H211" t="str">
            <v>W0021675</v>
          </cell>
          <cell r="I211" t="str">
            <v>LOC 385 THOMPSON STREET</v>
          </cell>
          <cell r="J211" t="str">
            <v>ESPERANCE WA</v>
          </cell>
          <cell r="K211" t="str">
            <v>0350018300</v>
          </cell>
        </row>
        <row r="212">
          <cell r="G212" t="str">
            <v>POWER DIST GROUP SEAWATER PUMPING SYS</v>
          </cell>
          <cell r="H212" t="str">
            <v>W3001178</v>
          </cell>
          <cell r="I212" t="str">
            <v>LOT 281 MERMAID CRT</v>
          </cell>
          <cell r="J212" t="str">
            <v>BURRUP WA 6714</v>
          </cell>
          <cell r="K212" t="str">
            <v>0295000083</v>
          </cell>
        </row>
        <row r="213">
          <cell r="G213" t="str">
            <v>BOREFIELD KUNUNURRA</v>
          </cell>
          <cell r="H213" t="str">
            <v>W0026157</v>
          </cell>
          <cell r="I213" t="str">
            <v>LOT 324 LAKEVIEW DRIVE</v>
          </cell>
          <cell r="J213" t="str">
            <v>KUNUNURRA WA 6743</v>
          </cell>
          <cell r="K213" t="str">
            <v>2112100007</v>
          </cell>
        </row>
        <row r="214">
          <cell r="G214" t="str">
            <v>BORE 06-89 MEEKATHARRA</v>
          </cell>
          <cell r="H214" t="str">
            <v>W0042062</v>
          </cell>
          <cell r="I214" t="str">
            <v>LOT 99999 WILUNA ROAD</v>
          </cell>
          <cell r="J214" t="str">
            <v>MEEKATHARRA WA 6642</v>
          </cell>
          <cell r="K214" t="str">
            <v>0180007095</v>
          </cell>
        </row>
        <row r="215">
          <cell r="G215" t="str">
            <v>BORE 13-01 TOWN 13</v>
          </cell>
          <cell r="H215" t="str">
            <v>W0021653</v>
          </cell>
          <cell r="I215" t="str">
            <v>LOT 1951 DOWNES ST</v>
          </cell>
          <cell r="J215" t="str">
            <v>ESPERANCE WA</v>
          </cell>
          <cell r="K215" t="str">
            <v>0350018319</v>
          </cell>
        </row>
        <row r="216">
          <cell r="G216" t="str">
            <v>BOREFIELD CARNARVON</v>
          </cell>
          <cell r="H216" t="str">
            <v>W0038055</v>
          </cell>
          <cell r="I216" t="str">
            <v>UNIT 53E/2001 LAWSON ST</v>
          </cell>
          <cell r="J216" t="str">
            <v>CARNARVON WA 6701</v>
          </cell>
          <cell r="K216" t="str">
            <v>180000444</v>
          </cell>
        </row>
        <row r="217">
          <cell r="G217" t="str">
            <v>IPS IVANHOE PLAIN</v>
          </cell>
          <cell r="H217" t="str">
            <v>I002-001-002-002</v>
          </cell>
          <cell r="I217" t="str">
            <v>UNIT 52/LOT 440 LAKEVIEW DRIVE</v>
          </cell>
          <cell r="J217" t="str">
            <v>KUNUNURRA WA 6743</v>
          </cell>
          <cell r="K217" t="str">
            <v>410M204486</v>
          </cell>
        </row>
        <row r="218">
          <cell r="G218" t="str">
            <v>BORE 10-01 TOWN 12</v>
          </cell>
          <cell r="H218" t="str">
            <v>W0021651</v>
          </cell>
          <cell r="I218" t="str">
            <v>LOC 8 DOWNES STREET</v>
          </cell>
          <cell r="J218" t="str">
            <v>ESPERANCE WA</v>
          </cell>
          <cell r="K218" t="str">
            <v>0350018301</v>
          </cell>
        </row>
        <row r="219">
          <cell r="G219" t="str">
            <v>BOREFIELD CARNARVON</v>
          </cell>
          <cell r="H219" t="str">
            <v>W0038055</v>
          </cell>
          <cell r="I219" t="str">
            <v>1 LAWSON ST</v>
          </cell>
          <cell r="J219" t="str">
            <v>CARNARVON WA 6701</v>
          </cell>
          <cell r="K219" t="str">
            <v>0180011002</v>
          </cell>
        </row>
        <row r="220">
          <cell r="G220" t="str">
            <v>BOREFIELD CARNARVON</v>
          </cell>
          <cell r="H220" t="str">
            <v>W0038055</v>
          </cell>
          <cell r="I220" t="str">
            <v>UNIT 53E/1301 LAWSON ST</v>
          </cell>
          <cell r="J220" t="str">
            <v>CARNARVON WA 6701</v>
          </cell>
          <cell r="K220" t="str">
            <v>450M14689</v>
          </cell>
        </row>
        <row r="221">
          <cell r="G221" t="str">
            <v>SPS 1 LIA CHERRATTA RD KARRATHA</v>
          </cell>
          <cell r="H221" t="str">
            <v>S0025651</v>
          </cell>
          <cell r="I221" t="str">
            <v>LOT 1063 CHERRATTA ROAD</v>
          </cell>
          <cell r="J221" t="str">
            <v>KARRATHA INDUSTRIAL ESTATE WA 6714</v>
          </cell>
          <cell r="K221" t="str">
            <v>410M3639</v>
          </cell>
        </row>
        <row r="222">
          <cell r="G222" t="str">
            <v>WWTP 1 KARRATHA ROBINS RD MULATAGA</v>
          </cell>
          <cell r="H222" t="str">
            <v>S0025658</v>
          </cell>
          <cell r="I222" t="str">
            <v>LOT 1933 MOOLIGUNN ROAD</v>
          </cell>
          <cell r="J222" t="str">
            <v>KARRATHA WA</v>
          </cell>
          <cell r="K222" t="str">
            <v>0350010557</v>
          </cell>
        </row>
        <row r="223">
          <cell r="G223" t="str">
            <v>DEPOT MEEKATHARRA</v>
          </cell>
          <cell r="H223" t="str">
            <v>C0036973</v>
          </cell>
          <cell r="I223" t="str">
            <v>46 MAIN STREET</v>
          </cell>
          <cell r="J223" t="str">
            <v>MEEKATHARRA WA</v>
          </cell>
          <cell r="K223" t="str">
            <v>0180020769</v>
          </cell>
        </row>
        <row r="224">
          <cell r="G224" t="str">
            <v>SPS 7 FAIRWAY DR BROOME</v>
          </cell>
          <cell r="H224" t="str">
            <v>S3000468</v>
          </cell>
          <cell r="I224" t="str">
            <v>LOT 522 GUBINGE ROAD</v>
          </cell>
          <cell r="J224" t="str">
            <v>BROOME WA</v>
          </cell>
          <cell r="K224" t="str">
            <v>0180029982</v>
          </cell>
        </row>
        <row r="225">
          <cell r="G225" t="str">
            <v>SPS 12 YARANGA CR STH HEDLAND</v>
          </cell>
          <cell r="H225" t="str">
            <v>S0025826</v>
          </cell>
          <cell r="I225" t="str">
            <v>LOT 3624 YARRUNGA CRESCENT</v>
          </cell>
          <cell r="J225" t="str">
            <v>SOUTH HEDLAND WA 6722</v>
          </cell>
          <cell r="K225" t="str">
            <v>02128000678</v>
          </cell>
        </row>
        <row r="226">
          <cell r="G226" t="str">
            <v>ELECT INSTALL WSC KELLYS KNOB KUNUNURRA</v>
          </cell>
          <cell r="H226" t="str">
            <v>W0026140</v>
          </cell>
          <cell r="I226" t="str">
            <v>LOT 973 IRONWOOD DRIVE</v>
          </cell>
          <cell r="J226" t="str">
            <v>KUNUNURRA WA</v>
          </cell>
          <cell r="K226" t="str">
            <v>15M302592</v>
          </cell>
        </row>
        <row r="227">
          <cell r="G227" t="str">
            <v>BORE 11-01 TOWN 5</v>
          </cell>
          <cell r="H227" t="str">
            <v>W0021633</v>
          </cell>
          <cell r="I227" t="str">
            <v>13 BACKLAND ST</v>
          </cell>
          <cell r="J227" t="str">
            <v>ESPERANCE</v>
          </cell>
          <cell r="K227" t="str">
            <v>0180007201</v>
          </cell>
        </row>
        <row r="228">
          <cell r="G228" t="str">
            <v>TANK GL 1 WSC GALLOP RD NULLAGINE</v>
          </cell>
          <cell r="H228" t="str">
            <v>W3000702</v>
          </cell>
          <cell r="I228" t="str">
            <v>LOT 211 COOKE STREET</v>
          </cell>
          <cell r="J228" t="str">
            <v>NULLAGINE WA</v>
          </cell>
          <cell r="K228" t="str">
            <v>0180024339</v>
          </cell>
        </row>
        <row r="229">
          <cell r="G229" t="str">
            <v>VPS 7 ACTON ST PT HEDLAND</v>
          </cell>
          <cell r="H229" t="str">
            <v>S3000005</v>
          </cell>
          <cell r="I229" t="str">
            <v>LOT 1624 ACTON STREET</v>
          </cell>
          <cell r="J229" t="str">
            <v>PORT HEDLAND WA</v>
          </cell>
          <cell r="K229" t="str">
            <v>4200M4076</v>
          </cell>
        </row>
        <row r="230">
          <cell r="G230" t="str">
            <v>SPS 4 DISPOSAL WWTP WYNDHAM</v>
          </cell>
          <cell r="H230" t="str">
            <v>S0025924</v>
          </cell>
          <cell r="I230" t="str">
            <v>LOT 1362 DURACK ROAD</v>
          </cell>
          <cell r="J230" t="str">
            <v>WYNDHAM WA</v>
          </cell>
          <cell r="K230" t="str">
            <v>0180004421</v>
          </cell>
        </row>
        <row r="231">
          <cell r="G231" t="str">
            <v>RO SYS HOPETOUN</v>
          </cell>
          <cell r="H231" t="str">
            <v>W7004316</v>
          </cell>
          <cell r="I231" t="str">
            <v>LOT 1 HAMERSLEY DRIVE</v>
          </cell>
          <cell r="J231" t="str">
            <v>HOPETOUN WA</v>
          </cell>
          <cell r="K231" t="str">
            <v>0136002528</v>
          </cell>
        </row>
        <row r="232">
          <cell r="G232" t="str">
            <v>SPS 9 KOOMBANA AV STH HEDLAND</v>
          </cell>
          <cell r="H232" t="str">
            <v>S0025882</v>
          </cell>
          <cell r="I232" t="str">
            <v>19 KOOMBANA AVENUE</v>
          </cell>
          <cell r="J232" t="str">
            <v>SOUTH HEDLAND WA</v>
          </cell>
          <cell r="K232" t="str">
            <v>410M72437</v>
          </cell>
        </row>
        <row r="233">
          <cell r="G233" t="str">
            <v>SPS 4 PATON RD STH HEDLAND</v>
          </cell>
          <cell r="H233" t="str">
            <v>S0025851</v>
          </cell>
          <cell r="I233" t="str">
            <v>125 PATON ROAD</v>
          </cell>
          <cell r="J233" t="str">
            <v>SOUTH HEDLAND WA</v>
          </cell>
          <cell r="K233" t="str">
            <v>410M48554</v>
          </cell>
        </row>
        <row r="234">
          <cell r="G234" t="str">
            <v>WTP CORAL BAY</v>
          </cell>
          <cell r="H234" t="str">
            <v>W4002007</v>
          </cell>
          <cell r="I234" t="str">
            <v>LOT 301 SANCTUARY ROAD</v>
          </cell>
          <cell r="J234" t="str">
            <v>CORAL BAY WA 6701</v>
          </cell>
          <cell r="K234" t="str">
            <v>0211000365</v>
          </cell>
        </row>
        <row r="235">
          <cell r="G235"/>
          <cell r="H235" t="e">
            <v>#N/A</v>
          </cell>
          <cell r="I235" t="str">
            <v>LOC 406 LAKE ARGYLE ROAD</v>
          </cell>
          <cell r="J235" t="str">
            <v>LAKE ARGYLE WA</v>
          </cell>
          <cell r="K235" t="str">
            <v>410M139122</v>
          </cell>
        </row>
        <row r="236">
          <cell r="G236" t="str">
            <v>BORE 2/99 WEDGE PIT LAVERTON</v>
          </cell>
          <cell r="H236" t="str">
            <v>W6001740</v>
          </cell>
          <cell r="I236" t="str">
            <v>LOC 4771 GREAT CENTRAL ROAD</v>
          </cell>
          <cell r="J236" t="str">
            <v>LAVERTON WA</v>
          </cell>
          <cell r="K236" t="str">
            <v>410M202469</v>
          </cell>
        </row>
        <row r="237">
          <cell r="G237" t="str">
            <v>BORE 03-83 YALGOO</v>
          </cell>
          <cell r="H237" t="str">
            <v>W4001741</v>
          </cell>
          <cell r="I237" t="str">
            <v>LOT 99999 YALGOO NORTH ROAD</v>
          </cell>
          <cell r="J237" t="str">
            <v>YALGOO WA</v>
          </cell>
          <cell r="K237" t="str">
            <v>0350000148</v>
          </cell>
        </row>
        <row r="238">
          <cell r="G238" t="str">
            <v>TANK GL 1 WSC LNG BURRUP</v>
          </cell>
          <cell r="H238" t="str">
            <v>W0026484</v>
          </cell>
          <cell r="I238" t="str">
            <v>LOT 193 BURRUP PENINSULA</v>
          </cell>
          <cell r="J238" t="str">
            <v>KARRATHA WA</v>
          </cell>
          <cell r="K238" t="str">
            <v>15M164772</v>
          </cell>
        </row>
        <row r="239">
          <cell r="G239" t="str">
            <v>WPS HAWK PLACE LAVERTON</v>
          </cell>
          <cell r="H239" t="str">
            <v>W033-004-002</v>
          </cell>
          <cell r="I239" t="str">
            <v>LOT 184 COX STREET</v>
          </cell>
          <cell r="J239" t="str">
            <v>LAVERTON WA</v>
          </cell>
          <cell r="K239" t="str">
            <v>15D014578</v>
          </cell>
        </row>
        <row r="240">
          <cell r="G240" t="str">
            <v>SPS 4 BATHGATE RD KARRATHA</v>
          </cell>
          <cell r="H240" t="str">
            <v>S0025630</v>
          </cell>
          <cell r="I240" t="str">
            <v>LOT 3828 BATHGATE ROAD</v>
          </cell>
          <cell r="J240" t="str">
            <v>MILLARS WELL WA</v>
          </cell>
          <cell r="K240" t="str">
            <v>450M14200</v>
          </cell>
        </row>
        <row r="241">
          <cell r="G241"/>
          <cell r="H241" t="e">
            <v>#N/A</v>
          </cell>
          <cell r="I241" t="str">
            <v>LOC 398 LAKE ARGYLE RD</v>
          </cell>
          <cell r="J241" t="str">
            <v>LAKE ARGYLE WA 6743</v>
          </cell>
          <cell r="K241" t="str">
            <v>410M139113</v>
          </cell>
        </row>
        <row r="242">
          <cell r="G242" t="str">
            <v>SPS 2 ROBINSON ST BROOME</v>
          </cell>
          <cell r="H242" t="str">
            <v>S0025514</v>
          </cell>
          <cell r="I242" t="str">
            <v>LOT 2051 ROBINSON ST</v>
          </cell>
          <cell r="J242" t="str">
            <v>BROOME WA 6725</v>
          </cell>
          <cell r="K242" t="str">
            <v>0136003834</v>
          </cell>
        </row>
        <row r="243">
          <cell r="G243" t="str">
            <v>BOREFIELD CARNARVON</v>
          </cell>
          <cell r="H243" t="str">
            <v>W0038055</v>
          </cell>
          <cell r="I243" t="str">
            <v>UNIT 53E/1384 LAWSON ST</v>
          </cell>
          <cell r="J243" t="str">
            <v>CARNARVON WA 6701</v>
          </cell>
          <cell r="K243" t="str">
            <v>450M14339</v>
          </cell>
        </row>
        <row r="244">
          <cell r="G244" t="str">
            <v>SPS 1 WELLMAN RD HALLS CK</v>
          </cell>
          <cell r="H244" t="str">
            <v>S0025580</v>
          </cell>
          <cell r="I244" t="str">
            <v>LOT 376 WELMAN RD</v>
          </cell>
          <cell r="J244" t="str">
            <v>HALLS CREEK WA 6770</v>
          </cell>
          <cell r="K244">
            <v>2147800118</v>
          </cell>
        </row>
        <row r="245">
          <cell r="G245" t="str">
            <v>SPS 8 BRAND ST STH HEDLAND</v>
          </cell>
          <cell r="H245" t="str">
            <v>S0025876</v>
          </cell>
          <cell r="I245" t="str">
            <v>UNIT 52/LOT 5535 BRAND STREET</v>
          </cell>
          <cell r="J245" t="str">
            <v>SOUTH HEDLAND WA 6722</v>
          </cell>
          <cell r="K245" t="str">
            <v>410M61300</v>
          </cell>
        </row>
        <row r="246">
          <cell r="G246" t="str">
            <v>BOREFIELD CARNARVON</v>
          </cell>
          <cell r="H246" t="str">
            <v>W0038055</v>
          </cell>
          <cell r="I246" t="str">
            <v>UNIT 53E/373 LAWSON ST</v>
          </cell>
          <cell r="J246" t="str">
            <v>CARNARVON WA 6701</v>
          </cell>
          <cell r="K246">
            <v>2147800167</v>
          </cell>
        </row>
        <row r="247">
          <cell r="G247" t="str">
            <v>WSC LIA KARRATHA</v>
          </cell>
          <cell r="H247" t="str">
            <v>W0026681</v>
          </cell>
          <cell r="I247" t="str">
            <v>LOT 2660 KARRATHA ROAD</v>
          </cell>
          <cell r="J247" t="str">
            <v>KARRATHA WA</v>
          </cell>
          <cell r="K247" t="str">
            <v>15M164773</v>
          </cell>
        </row>
        <row r="248">
          <cell r="G248" t="str">
            <v>BORE 38-86 MT MAGNET</v>
          </cell>
          <cell r="H248" t="str">
            <v>W0042279</v>
          </cell>
          <cell r="I248" t="str">
            <v>LOC 99995 MOUNT MAGNET-YOWERAGABBIE ROAD MOUNT MAGNET</v>
          </cell>
          <cell r="J248" t="str">
            <v>MOUNT MAGNET WA 6638</v>
          </cell>
          <cell r="K248" t="str">
            <v>0180007089</v>
          </cell>
        </row>
        <row r="249">
          <cell r="G249" t="str">
            <v>WWTP KUNUNURRA</v>
          </cell>
          <cell r="H249" t="str">
            <v>S043-001-003</v>
          </cell>
          <cell r="I249" t="str">
            <v>LOT 336 IVANHOE ROAD</v>
          </cell>
          <cell r="J249" t="str">
            <v>KUNUNURRA WA</v>
          </cell>
          <cell r="K249" t="str">
            <v>0180034311</v>
          </cell>
        </row>
        <row r="250">
          <cell r="G250" t="str">
            <v>TANK EL 1 WSC BLACKMAN ST BROOME</v>
          </cell>
          <cell r="H250" t="str">
            <v>W0025936</v>
          </cell>
          <cell r="I250" t="str">
            <v>20 BLACKMAN STREET</v>
          </cell>
          <cell r="J250" t="str">
            <v>BROOME WA</v>
          </cell>
          <cell r="K250" t="str">
            <v>410M122382</v>
          </cell>
        </row>
        <row r="251">
          <cell r="G251" t="str">
            <v>PRES TRANS INLET  PEABODY WPS MEEKATHA</v>
          </cell>
          <cell r="H251" t="str">
            <v>W0042101</v>
          </cell>
          <cell r="I251" t="str">
            <v>LOT 225 ROBERTS STREET</v>
          </cell>
          <cell r="J251" t="str">
            <v>MEEKATHARRA WA</v>
          </cell>
          <cell r="K251" t="str">
            <v>15M66853</v>
          </cell>
        </row>
        <row r="252">
          <cell r="G252" t="str">
            <v>BORE 01-89 DERBY</v>
          </cell>
          <cell r="H252" t="str">
            <v>W0026042</v>
          </cell>
          <cell r="I252" t="str">
            <v>LOT 492 FITZROY STREET</v>
          </cell>
          <cell r="J252" t="str">
            <v>DERBY WA 6728</v>
          </cell>
          <cell r="K252" t="str">
            <v>450M10578</v>
          </cell>
        </row>
        <row r="253">
          <cell r="G253" t="str">
            <v>BORE 02-06 HALLS CK</v>
          </cell>
          <cell r="H253" t="str">
            <v>W3002183</v>
          </cell>
          <cell r="I253" t="str">
            <v>LOT 203 WELMAN ROAD</v>
          </cell>
          <cell r="J253" t="str">
            <v>HALLS CREEK WA</v>
          </cell>
          <cell r="K253" t="str">
            <v>02147800133</v>
          </cell>
        </row>
        <row r="254">
          <cell r="G254" t="str">
            <v>TANK EL 1 WSC SPINIFEX HILL PT HEDLAND</v>
          </cell>
          <cell r="H254" t="str">
            <v>W0026440</v>
          </cell>
          <cell r="I254" t="str">
            <v>LOT 5916 MCGREGOR STREET</v>
          </cell>
          <cell r="J254" t="str">
            <v>PORT HEDLAND WA</v>
          </cell>
          <cell r="K254" t="str">
            <v>410M163246</v>
          </cell>
        </row>
        <row r="255">
          <cell r="G255" t="str">
            <v>SPS 1 WOODLEY ST WILUNA</v>
          </cell>
          <cell r="H255" t="str">
            <v>S4001112</v>
          </cell>
          <cell r="I255" t="str">
            <v>LOT 719 WOODLEY STREET</v>
          </cell>
          <cell r="J255" t="str">
            <v>WILUNA WA 6646</v>
          </cell>
          <cell r="K255" t="str">
            <v>0280004086</v>
          </cell>
        </row>
        <row r="256">
          <cell r="G256" t="str">
            <v>SPS 5 IVANHOE RD KUNUNURRA</v>
          </cell>
          <cell r="H256" t="str">
            <v>S0025734</v>
          </cell>
          <cell r="I256" t="str">
            <v>LOT 610 IVANHOE ROAD</v>
          </cell>
          <cell r="J256" t="str">
            <v>KUNUNURRA WA</v>
          </cell>
          <cell r="K256" t="str">
            <v>410M197475</v>
          </cell>
        </row>
        <row r="257">
          <cell r="G257" t="str">
            <v>SPS 10 NORTH RD ESPERANCE</v>
          </cell>
          <cell r="H257" t="str">
            <v>S0015173</v>
          </cell>
          <cell r="I257" t="str">
            <v>LOT 41 NORTH ROAD</v>
          </cell>
          <cell r="J257" t="str">
            <v>ESPERANCE WA</v>
          </cell>
          <cell r="K257" t="str">
            <v>450M14722</v>
          </cell>
        </row>
        <row r="258">
          <cell r="G258" t="str">
            <v>BORE 02-85 TWILIGHT 33</v>
          </cell>
          <cell r="H258" t="str">
            <v>W0021674</v>
          </cell>
          <cell r="I258" t="str">
            <v>LOC 285 THOMPSON STREET</v>
          </cell>
          <cell r="J258" t="str">
            <v>ESPERANCE WA</v>
          </cell>
          <cell r="K258" t="str">
            <v>0350018306</v>
          </cell>
        </row>
        <row r="259">
          <cell r="G259" t="str">
            <v>WPS BLACKMAN ST BROOME</v>
          </cell>
          <cell r="H259" t="str">
            <v>W3000688</v>
          </cell>
          <cell r="I259" t="str">
            <v>20 BLACKMAN ST BROOME</v>
          </cell>
          <cell r="J259" t="str">
            <v>BROOME WA 6725</v>
          </cell>
          <cell r="K259" t="str">
            <v>001300250</v>
          </cell>
        </row>
        <row r="260">
          <cell r="G260" t="str">
            <v>WPS L954 PORT HEDLAND</v>
          </cell>
          <cell r="H260" t="str">
            <v>W3001037</v>
          </cell>
          <cell r="I260" t="str">
            <v>LOT 954 WILSON STREET</v>
          </cell>
          <cell r="J260" t="str">
            <v>PORT HEDLAND WA 6721</v>
          </cell>
          <cell r="K260" t="str">
            <v>2112100031</v>
          </cell>
        </row>
        <row r="261">
          <cell r="G261" t="str">
            <v>BORE 08-83 TWILIGHT 30</v>
          </cell>
          <cell r="H261" t="str">
            <v>W0021671</v>
          </cell>
          <cell r="I261" t="str">
            <v>LOC 4180 THOMPSON STREET</v>
          </cell>
          <cell r="J261" t="str">
            <v>ESPERANCE WA</v>
          </cell>
          <cell r="K261" t="str">
            <v>0350012499</v>
          </cell>
        </row>
        <row r="262">
          <cell r="G262" t="str">
            <v>BOREFIELD CARNARVON</v>
          </cell>
          <cell r="H262" t="str">
            <v>W0038055</v>
          </cell>
          <cell r="I262" t="str">
            <v>UNIT 53E/1901 LAWSON ST</v>
          </cell>
          <cell r="J262" t="str">
            <v>CARNARVON WA 6701</v>
          </cell>
          <cell r="K262" t="str">
            <v>180000404</v>
          </cell>
        </row>
        <row r="263">
          <cell r="G263" t="str">
            <v>BORE 03-06 HALLS CK</v>
          </cell>
          <cell r="H263" t="str">
            <v>W3002184</v>
          </cell>
          <cell r="I263" t="str">
            <v>LOT 74 DUNCAN ROAD</v>
          </cell>
          <cell r="J263" t="str">
            <v>HALLS CREEK WA</v>
          </cell>
          <cell r="K263" t="str">
            <v>0350010370</v>
          </cell>
        </row>
        <row r="264">
          <cell r="G264" t="str">
            <v>BORE 2A-80 TOWN 2</v>
          </cell>
          <cell r="H264" t="str">
            <v>W0021625</v>
          </cell>
          <cell r="I264" t="str">
            <v>LOT 667 HAMERSLEY ST</v>
          </cell>
          <cell r="J264" t="str">
            <v>ESPERANCE</v>
          </cell>
          <cell r="K264" t="str">
            <v>0350018317</v>
          </cell>
        </row>
        <row r="265">
          <cell r="G265" t="str">
            <v>DEPOT EXMOUTH</v>
          </cell>
          <cell r="H265" t="str">
            <v>C0036916</v>
          </cell>
          <cell r="I265" t="str">
            <v>18 NIMITZ STREET</v>
          </cell>
          <cell r="J265" t="str">
            <v>EXMOUTH WA 6707</v>
          </cell>
          <cell r="K265" t="str">
            <v>410M194699</v>
          </cell>
        </row>
        <row r="266">
          <cell r="G266" t="str">
            <v>SPS MH0223 DEAN ST ESPERANCE</v>
          </cell>
          <cell r="H266" t="str">
            <v>S0015161</v>
          </cell>
          <cell r="I266" t="str">
            <v>LOT 117 DEAN STREET</v>
          </cell>
          <cell r="J266" t="str">
            <v>ESPERANCE WA</v>
          </cell>
          <cell r="K266" t="str">
            <v>0350018304</v>
          </cell>
        </row>
        <row r="267">
          <cell r="G267" t="str">
            <v>BOREFIELD CARNARVON</v>
          </cell>
          <cell r="H267" t="str">
            <v>W0038055</v>
          </cell>
          <cell r="I267" t="str">
            <v>UNIT 53E/1802 LAWSON ST</v>
          </cell>
          <cell r="J267" t="str">
            <v>CARNARVON WA 6701</v>
          </cell>
          <cell r="K267" t="str">
            <v>180011000</v>
          </cell>
        </row>
        <row r="268">
          <cell r="G268" t="str">
            <v>BORE 01-86 DERBY</v>
          </cell>
          <cell r="H268" t="str">
            <v>W0026040</v>
          </cell>
          <cell r="I268" t="str">
            <v>1 WELLS STREET</v>
          </cell>
          <cell r="J268" t="str">
            <v>DERBY WA 6728</v>
          </cell>
          <cell r="K268" t="str">
            <v>0180005078</v>
          </cell>
        </row>
        <row r="269">
          <cell r="G269" t="str">
            <v>BOREFIELD CARNARVON</v>
          </cell>
          <cell r="H269" t="str">
            <v>W0038055</v>
          </cell>
          <cell r="I269" t="str">
            <v>UNIT 53E/576 LAWSON ST</v>
          </cell>
          <cell r="J269" t="str">
            <v>CARNARVON WA 6701</v>
          </cell>
          <cell r="K269" t="str">
            <v>410M118969</v>
          </cell>
        </row>
        <row r="270">
          <cell r="G270" t="str">
            <v>BORE 02-89 HALLS CK</v>
          </cell>
          <cell r="H270" t="str">
            <v>W0026121</v>
          </cell>
          <cell r="I270" t="str">
            <v>DUNCAN HIGHWAY</v>
          </cell>
          <cell r="J270" t="str">
            <v>HALLS CREEK WA</v>
          </cell>
          <cell r="K270" t="str">
            <v>0180005078</v>
          </cell>
        </row>
        <row r="271">
          <cell r="G271" t="str">
            <v>WPS HAWK PLACE LAVERTON</v>
          </cell>
          <cell r="H271" t="str">
            <v>W033-004-002</v>
          </cell>
          <cell r="I271" t="str">
            <v>LOT 416 HAWKS PLACE</v>
          </cell>
          <cell r="J271" t="str">
            <v>LAVERTON WA</v>
          </cell>
          <cell r="K271" t="str">
            <v>410M152448</v>
          </cell>
        </row>
        <row r="272">
          <cell r="G272" t="str">
            <v>SPS 1 WELD DRIVE LAVERTON</v>
          </cell>
          <cell r="H272" t="str">
            <v>S6000150</v>
          </cell>
          <cell r="I272" t="str">
            <v>LOT 199 WELD DRIVE</v>
          </cell>
          <cell r="J272" t="str">
            <v>LAVERTON WA</v>
          </cell>
          <cell r="K272" t="str">
            <v>410M155478</v>
          </cell>
        </row>
        <row r="273">
          <cell r="G273" t="str">
            <v>SPS 5 PELUSEY RD KARRATHA</v>
          </cell>
          <cell r="H273" t="str">
            <v>S0025637</v>
          </cell>
          <cell r="I273" t="str">
            <v>LOT 2900 PELUSEY WAY</v>
          </cell>
          <cell r="J273" t="str">
            <v>NICKOL WA</v>
          </cell>
          <cell r="K273" t="str">
            <v>410M104185</v>
          </cell>
        </row>
        <row r="274">
          <cell r="G274" t="str">
            <v>BORE 09-83 TWILIGHT 28</v>
          </cell>
          <cell r="H274" t="str">
            <v>W0021669</v>
          </cell>
          <cell r="I274" t="str">
            <v>LOT 4180 THOMPSON ST</v>
          </cell>
          <cell r="J274" t="str">
            <v>ESPERANCE WA 6450</v>
          </cell>
          <cell r="K274" t="str">
            <v>0350012498</v>
          </cell>
        </row>
        <row r="275">
          <cell r="G275" t="str">
            <v>PUMPING SYS REUSE WWTP BROOME SOUTH</v>
          </cell>
          <cell r="H275" t="str">
            <v>S0025497</v>
          </cell>
          <cell r="I275" t="str">
            <v>LOT 851 CLEMENTSON ST</v>
          </cell>
          <cell r="J275" t="str">
            <v>BROOME WA 6725</v>
          </cell>
          <cell r="K275" t="str">
            <v>0140001590</v>
          </cell>
        </row>
        <row r="276">
          <cell r="G276" t="str">
            <v>SPS 2 VICTORIA HWY KUNUNURRA</v>
          </cell>
          <cell r="H276" t="str">
            <v>S0025716</v>
          </cell>
          <cell r="I276" t="str">
            <v>LOT 1295 WOOLLYBUTT PLACE</v>
          </cell>
          <cell r="J276" t="str">
            <v>KUNUNURRA WA 6743</v>
          </cell>
          <cell r="K276" t="str">
            <v>410M194820</v>
          </cell>
        </row>
        <row r="277">
          <cell r="G277" t="str">
            <v>WTP BANKSIA RD HOPETOUN</v>
          </cell>
          <cell r="H277" t="str">
            <v>W7004321</v>
          </cell>
          <cell r="I277" t="str">
            <v>LOC 468 BEACON DRIVE</v>
          </cell>
          <cell r="J277" t="str">
            <v>HOPETOUN WA</v>
          </cell>
          <cell r="K277" t="str">
            <v>15D107481</v>
          </cell>
        </row>
        <row r="278">
          <cell r="G278" t="str">
            <v>WPS MT MAGNET TRANSFER</v>
          </cell>
          <cell r="H278" t="str">
            <v>W0042365</v>
          </cell>
          <cell r="I278" t="str">
            <v>LOC 99999 MOUNT MAGNET - YOWERAGABBIE RD</v>
          </cell>
          <cell r="J278" t="str">
            <v>MOUNT MAGNET</v>
          </cell>
          <cell r="K278" t="str">
            <v>450M13620</v>
          </cell>
        </row>
        <row r="279">
          <cell r="G279" t="str">
            <v>BOREFIELD CARNARVON</v>
          </cell>
          <cell r="H279" t="str">
            <v>W0038055</v>
          </cell>
          <cell r="I279" t="str">
            <v>UNIT 53E/1602 LAWSON STREET</v>
          </cell>
          <cell r="J279" t="str">
            <v>CARNARVON WA 6701</v>
          </cell>
          <cell r="K279" t="str">
            <v>0180011001</v>
          </cell>
        </row>
        <row r="280">
          <cell r="G280" t="str">
            <v>BOREFIELD CARNARVON</v>
          </cell>
          <cell r="H280" t="str">
            <v>W0038055</v>
          </cell>
          <cell r="I280" t="str">
            <v>UNIT 53E/276 LAWSON ST</v>
          </cell>
          <cell r="J280" t="str">
            <v>CARNARVON WA 6701</v>
          </cell>
          <cell r="K280" t="str">
            <v>A38276711</v>
          </cell>
        </row>
        <row r="281">
          <cell r="G281" t="str">
            <v>SPS 5 CABLE BCH RD BROOME</v>
          </cell>
          <cell r="H281" t="str">
            <v>S0025532</v>
          </cell>
          <cell r="I281" t="str">
            <v>UNIT 52/LOT 2223 CABLE BEACH ROAD</v>
          </cell>
          <cell r="J281" t="str">
            <v>CABLE BEACH WA 6726</v>
          </cell>
          <cell r="K281" t="str">
            <v>0136002496</v>
          </cell>
        </row>
        <row r="282">
          <cell r="G282" t="str">
            <v>SPS 4 TAYLOR ST PT HEDLAND</v>
          </cell>
          <cell r="H282" t="str">
            <v>S0025792</v>
          </cell>
          <cell r="I282" t="str">
            <v>LOT 1730 TAYLOR STREET</v>
          </cell>
          <cell r="J282" t="str">
            <v>PORT HEDLAND WA</v>
          </cell>
          <cell r="K282" t="str">
            <v>410AM106627</v>
          </cell>
        </row>
        <row r="283">
          <cell r="G283" t="str">
            <v>BORE 11-89 MEEKATHARRA</v>
          </cell>
          <cell r="H283" t="str">
            <v>W0042020</v>
          </cell>
          <cell r="I283" t="str">
            <v>LOT 1B SHERWOOD ROAD</v>
          </cell>
          <cell r="J283" t="str">
            <v>MEEKATHARRA WA 6642</v>
          </cell>
          <cell r="K283" t="str">
            <v>0180007092</v>
          </cell>
        </row>
        <row r="284">
          <cell r="G284" t="str">
            <v>SPS LEWINGTON LN CARNARVON</v>
          </cell>
          <cell r="H284" t="str">
            <v>S0037333</v>
          </cell>
          <cell r="I284" t="str">
            <v>5 LEWINGTON LANE</v>
          </cell>
          <cell r="J284" t="str">
            <v>CARNARVON WA</v>
          </cell>
          <cell r="K284" t="str">
            <v>0280002780</v>
          </cell>
        </row>
        <row r="285">
          <cell r="G285"/>
          <cell r="H285" t="e">
            <v>#N/A</v>
          </cell>
          <cell r="I285" t="str">
            <v>LOC 289 WEABER PLAIN ROAD</v>
          </cell>
          <cell r="J285" t="str">
            <v>KUNUNURRA WA 6743</v>
          </cell>
          <cell r="K285" t="str">
            <v>15M119462</v>
          </cell>
        </row>
        <row r="286">
          <cell r="G286" t="str">
            <v>BORE 10-99 SANDSTONE</v>
          </cell>
          <cell r="H286" t="str">
            <v>W0042629</v>
          </cell>
          <cell r="I286" t="str">
            <v>LOC 11714 SANDSTONE-WILUNA ROAD</v>
          </cell>
          <cell r="J286" t="str">
            <v>SANDSTONE WA</v>
          </cell>
          <cell r="K286" t="str">
            <v>450M22360</v>
          </cell>
        </row>
        <row r="287">
          <cell r="G287" t="str">
            <v>BORE 04-92 HALLS CK</v>
          </cell>
          <cell r="H287" t="str">
            <v>W0026127</v>
          </cell>
          <cell r="I287" t="str">
            <v>DUNCAN HIGHWAY</v>
          </cell>
          <cell r="J287" t="str">
            <v>HALLS CREEK WA</v>
          </cell>
          <cell r="K287" t="str">
            <v>0180002714</v>
          </cell>
        </row>
        <row r="288">
          <cell r="G288" t="str">
            <v>WPS NORSEMAN</v>
          </cell>
          <cell r="H288" t="str">
            <v>W0020516</v>
          </cell>
          <cell r="I288" t="str">
            <v>LOT 198 EYRE HIGHWAY</v>
          </cell>
          <cell r="J288" t="str">
            <v>NORSEMAN WA</v>
          </cell>
          <cell r="K288" t="str">
            <v>450AM724</v>
          </cell>
        </row>
        <row r="289">
          <cell r="G289" t="str">
            <v>WPS LL BROWN RANGE CARNARVON</v>
          </cell>
          <cell r="H289" t="str">
            <v>W215-004-005-012</v>
          </cell>
          <cell r="I289" t="str">
            <v>LOT 415 NORTH WEST COASTAL HIGHWAY</v>
          </cell>
          <cell r="J289" t="str">
            <v>CARNARVON WA 6701</v>
          </cell>
          <cell r="K289" t="str">
            <v>4200M4198</v>
          </cell>
        </row>
        <row r="290">
          <cell r="G290" t="str">
            <v>BOREFIELD CARNARVON</v>
          </cell>
          <cell r="H290" t="str">
            <v>W0038055</v>
          </cell>
          <cell r="I290" t="str">
            <v>LAWSON STREET</v>
          </cell>
          <cell r="J290" t="str">
            <v>CARNARVON WA</v>
          </cell>
          <cell r="K290" t="str">
            <v>4400AM519</v>
          </cell>
        </row>
        <row r="291">
          <cell r="G291" t="str">
            <v>WWTP DENHAM</v>
          </cell>
          <cell r="H291" t="str">
            <v>S060-001-003</v>
          </cell>
          <cell r="I291" t="str">
            <v>157 KNIGHT TERRACE</v>
          </cell>
          <cell r="J291" t="str">
            <v>DENHAM WA</v>
          </cell>
          <cell r="K291" t="str">
            <v>002909110</v>
          </cell>
        </row>
        <row r="292">
          <cell r="G292" t="str">
            <v>SPS 1 FORREST RD FITZROY CROSSING</v>
          </cell>
          <cell r="H292" t="str">
            <v>S0025574</v>
          </cell>
          <cell r="I292" t="str">
            <v>LOT 273 FORREST RD</v>
          </cell>
          <cell r="J292" t="str">
            <v>FITZROY CROSSING WA</v>
          </cell>
          <cell r="K292" t="str">
            <v>410M131823</v>
          </cell>
        </row>
        <row r="293">
          <cell r="G293" t="str">
            <v>WPS 2 SALMON GUMS</v>
          </cell>
          <cell r="H293" t="str">
            <v>W0021931</v>
          </cell>
          <cell r="I293" t="str">
            <v>SALMON GUMS WEST ROAD</v>
          </cell>
          <cell r="J293" t="str">
            <v>SALMON GUMS WA</v>
          </cell>
          <cell r="K293" t="str">
            <v>0280000222</v>
          </cell>
        </row>
        <row r="294">
          <cell r="G294" t="str">
            <v>BOREFIELD EXMOUTH</v>
          </cell>
          <cell r="H294" t="str">
            <v>W0040978</v>
          </cell>
          <cell r="I294" t="str">
            <v>LOC 941 PRESTON STREET</v>
          </cell>
          <cell r="J294" t="str">
            <v>EXMOUTH WA 6707</v>
          </cell>
          <cell r="K294" t="str">
            <v>004000088</v>
          </cell>
        </row>
        <row r="295">
          <cell r="G295" t="str">
            <v>BORE 15-87 SANDSTONE</v>
          </cell>
          <cell r="H295" t="str">
            <v>W0042631</v>
          </cell>
          <cell r="I295" t="str">
            <v>SANDSTONE-WILUNA ROAD</v>
          </cell>
          <cell r="J295" t="str">
            <v>SANDSTONE WA</v>
          </cell>
          <cell r="K295" t="str">
            <v>450M22359</v>
          </cell>
        </row>
        <row r="296">
          <cell r="G296" t="str">
            <v>WWTP CARNARVON</v>
          </cell>
          <cell r="H296" t="str">
            <v>S058-001-003</v>
          </cell>
          <cell r="I296" t="str">
            <v>LOT 55 BABBAGE ROAD</v>
          </cell>
          <cell r="J296" t="str">
            <v>CARNARVON WA</v>
          </cell>
          <cell r="K296" t="str">
            <v>0280001831</v>
          </cell>
        </row>
        <row r="297">
          <cell r="G297" t="str">
            <v>WSC POINT SAMSON</v>
          </cell>
          <cell r="H297" t="str">
            <v>W0026512</v>
          </cell>
          <cell r="I297" t="str">
            <v>CLIFF STREET</v>
          </cell>
          <cell r="J297" t="str">
            <v>POINT SAMSON WA</v>
          </cell>
          <cell r="K297" t="str">
            <v>15M185312</v>
          </cell>
        </row>
        <row r="298">
          <cell r="G298" t="str">
            <v>BORE 09-88 SPRINGDALE</v>
          </cell>
          <cell r="H298" t="str">
            <v>W0023033</v>
          </cell>
          <cell r="I298" t="str">
            <v>LOT 627 SPRINGDALE RD</v>
          </cell>
          <cell r="J298" t="str">
            <v>HOPETOUN</v>
          </cell>
          <cell r="K298" t="str">
            <v>0350009734</v>
          </cell>
        </row>
        <row r="299">
          <cell r="G299" t="str">
            <v>WWTP DERBY</v>
          </cell>
          <cell r="H299" t="str">
            <v>S039-001-003</v>
          </cell>
          <cell r="I299" t="str">
            <v>LOT 95 CONWAY STREET</v>
          </cell>
          <cell r="J299" t="str">
            <v>DERBY WA 6728</v>
          </cell>
          <cell r="K299" t="str">
            <v>410M231454</v>
          </cell>
        </row>
        <row r="300">
          <cell r="G300" t="str">
            <v>SPS 2 PARKER ST STH HEDLAND</v>
          </cell>
          <cell r="H300" t="str">
            <v>S0025838</v>
          </cell>
          <cell r="I300" t="str">
            <v>LOT 1693 PARKER STREET</v>
          </cell>
          <cell r="J300" t="str">
            <v>SOUTH HEDLAND WA 6722</v>
          </cell>
          <cell r="K300" t="str">
            <v>410M3724</v>
          </cell>
        </row>
        <row r="301">
          <cell r="G301" t="str">
            <v>BOREFIELD CARNARVON</v>
          </cell>
          <cell r="H301" t="str">
            <v>W0038055</v>
          </cell>
          <cell r="I301" t="str">
            <v>UNIT 53E/1702 LAWSON ST</v>
          </cell>
          <cell r="J301" t="str">
            <v>CARNARVON WA 6701</v>
          </cell>
          <cell r="K301" t="str">
            <v>0180011003</v>
          </cell>
        </row>
        <row r="302">
          <cell r="G302" t="str">
            <v>SPS 2 ROWAN ST DERBY</v>
          </cell>
          <cell r="H302" t="str">
            <v>S0025568</v>
          </cell>
          <cell r="I302" t="str">
            <v>LOT 56 ROWAN STREET</v>
          </cell>
          <cell r="J302" t="str">
            <v>DERBY WA 6728</v>
          </cell>
          <cell r="K302" t="str">
            <v>410M154866</v>
          </cell>
        </row>
        <row r="303">
          <cell r="G303" t="str">
            <v>WPS 1 MENZIES DAM</v>
          </cell>
          <cell r="H303" t="str">
            <v>W0021877</v>
          </cell>
          <cell r="I303" t="str">
            <v>LOT 7 SHENTON STREET</v>
          </cell>
          <cell r="J303" t="str">
            <v>MENZIES WA</v>
          </cell>
          <cell r="K303" t="str">
            <v>15M95471</v>
          </cell>
        </row>
        <row r="304">
          <cell r="G304" t="str">
            <v>BOREFIELD GASCOYNE JUNCTION</v>
          </cell>
          <cell r="H304" t="str">
            <v>W0041545</v>
          </cell>
          <cell r="I304" t="str">
            <v>LOC 1 MULLEWA-CARNARVON ROAD</v>
          </cell>
          <cell r="J304" t="str">
            <v>GASCOYNE JUNCTION WA</v>
          </cell>
          <cell r="K304" t="str">
            <v>2147800975</v>
          </cell>
        </row>
        <row r="305">
          <cell r="G305"/>
          <cell r="H305" t="e">
            <v>#N/A</v>
          </cell>
          <cell r="I305" t="str">
            <v>59 GOODLIFFE STREET</v>
          </cell>
          <cell r="J305" t="str">
            <v>NORSEMAN WA</v>
          </cell>
          <cell r="K305" t="str">
            <v>410M106586</v>
          </cell>
        </row>
        <row r="306">
          <cell r="G306" t="str">
            <v>BOREFIELD CARNARVON</v>
          </cell>
          <cell r="H306" t="str">
            <v>W0038055</v>
          </cell>
          <cell r="I306" t="str">
            <v>UNIT 53E/782 LAWSON ST</v>
          </cell>
          <cell r="J306" t="str">
            <v>CARNARVON WA 6701</v>
          </cell>
          <cell r="K306" t="str">
            <v>450M10050</v>
          </cell>
        </row>
        <row r="307">
          <cell r="G307" t="str">
            <v>SPS 12 GOLDFIELDS RD ESPERANCE</v>
          </cell>
          <cell r="H307" t="str">
            <v>S6000320</v>
          </cell>
          <cell r="I307" t="str">
            <v>LOT 789A MITCHELL STREET</v>
          </cell>
          <cell r="J307" t="str">
            <v>ESPERANCE WA</v>
          </cell>
          <cell r="K307" t="str">
            <v>410M204733</v>
          </cell>
        </row>
        <row r="308">
          <cell r="G308" t="str">
            <v>BORE 07-89 MEEKATHARRA</v>
          </cell>
          <cell r="H308" t="str">
            <v>W0042071</v>
          </cell>
          <cell r="I308" t="str">
            <v>LOT 99999 WILUNA ROAD</v>
          </cell>
          <cell r="J308" t="str">
            <v>MEEKATHARRA WA</v>
          </cell>
          <cell r="K308" t="str">
            <v>0180007093</v>
          </cell>
        </row>
        <row r="309">
          <cell r="G309" t="str">
            <v>SPS WHEELOCK WY CARNARVON</v>
          </cell>
          <cell r="H309" t="str">
            <v>S0037305</v>
          </cell>
          <cell r="I309" t="str">
            <v>18 BABBAGE ISLAND ROAD</v>
          </cell>
          <cell r="J309" t="str">
            <v>CARNARVON WA</v>
          </cell>
          <cell r="K309" t="str">
            <v>0180028621</v>
          </cell>
        </row>
        <row r="310">
          <cell r="G310" t="str">
            <v>BORE 03-91 TOWN 37</v>
          </cell>
          <cell r="H310" t="str">
            <v>W0021678</v>
          </cell>
          <cell r="I310" t="str">
            <v>LOT 3000 DOWNES ST</v>
          </cell>
          <cell r="J310" t="str">
            <v>ESPERANCE WA 6450</v>
          </cell>
          <cell r="K310" t="str">
            <v>0350025935</v>
          </cell>
        </row>
        <row r="311">
          <cell r="G311" t="str">
            <v>VALVE 200EBV VS VICTORIA HWY KUNUNURRA</v>
          </cell>
          <cell r="H311" t="str">
            <v>W3000655</v>
          </cell>
          <cell r="I311" t="str">
            <v>LOT 1076 VICTORIA HWY</v>
          </cell>
          <cell r="J311" t="str">
            <v>KUNUNURRA WA 6743</v>
          </cell>
          <cell r="K311" t="str">
            <v>0180002723</v>
          </cell>
        </row>
        <row r="312">
          <cell r="G312" t="str">
            <v>SPS MH1A THE ESPLANADE ESPERANCE</v>
          </cell>
          <cell r="H312" t="str">
            <v>S0015156</v>
          </cell>
          <cell r="I312" t="str">
            <v>LOT 770 TAYLOR STREET</v>
          </cell>
          <cell r="J312" t="str">
            <v>ESPERANCE WA</v>
          </cell>
          <cell r="K312" t="str">
            <v>410M182745</v>
          </cell>
        </row>
        <row r="313">
          <cell r="G313" t="str">
            <v>SPS ROBINSON ST CARNARVON</v>
          </cell>
          <cell r="H313" t="str">
            <v>S0037310</v>
          </cell>
          <cell r="I313" t="str">
            <v>ROBINSON STREET</v>
          </cell>
          <cell r="J313" t="str">
            <v>CARNARVON WA  6701</v>
          </cell>
          <cell r="K313" t="str">
            <v>0180020568</v>
          </cell>
        </row>
        <row r="314">
          <cell r="G314" t="str">
            <v>BORE 01-93 HALLS CK</v>
          </cell>
          <cell r="H314" t="str">
            <v>W0026112</v>
          </cell>
          <cell r="I314" t="str">
            <v>UNIT 52 LOT 38452 DUNCAN HWY</v>
          </cell>
          <cell r="J314" t="str">
            <v>HALLS CREEK</v>
          </cell>
          <cell r="K314" t="str">
            <v>2147800132</v>
          </cell>
        </row>
        <row r="315">
          <cell r="G315" t="str">
            <v>CDP MUNGLINUP</v>
          </cell>
          <cell r="H315" t="str">
            <v>W7002276</v>
          </cell>
          <cell r="I315" t="str">
            <v>LOT 1229 RAVENSTHORPE/ESPERANCE RD</v>
          </cell>
          <cell r="J315" t="str">
            <v>MUNGLINUP WA 6450</v>
          </cell>
          <cell r="K315" t="str">
            <v>2147800681</v>
          </cell>
        </row>
        <row r="316">
          <cell r="G316"/>
          <cell r="H316" t="e">
            <v>#N/A</v>
          </cell>
          <cell r="I316" t="str">
            <v>UNIT 3/16 HEDLAND PLACE</v>
          </cell>
          <cell r="J316" t="str">
            <v>KARRATHA WA 6714</v>
          </cell>
          <cell r="K316" t="str">
            <v>410M190117</v>
          </cell>
        </row>
        <row r="317">
          <cell r="G317" t="str">
            <v>SPS 10 ANDERSON ST PT HEDLAND</v>
          </cell>
          <cell r="H317" t="str">
            <v>S3002294</v>
          </cell>
          <cell r="I317" t="str">
            <v>LOT 5828 ANDERSON ST</v>
          </cell>
          <cell r="J317" t="str">
            <v>PORT HEDLAND WA 6721</v>
          </cell>
          <cell r="K317" t="str">
            <v>2118002993</v>
          </cell>
        </row>
        <row r="318">
          <cell r="G318"/>
          <cell r="H318" t="e">
            <v>#N/A</v>
          </cell>
          <cell r="I318" t="str">
            <v>63A KINGSMILL ST</v>
          </cell>
          <cell r="J318" t="str">
            <v>PORT HEDLAND WA 6721</v>
          </cell>
          <cell r="K318" t="str">
            <v>0180033815</v>
          </cell>
        </row>
        <row r="319">
          <cell r="G319" t="str">
            <v>WSC 1&amp;2 KARRATHA RD KARRATHA</v>
          </cell>
          <cell r="H319" t="str">
            <v>W0026673</v>
          </cell>
          <cell r="I319" t="str">
            <v>LOT 3923 KARRATHA RD</v>
          </cell>
          <cell r="J319" t="str">
            <v>STOVE HILL  WA 6714</v>
          </cell>
          <cell r="K319" t="str">
            <v>2128000336</v>
          </cell>
        </row>
        <row r="320">
          <cell r="G320" t="str">
            <v>WWTP 2 MADIGAN RD GAP RIDGE</v>
          </cell>
          <cell r="H320" t="str">
            <v>S0025660</v>
          </cell>
          <cell r="I320" t="str">
            <v>LOT 122 MADIGAN RD</v>
          </cell>
          <cell r="J320" t="str">
            <v>GAP RIDGE WA 6714</v>
          </cell>
          <cell r="K320" t="str">
            <v>2122000049</v>
          </cell>
        </row>
        <row r="321">
          <cell r="G321" t="str">
            <v>SPS 3 LUNDJA COMMUNITY HALLS CREEK</v>
          </cell>
          <cell r="H321" t="str">
            <v>S3004357</v>
          </cell>
          <cell r="I321" t="str">
            <v>LOT 52 COMMUNITY RD</v>
          </cell>
          <cell r="J321" t="str">
            <v>LUNDGA HALLS CREEK WA 6770</v>
          </cell>
          <cell r="K321" t="str">
            <v>2118000190</v>
          </cell>
        </row>
        <row r="322">
          <cell r="G322" t="str">
            <v>SPS 2 KURNANGKI FITZROY CROSSING</v>
          </cell>
          <cell r="H322" t="str">
            <v>S3004359</v>
          </cell>
          <cell r="I322" t="str">
            <v>CROWN ALLOTMENT 315 KURNANGKI</v>
          </cell>
          <cell r="J322" t="str">
            <v>FITZROY CROSSING WA 6765</v>
          </cell>
          <cell r="K322" t="str">
            <v>2128000473</v>
          </cell>
        </row>
        <row r="323">
          <cell r="G323"/>
          <cell r="H323" t="e">
            <v>#N/A</v>
          </cell>
          <cell r="I323" t="str">
            <v>37 COLLIE STREET</v>
          </cell>
          <cell r="J323" t="str">
            <v>WEST BEACH WA 6450</v>
          </cell>
          <cell r="K323" t="str">
            <v>410M176029</v>
          </cell>
        </row>
        <row r="324">
          <cell r="G324"/>
          <cell r="H324" t="e">
            <v>#N/A</v>
          </cell>
          <cell r="I324" t="str">
            <v>1 IBIS WAY</v>
          </cell>
          <cell r="J324" t="str">
            <v>DJUGUN WA 6725</v>
          </cell>
          <cell r="K324" t="str">
            <v>15D001014</v>
          </cell>
        </row>
        <row r="325">
          <cell r="G325"/>
          <cell r="H325" t="e">
            <v>#N/A</v>
          </cell>
          <cell r="I325" t="str">
            <v>2 CYCAS CLOSE</v>
          </cell>
          <cell r="J325" t="str">
            <v>KUNUNURRA WA 6743</v>
          </cell>
          <cell r="K325" t="str">
            <v>410M173812</v>
          </cell>
        </row>
        <row r="326">
          <cell r="G326"/>
          <cell r="H326" t="e">
            <v>#N/A</v>
          </cell>
          <cell r="I326" t="str">
            <v>UNIT 58/LOT 555 WARAMBIE ROAD</v>
          </cell>
          <cell r="J326" t="str">
            <v>KARRATHA WA 6714</v>
          </cell>
          <cell r="K326" t="str">
            <v>2117000278</v>
          </cell>
        </row>
        <row r="327">
          <cell r="G327" t="str">
            <v>COMMON FACILITIES S/DELIVERY WEST PILBAR</v>
          </cell>
          <cell r="H327" t="str">
            <v>C022</v>
          </cell>
          <cell r="I327" t="str">
            <v>LOT 1002 RESOURCE RD</v>
          </cell>
          <cell r="J327" t="str">
            <v>GAP RIDGE KARRATHA WA  6714</v>
          </cell>
          <cell r="K327" t="str">
            <v>2128000590</v>
          </cell>
        </row>
        <row r="328">
          <cell r="G328" t="str">
            <v>COMMON FACILITIES S/DELIVERY WEST PILBAR</v>
          </cell>
          <cell r="H328" t="str">
            <v>C022</v>
          </cell>
          <cell r="I328" t="str">
            <v>LOT 1000 RESOURCE RD</v>
          </cell>
          <cell r="J328" t="str">
            <v>GAP RIDGE, KARRATHA WA 6714</v>
          </cell>
          <cell r="K328" t="str">
            <v>2118002789</v>
          </cell>
        </row>
        <row r="329">
          <cell r="G329" t="str">
            <v>SPS 2 KURRAJONG LOOP DERBY</v>
          </cell>
          <cell r="H329" t="str">
            <v>S3002149</v>
          </cell>
          <cell r="I329" t="str">
            <v>LOT 5000 ROWAN ST</v>
          </cell>
          <cell r="J329" t="str">
            <v>DERBY WA 6728</v>
          </cell>
          <cell r="K329" t="str">
            <v>2128000038</v>
          </cell>
        </row>
        <row r="330">
          <cell r="G330" t="str">
            <v>BORE 32-09 HALLS CK</v>
          </cell>
          <cell r="H330" t="str">
            <v>W3004050</v>
          </cell>
          <cell r="I330" t="str">
            <v>SITE 1 LOT 57 DUNCAN HWY</v>
          </cell>
          <cell r="J330" t="str">
            <v>HALLS CREEK WA 6770</v>
          </cell>
          <cell r="K330" t="str">
            <v>2118003292</v>
          </cell>
        </row>
        <row r="331">
          <cell r="G331" t="str">
            <v>BORE 32-09 HALLS CK</v>
          </cell>
          <cell r="H331" t="str">
            <v>W3004050</v>
          </cell>
          <cell r="I331" t="str">
            <v>SITE 4 LOT 57 DUNCAN HWY</v>
          </cell>
          <cell r="J331" t="str">
            <v>HALLS CREEK WA 6770</v>
          </cell>
          <cell r="K331" t="str">
            <v>2118000059</v>
          </cell>
        </row>
        <row r="332">
          <cell r="G332" t="str">
            <v xml:space="preserve">PORT HEDLAND SPS 11 COOKE POINT RD </v>
          </cell>
          <cell r="H332" t="str">
            <v>S3002093</v>
          </cell>
          <cell r="I332" t="str">
            <v xml:space="preserve">LOT 5557 COOKE POINT RD </v>
          </cell>
          <cell r="J332" t="str">
            <v>PORT HEDLAND WA 6721</v>
          </cell>
        </row>
        <row r="333">
          <cell r="G333" t="str">
            <v>SPS VEAL ST HOPETOUN</v>
          </cell>
          <cell r="H333" t="str">
            <v>S7003794</v>
          </cell>
          <cell r="I333" t="str">
            <v>1 VEAL ST</v>
          </cell>
          <cell r="J333" t="str">
            <v>HOPETOUN WA 6348</v>
          </cell>
          <cell r="K333" t="str">
            <v>0350022713</v>
          </cell>
        </row>
        <row r="334">
          <cell r="G334" t="str">
            <v>SPS CROYDON ST HOPETOUN</v>
          </cell>
          <cell r="H334" t="str">
            <v>S7003795</v>
          </cell>
          <cell r="I334" t="str">
            <v>21 CROYDON ST</v>
          </cell>
          <cell r="J334" t="str">
            <v>HOPETOUN WA 6348</v>
          </cell>
          <cell r="K334" t="str">
            <v>0350022714</v>
          </cell>
        </row>
        <row r="335">
          <cell r="G335" t="str">
            <v>SPS MAITLAND ST HOPETOUN</v>
          </cell>
          <cell r="H335" t="str">
            <v>S7003796</v>
          </cell>
          <cell r="I335" t="str">
            <v>LOT 3024 KYBRA CRESENT</v>
          </cell>
          <cell r="J335" t="str">
            <v>HOPETOUN WA 6348</v>
          </cell>
          <cell r="K335" t="str">
            <v>0350021399</v>
          </cell>
        </row>
        <row r="336">
          <cell r="G336" t="str">
            <v>WWTP STEEREDALE RD HOPETOUN</v>
          </cell>
          <cell r="H336" t="str">
            <v>S7003797</v>
          </cell>
          <cell r="I336" t="str">
            <v>LOT 10 STEERDALE RD</v>
          </cell>
          <cell r="J336" t="str">
            <v>HOUPETOUN WA 6348</v>
          </cell>
          <cell r="K336" t="str">
            <v>0350026902</v>
          </cell>
        </row>
        <row r="337">
          <cell r="G337"/>
          <cell r="H337" t="e">
            <v>#N/A</v>
          </cell>
          <cell r="I337" t="str">
            <v>LOT 40 KARRATHA TOM PRICE RD</v>
          </cell>
          <cell r="J337" t="str">
            <v>KARRATHA WA 6714</v>
          </cell>
          <cell r="K337" t="str">
            <v>2127000998</v>
          </cell>
        </row>
        <row r="338">
          <cell r="G338" t="str">
            <v>NEERABUP GWTP</v>
          </cell>
          <cell r="H338" t="str">
            <v>W0007709</v>
          </cell>
          <cell r="I338" t="str">
            <v>ALEXANDER DR</v>
          </cell>
          <cell r="J338" t="str">
            <v>MALAGA WA 6090</v>
          </cell>
          <cell r="K338" t="str">
            <v>UNMETERED</v>
          </cell>
        </row>
        <row r="339">
          <cell r="G339" t="str">
            <v>MANDURAH WATER TELEMETRY SYSTEM</v>
          </cell>
          <cell r="H339" t="str">
            <v>W282-001-001-007</v>
          </cell>
          <cell r="I339" t="str">
            <v>PINJARRA RD</v>
          </cell>
          <cell r="J339" t="str">
            <v>NORTH YUNDURUP WA 6210</v>
          </cell>
          <cell r="K339" t="str">
            <v>UNMETERED</v>
          </cell>
        </row>
        <row r="340">
          <cell r="G340" t="str">
            <v>MANDURAH WATER TELEMETRY SYSTEM</v>
          </cell>
          <cell r="H340" t="str">
            <v>W282-001-001-007</v>
          </cell>
          <cell r="I340" t="str">
            <v>TONKIN DRIVE</v>
          </cell>
          <cell r="J340" t="str">
            <v>NORTH YUNDURUP WA 6210</v>
          </cell>
          <cell r="K340" t="str">
            <v>UNMETERED</v>
          </cell>
        </row>
        <row r="341">
          <cell r="G341" t="str">
            <v>MANDURAH WATER TELEMETRY SYSTEM</v>
          </cell>
          <cell r="H341" t="str">
            <v>W282-001-001-007</v>
          </cell>
          <cell r="I341" t="str">
            <v>FURNISSDALE RD</v>
          </cell>
          <cell r="J341" t="str">
            <v>FURNISSDALE WA 6210</v>
          </cell>
          <cell r="K341" t="str">
            <v>UNMETERED</v>
          </cell>
        </row>
        <row r="342">
          <cell r="G342" t="str">
            <v>MANDURAH WATER TELEMETRY SYSTEM</v>
          </cell>
          <cell r="H342" t="str">
            <v>W282-001-001-007</v>
          </cell>
          <cell r="I342" t="str">
            <v>TERANCE RD</v>
          </cell>
          <cell r="J342" t="str">
            <v>GREENFIELDS WA 6210</v>
          </cell>
          <cell r="K342" t="str">
            <v>UNMETERED</v>
          </cell>
        </row>
        <row r="343">
          <cell r="G343" t="str">
            <v>MANDURAH WATER TELEMETRY SYSTEM</v>
          </cell>
          <cell r="H343" t="str">
            <v>W282-001-001-007</v>
          </cell>
          <cell r="I343" t="str">
            <v>ALDERLEY RD</v>
          </cell>
          <cell r="J343" t="str">
            <v>COODANUP WA 6210</v>
          </cell>
          <cell r="K343" t="str">
            <v>UNMETERED</v>
          </cell>
        </row>
        <row r="344">
          <cell r="G344" t="str">
            <v>MANDURAH WATER TELEMETRY SYSTEM</v>
          </cell>
          <cell r="H344" t="str">
            <v>W282-001-001-007</v>
          </cell>
          <cell r="I344" t="str">
            <v>OLD COAST RD</v>
          </cell>
          <cell r="J344" t="str">
            <v>ERSKINE WA 6210</v>
          </cell>
          <cell r="K344" t="str">
            <v>UNMETERED</v>
          </cell>
        </row>
        <row r="345">
          <cell r="G345" t="str">
            <v>NEERABUP GWTP</v>
          </cell>
          <cell r="H345" t="str">
            <v>W0007709</v>
          </cell>
          <cell r="I345" t="str">
            <v>CONNOLLY DRIVE</v>
          </cell>
          <cell r="J345" t="str">
            <v>KINROSS WA 6028</v>
          </cell>
          <cell r="K345" t="str">
            <v>UNMETERED</v>
          </cell>
        </row>
        <row r="346">
          <cell r="G346" t="str">
            <v>NEERABUP GWTP</v>
          </cell>
          <cell r="H346" t="str">
            <v>W0007709</v>
          </cell>
          <cell r="I346" t="str">
            <v>CONNOLLY DRIVE</v>
          </cell>
          <cell r="J346" t="str">
            <v>KINROSS WA 6028</v>
          </cell>
          <cell r="K346" t="str">
            <v>UNMETERED</v>
          </cell>
        </row>
        <row r="347">
          <cell r="G347" t="str">
            <v>COLONIAL DR,BIBRA LAKE</v>
          </cell>
          <cell r="H347" t="str">
            <v>SA049600</v>
          </cell>
          <cell r="I347" t="str">
            <v>COLONIAL DRIVE</v>
          </cell>
          <cell r="J347" t="str">
            <v>BIBRA LAKE WA 6163</v>
          </cell>
          <cell r="K347" t="str">
            <v>UNMETERED</v>
          </cell>
        </row>
        <row r="348">
          <cell r="G348" t="str">
            <v>COLONIAL DR,BIBRA LAKE</v>
          </cell>
          <cell r="H348" t="str">
            <v>SA049600</v>
          </cell>
          <cell r="I348" t="str">
            <v>FREYCINET COURT</v>
          </cell>
          <cell r="J348" t="str">
            <v>AUBIN GROVE WA 6164</v>
          </cell>
          <cell r="K348" t="str">
            <v>UNMETERED</v>
          </cell>
        </row>
        <row r="349">
          <cell r="G349" t="str">
            <v>MANDURAH WATER TELEMETRY SYSTEM</v>
          </cell>
          <cell r="H349" t="str">
            <v>W282-001-001-007</v>
          </cell>
          <cell r="I349" t="str">
            <v>ALLAN RD</v>
          </cell>
          <cell r="J349" t="str">
            <v>BINNINGUP</v>
          </cell>
          <cell r="K349" t="str">
            <v>UNMETERED</v>
          </cell>
        </row>
        <row r="350">
          <cell r="G350" t="str">
            <v>TRU 1MB CP MAIN MOUNTS BAY RD PERTH</v>
          </cell>
          <cell r="H350" t="str">
            <v>W2002310</v>
          </cell>
          <cell r="I350" t="str">
            <v>MOUNTS BAY RD</v>
          </cell>
          <cell r="J350" t="str">
            <v>PERTH WA 6000</v>
          </cell>
          <cell r="K350" t="str">
            <v>UNMETERED</v>
          </cell>
        </row>
        <row r="351">
          <cell r="G351" t="str">
            <v>TRU 1MB CP MAIN MOUNTS BAY RD PERTH</v>
          </cell>
          <cell r="H351" t="str">
            <v>W2002310</v>
          </cell>
          <cell r="I351" t="str">
            <v>BARBICAN ST</v>
          </cell>
          <cell r="J351" t="str">
            <v>SHELLEY - CHECK FOR REVERSALS FORM SYNERGY</v>
          </cell>
          <cell r="K351" t="str">
            <v>UNMETERED</v>
          </cell>
        </row>
        <row r="352">
          <cell r="G352" t="str">
            <v>SITE SCADA MH R3857 THE ESPLANADE MT PLE</v>
          </cell>
          <cell r="H352" t="str">
            <v>S2019236</v>
          </cell>
          <cell r="I352" t="str">
            <v>THE ESPLANADE</v>
          </cell>
          <cell r="J352" t="str">
            <v>MOUNT PLEASANT WA 6153</v>
          </cell>
          <cell r="K352" t="str">
            <v>UNMETERED</v>
          </cell>
        </row>
        <row r="353">
          <cell r="G353" t="str">
            <v>SITE SCADA MH D0339 TIVERTON ST LYNWOOD</v>
          </cell>
          <cell r="H353" t="str">
            <v>S2019230</v>
          </cell>
          <cell r="I353" t="str">
            <v>CLOVELLY CRES</v>
          </cell>
          <cell r="J353" t="str">
            <v>LYNWOOD WA 6147</v>
          </cell>
          <cell r="K353" t="str">
            <v>UNMETERED</v>
          </cell>
        </row>
        <row r="354">
          <cell r="G354" t="str">
            <v>WSC GOUDGE RD CALINGIRI</v>
          </cell>
          <cell r="H354" t="str">
            <v>W0040540</v>
          </cell>
          <cell r="I354" t="str">
            <v>GOUGE RD</v>
          </cell>
          <cell r="J354" t="str">
            <v>OLD PLAINS WA 6569</v>
          </cell>
          <cell r="K354" t="str">
            <v>UNMETERED</v>
          </cell>
        </row>
        <row r="355">
          <cell r="G355" t="str">
            <v>EFFLUENT REUSE WWTP 2 MARGARET RIVER</v>
          </cell>
          <cell r="H355" t="str">
            <v>S8002789</v>
          </cell>
          <cell r="I355" t="str">
            <v>LOT 54 BUSSELL HWAY</v>
          </cell>
          <cell r="J355" t="str">
            <v>MARGARET RIVER WA 6285</v>
          </cell>
          <cell r="K355" t="str">
            <v>0211000469</v>
          </cell>
        </row>
        <row r="356">
          <cell r="G356" t="str">
            <v>SPS SOLAS RD MORLEY</v>
          </cell>
          <cell r="H356" t="str">
            <v>S2007287</v>
          </cell>
          <cell r="I356" t="str">
            <v>LOT 332 SOLAS RD</v>
          </cell>
          <cell r="J356" t="str">
            <v>MORLEY WA 6062</v>
          </cell>
          <cell r="K356" t="str">
            <v>0180004201</v>
          </cell>
        </row>
        <row r="357">
          <cell r="G357"/>
          <cell r="H357" t="e">
            <v>#N/A</v>
          </cell>
          <cell r="I357" t="str">
            <v>604 NEWCASTLE ST</v>
          </cell>
          <cell r="J357" t="str">
            <v>LEEDERVILLE WA 6007</v>
          </cell>
          <cell r="K357" t="str">
            <v>0136006280</v>
          </cell>
        </row>
        <row r="358">
          <cell r="G358" t="str">
            <v>COMMON SERVICES HARVEY DAM</v>
          </cell>
          <cell r="H358" t="str">
            <v>W8001525</v>
          </cell>
          <cell r="I358" t="str">
            <v>HARVEY QUINDANNING RD</v>
          </cell>
          <cell r="J358" t="str">
            <v>HARVEY WA 6220</v>
          </cell>
          <cell r="K358" t="str">
            <v>0136001199</v>
          </cell>
        </row>
        <row r="359">
          <cell r="G359" t="str">
            <v>SPS WESTBURY WY DAWESVILLE</v>
          </cell>
          <cell r="H359" t="str">
            <v>S8008514</v>
          </cell>
          <cell r="I359" t="str">
            <v>LOT 219 WESTBURY WY</v>
          </cell>
          <cell r="J359" t="str">
            <v>DAWESVILLE WA 6211</v>
          </cell>
          <cell r="K359" t="str">
            <v>0380001197</v>
          </cell>
        </row>
        <row r="360">
          <cell r="G360" t="str">
            <v>SPS RED BLUFF RD KALBARRI</v>
          </cell>
          <cell r="H360" t="str">
            <v>S4001067</v>
          </cell>
          <cell r="I360" t="str">
            <v>LOT 901 RED BLUFF RD</v>
          </cell>
          <cell r="J360" t="str">
            <v>KALBARRI WA 6536</v>
          </cell>
          <cell r="K360" t="str">
            <v>0380009023</v>
          </cell>
        </row>
        <row r="361">
          <cell r="G361" t="str">
            <v>SPS ROTHESAY CR AUSTRALIND</v>
          </cell>
          <cell r="H361" t="str">
            <v>S8010212</v>
          </cell>
          <cell r="I361" t="str">
            <v>LOT 0 ROTHESAY CRESCENT</v>
          </cell>
          <cell r="J361" t="str">
            <v>AUSTRALIND  WA  6233</v>
          </cell>
          <cell r="K361" t="str">
            <v>0350031229</v>
          </cell>
        </row>
        <row r="362">
          <cell r="G362" t="str">
            <v>KWINANA WASTEWATER TREATMENT PLANT (NEW)</v>
          </cell>
          <cell r="H362" t="str">
            <v>S001-001-027</v>
          </cell>
          <cell r="I362" t="str">
            <v>LOT 143 MCLAUGHLIN RD</v>
          </cell>
          <cell r="J362" t="str">
            <v>POSTANS WA 6167</v>
          </cell>
          <cell r="K362" t="str">
            <v>0295000046</v>
          </cell>
        </row>
        <row r="363">
          <cell r="G363" t="str">
            <v>WWTP KAMBALDA</v>
          </cell>
          <cell r="H363" t="str">
            <v>S6000610</v>
          </cell>
          <cell r="I363" t="str">
            <v>EMU ROCKS</v>
          </cell>
          <cell r="J363" t="str">
            <v>KAMBALDA WA 6442</v>
          </cell>
          <cell r="K363" t="str">
            <v>0136004294</v>
          </cell>
        </row>
        <row r="364">
          <cell r="G364" t="str">
            <v>BORE SITE M580</v>
          </cell>
          <cell r="H364" t="str">
            <v>W1006288</v>
          </cell>
          <cell r="I364" t="str">
            <v>LOT 0 ROCHESTER CI</v>
          </cell>
          <cell r="J364" t="str">
            <v>BALGA WA 6061</v>
          </cell>
          <cell r="K364" t="str">
            <v>0148002523</v>
          </cell>
        </row>
        <row r="365">
          <cell r="G365" t="str">
            <v>CP ZONE LEIPOLD RD 66S SHALLOW</v>
          </cell>
          <cell r="H365" t="str">
            <v>W0013019</v>
          </cell>
          <cell r="I365" t="str">
            <v>448 LEIPOLD RD</v>
          </cell>
          <cell r="J365" t="str">
            <v>OLDBURY WA 6121</v>
          </cell>
          <cell r="K365" t="str">
            <v>15D074483</v>
          </cell>
        </row>
        <row r="366">
          <cell r="G366" t="str">
            <v>SPS KARRI ST WALPOLE</v>
          </cell>
          <cell r="H366" t="str">
            <v>S8010776</v>
          </cell>
          <cell r="I366" t="str">
            <v>LOT 231 KARRI ST</v>
          </cell>
          <cell r="J366" t="str">
            <v>WALPOLE WA 6398</v>
          </cell>
          <cell r="K366" t="str">
            <v>0380015345</v>
          </cell>
        </row>
        <row r="367">
          <cell r="G367" t="str">
            <v>CP SYS MAIN TWO PEOPLE BAY-YAKAMIA CK</v>
          </cell>
          <cell r="H367" t="str">
            <v>W7006098</v>
          </cell>
          <cell r="I367" t="str">
            <v>LOT 42 LOWER KING RD</v>
          </cell>
          <cell r="J367" t="str">
            <v>COLLINGWOOD HEIGHTS WA 6330</v>
          </cell>
          <cell r="K367" t="str">
            <v>0200202635</v>
          </cell>
        </row>
        <row r="368">
          <cell r="G368" t="str">
            <v>WPS GROUP NON POT MING (ERROR)</v>
          </cell>
          <cell r="H368" t="str">
            <v>C4000044</v>
          </cell>
          <cell r="I368" t="str">
            <v>DEVILS CREEK RD</v>
          </cell>
          <cell r="J368" t="str">
            <v>MULLEWA SHIRE 0000</v>
          </cell>
          <cell r="K368" t="str">
            <v>15D049825</v>
          </cell>
        </row>
        <row r="369">
          <cell r="G369" t="str">
            <v>SPS AMBERLEY WY HAMILTON HILL</v>
          </cell>
          <cell r="H369" t="str">
            <v>S2015574</v>
          </cell>
          <cell r="I369" t="str">
            <v>LOT 33 AMBERLEY WAY</v>
          </cell>
          <cell r="J369" t="str">
            <v>HAMILTON HILL WA 6163</v>
          </cell>
          <cell r="K369" t="str">
            <v>0180015480</v>
          </cell>
        </row>
        <row r="370">
          <cell r="G370" t="str">
            <v>SPS PEARL PDE SCARBOROUGH</v>
          </cell>
          <cell r="H370" t="str">
            <v>S2008785</v>
          </cell>
          <cell r="I370" t="str">
            <v>10 PEARL PDE</v>
          </cell>
          <cell r="J370" t="str">
            <v>SCARBOROUGH WA 6019</v>
          </cell>
          <cell r="K370" t="str">
            <v>0180015865</v>
          </cell>
        </row>
        <row r="371">
          <cell r="G371" t="str">
            <v>SPS ROXBURGHE DR THE VINES</v>
          </cell>
          <cell r="H371" t="str">
            <v>S2019014</v>
          </cell>
          <cell r="I371" t="str">
            <v>80 ROXBURGHE DR</v>
          </cell>
          <cell r="J371" t="str">
            <v>THE VINES WA 6069</v>
          </cell>
          <cell r="K371" t="str">
            <v>0380015037</v>
          </cell>
        </row>
        <row r="372">
          <cell r="G372" t="str">
            <v>SPS DAWSON PL DONNYBROOK</v>
          </cell>
          <cell r="H372" t="str">
            <v>S8011007</v>
          </cell>
          <cell r="I372" t="str">
            <v>LOT 441 DAWSON PL</v>
          </cell>
          <cell r="J372" t="str">
            <v>DONNYBROOK WA 6239</v>
          </cell>
          <cell r="K372" t="str">
            <v>0350019188</v>
          </cell>
        </row>
        <row r="373">
          <cell r="G373" t="str">
            <v>CATHODIC PROTECTION SERPENTINE TM</v>
          </cell>
          <cell r="H373" t="str">
            <v>W0013015</v>
          </cell>
          <cell r="I373" t="str">
            <v>U43 LOT 209 RICHARDSON ST</v>
          </cell>
          <cell r="J373" t="str">
            <v>SOUTH PERTH WA 6151</v>
          </cell>
          <cell r="K373" t="str">
            <v>0200003965</v>
          </cell>
        </row>
        <row r="374">
          <cell r="G374" t="str">
            <v>WPS TRANSFER HOWATHARRA</v>
          </cell>
          <cell r="H374" t="str">
            <v>W4006149</v>
          </cell>
          <cell r="I374" t="str">
            <v>LOT 66 NORTH WEST COASTAL HWY</v>
          </cell>
          <cell r="J374" t="str">
            <v>HOWATHARRA WA 6532</v>
          </cell>
          <cell r="K374" t="str">
            <v>0136006061</v>
          </cell>
        </row>
        <row r="375">
          <cell r="G375" t="str">
            <v>SPS BEACHHAVEN DR YANCHEP</v>
          </cell>
          <cell r="H375" t="str">
            <v>S2019064</v>
          </cell>
          <cell r="I375" t="str">
            <v>67 BEACHHAVEN DR</v>
          </cell>
          <cell r="J375" t="str">
            <v>YANCHEP WA 6035</v>
          </cell>
          <cell r="K375" t="str">
            <v>0380015028</v>
          </cell>
        </row>
        <row r="376">
          <cell r="G376" t="str">
            <v>SPS LANYON ST MANDURAH</v>
          </cell>
          <cell r="H376" t="str">
            <v>S8007747</v>
          </cell>
          <cell r="I376" t="str">
            <v>LOT 105 LANYON ST</v>
          </cell>
          <cell r="J376" t="str">
            <v>MANDURAH 6210</v>
          </cell>
          <cell r="K376" t="str">
            <v>0380000106</v>
          </cell>
        </row>
        <row r="377">
          <cell r="G377" t="str">
            <v>WPS BOOSTER JANDANOL RD GREENOUGH</v>
          </cell>
          <cell r="H377" t="str">
            <v>W4000903</v>
          </cell>
          <cell r="I377" t="str">
            <v>JANDANOL RD</v>
          </cell>
          <cell r="J377" t="str">
            <v>RUDDS GULLY WA 6535</v>
          </cell>
          <cell r="K377" t="str">
            <v>210M38065</v>
          </cell>
        </row>
        <row r="378">
          <cell r="G378" t="str">
            <v>SPS NORRISH ST TAMBELLUP</v>
          </cell>
          <cell r="H378" t="str">
            <v>S113-002-001</v>
          </cell>
          <cell r="I378" t="str">
            <v>LOT 16 NORRISH ST</v>
          </cell>
          <cell r="J378" t="str">
            <v>TAMBELLUP WA 6320</v>
          </cell>
          <cell r="K378" t="str">
            <v>0380012487</v>
          </cell>
        </row>
        <row r="379">
          <cell r="G379" t="str">
            <v>DAM WOKALUP</v>
          </cell>
          <cell r="H379" t="str">
            <v>W8001956</v>
          </cell>
          <cell r="I379" t="str">
            <v>4472 MORNINGTON RD</v>
          </cell>
          <cell r="J379" t="str">
            <v>WOKALUP</v>
          </cell>
          <cell r="K379" t="str">
            <v>15D059048</v>
          </cell>
        </row>
        <row r="380">
          <cell r="G380" t="str">
            <v>SPS 4 MITCHELL AVE NORTHAM</v>
          </cell>
          <cell r="H380" t="str">
            <v>S5010320</v>
          </cell>
          <cell r="I380" t="str">
            <v>62 MITCHELL AVE</v>
          </cell>
          <cell r="J380" t="str">
            <v>NORTHAM WA 6401</v>
          </cell>
          <cell r="K380" t="str">
            <v>0180002734</v>
          </cell>
        </row>
        <row r="381">
          <cell r="G381" t="str">
            <v>SPS CHENIN LANE THE VINES</v>
          </cell>
          <cell r="H381" t="str">
            <v>S2001428</v>
          </cell>
          <cell r="I381" t="str">
            <v>LOT 500 CHENIN LANE</v>
          </cell>
          <cell r="J381" t="str">
            <v>THE VINES WA 6069</v>
          </cell>
          <cell r="K381" t="str">
            <v>410M149495</v>
          </cell>
        </row>
        <row r="382">
          <cell r="G382" t="str">
            <v>METER MAGFLOW RETIC COOROW (ERROR)</v>
          </cell>
          <cell r="H382" t="str">
            <v>W4002070</v>
          </cell>
          <cell r="I382" t="str">
            <v>SPAIN ST</v>
          </cell>
          <cell r="J382" t="str">
            <v>COOROW WA 6515</v>
          </cell>
          <cell r="K382" t="str">
            <v>15D107473</v>
          </cell>
        </row>
        <row r="383">
          <cell r="G383" t="str">
            <v>BUILDING WPS BULONG</v>
          </cell>
          <cell r="H383" t="str">
            <v>W6001199</v>
          </cell>
          <cell r="I383" t="str">
            <v>BULONG RD</v>
          </cell>
          <cell r="J383" t="str">
            <v>KALGOORLIE WA 6430</v>
          </cell>
          <cell r="K383" t="str">
            <v>410M186001</v>
          </cell>
        </row>
        <row r="384">
          <cell r="G384" t="str">
            <v>PUMPING SYS WWTP CORRIGIN</v>
          </cell>
          <cell r="H384" t="str">
            <v>S5010050</v>
          </cell>
          <cell r="I384" t="str">
            <v>1 CALEY WAY</v>
          </cell>
          <cell r="J384" t="str">
            <v>CORRIGIN WA 6375</v>
          </cell>
          <cell r="K384" t="str">
            <v>0180026105</v>
          </cell>
        </row>
        <row r="385">
          <cell r="G385" t="str">
            <v>SPS KELLY ST GERALDTON</v>
          </cell>
          <cell r="H385" t="str">
            <v>S4001081</v>
          </cell>
          <cell r="I385" t="str">
            <v>KELLY ST</v>
          </cell>
          <cell r="J385" t="str">
            <v>GERALDTON WA 6530</v>
          </cell>
          <cell r="K385" t="str">
            <v>0380011951</v>
          </cell>
        </row>
        <row r="386">
          <cell r="G386" t="str">
            <v>CHL SYS BENCUBBIN</v>
          </cell>
          <cell r="H386" t="str">
            <v>W5000033</v>
          </cell>
          <cell r="I386" t="str">
            <v>LOT 1 GILLET RD</v>
          </cell>
          <cell r="J386" t="str">
            <v>BENCUBBIN WA 6477</v>
          </cell>
          <cell r="K386" t="str">
            <v>15D078657</v>
          </cell>
        </row>
        <row r="387">
          <cell r="G387" t="str">
            <v>SPS MCGILLIVRAY RD MT CLAREMONT</v>
          </cell>
          <cell r="H387" t="str">
            <v>S0031998</v>
          </cell>
          <cell r="I387" t="str">
            <v>SPS MCGILLIVRAY RD</v>
          </cell>
          <cell r="J387" t="str">
            <v>MT CLAREMONT</v>
          </cell>
          <cell r="K387" t="str">
            <v>SUB METER</v>
          </cell>
        </row>
        <row r="388">
          <cell r="G388" t="str">
            <v>SPS ROUS HEAD RD NORTH FREMANTLE</v>
          </cell>
          <cell r="H388" t="str">
            <v>S0033151</v>
          </cell>
          <cell r="I388" t="str">
            <v>ROUS HEAD RD</v>
          </cell>
          <cell r="J388" t="str">
            <v>FREMANTLE WA 6160</v>
          </cell>
          <cell r="K388" t="str">
            <v>210</v>
          </cell>
        </row>
        <row r="389">
          <cell r="G389" t="str">
            <v>SPS 2 FRIZEL WY WICKHAM</v>
          </cell>
          <cell r="H389" t="str">
            <v>S0025697</v>
          </cell>
          <cell r="I389" t="str">
            <v>1 FRIZZEL ST</v>
          </cell>
          <cell r="J389" t="str">
            <v>WICKHAM WA 6720</v>
          </cell>
          <cell r="K389" t="str">
            <v>SUB METER 4</v>
          </cell>
        </row>
        <row r="390">
          <cell r="G390" t="str">
            <v>SPS HAYMAN RD KENSINGTON</v>
          </cell>
          <cell r="H390" t="str">
            <v>S0033004</v>
          </cell>
          <cell r="I390" t="str">
            <v>KENT ST</v>
          </cell>
          <cell r="J390" t="str">
            <v>BENTLEY WA 6102</v>
          </cell>
          <cell r="K390" t="str">
            <v>410M194176</v>
          </cell>
        </row>
        <row r="391">
          <cell r="G391" t="str">
            <v>CHL SYS BOLGART</v>
          </cell>
          <cell r="H391" t="str">
            <v>W4001361</v>
          </cell>
          <cell r="I391" t="str">
            <v>LOC 9826 GOOMALLING RD</v>
          </cell>
          <cell r="J391" t="str">
            <v>BOLGART WA 6568</v>
          </cell>
          <cell r="K391" t="str">
            <v>15M47384</v>
          </cell>
        </row>
        <row r="392">
          <cell r="G392" t="str">
            <v>WWTP WICKHAM</v>
          </cell>
          <cell r="H392" t="str">
            <v>S042-005-003</v>
          </cell>
          <cell r="I392" t="str">
            <v>02ST STURT PEA RD</v>
          </cell>
          <cell r="J392" t="str">
            <v>WICKHAM WA 6720</v>
          </cell>
          <cell r="K392" t="str">
            <v>SUB METER 213038951</v>
          </cell>
        </row>
        <row r="393">
          <cell r="G393" t="str">
            <v>LION &amp; RUTLAND CVS</v>
          </cell>
          <cell r="H393" t="str">
            <v>W0012710</v>
          </cell>
          <cell r="I393" t="str">
            <v>LION ST</v>
          </cell>
          <cell r="J393" t="str">
            <v>CARLISLE WA 6101</v>
          </cell>
          <cell r="K393" t="str">
            <v>410M79456</v>
          </cell>
        </row>
        <row r="394">
          <cell r="G394" t="str">
            <v>WSC WALCOTT DR WICKHAM</v>
          </cell>
          <cell r="H394" t="str">
            <v>W0026508</v>
          </cell>
          <cell r="I394" t="str">
            <v>1941 WALCOTT DVE</v>
          </cell>
          <cell r="J394" t="str">
            <v>WICKHAM WA 6720</v>
          </cell>
          <cell r="K394" t="str">
            <v>SUB METER 2</v>
          </cell>
        </row>
        <row r="395">
          <cell r="G395" t="str">
            <v>BORE 01-07 THOMAS RD NANNUP</v>
          </cell>
          <cell r="H395" t="str">
            <v>W8007880</v>
          </cell>
          <cell r="I395" t="str">
            <v>LOT 72 THOMAS RD</v>
          </cell>
          <cell r="J395" t="str">
            <v>NANNUP WA 6275</v>
          </cell>
          <cell r="K395" t="str">
            <v>0211001860</v>
          </cell>
        </row>
        <row r="396">
          <cell r="G396" t="str">
            <v>WPS FORREST ST BRIDGETOWN PRESSURE</v>
          </cell>
          <cell r="H396" t="str">
            <v>W0045420</v>
          </cell>
          <cell r="I396" t="str">
            <v>LOT 6167 FORREST ST</v>
          </cell>
          <cell r="J396" t="str">
            <v>BRIDGETOWN WA 6255</v>
          </cell>
          <cell r="K396" t="str">
            <v>15D037559</v>
          </cell>
        </row>
        <row r="397">
          <cell r="G397" t="str">
            <v>SPS WRIGHT ST CLOVERDALE</v>
          </cell>
          <cell r="H397" t="str">
            <v>S0034193</v>
          </cell>
          <cell r="I397" t="str">
            <v>LOT 1 WRIGHT ST</v>
          </cell>
          <cell r="J397" t="str">
            <v>BELMONT WA 6104</v>
          </cell>
          <cell r="K397" t="str">
            <v>410M151776</v>
          </cell>
        </row>
        <row r="398">
          <cell r="G398" t="str">
            <v>SPS LOFTHOUSE AVE EATON</v>
          </cell>
          <cell r="H398" t="str">
            <v>S0044522</v>
          </cell>
          <cell r="I398" t="str">
            <v>LOFTHOUSE AVE</v>
          </cell>
          <cell r="J398" t="str">
            <v>EATON WA 6232</v>
          </cell>
          <cell r="K398" t="str">
            <v>410M157903</v>
          </cell>
        </row>
        <row r="399">
          <cell r="G399" t="str">
            <v>SPS REUSE MULGA WY WICKHAM</v>
          </cell>
          <cell r="H399" t="str">
            <v>S3000321</v>
          </cell>
          <cell r="I399" t="str">
            <v>1348 CARSE ST</v>
          </cell>
          <cell r="J399" t="str">
            <v>WICKHAM WA 6720</v>
          </cell>
          <cell r="K399" t="str">
            <v>SUB METER 5</v>
          </cell>
        </row>
        <row r="400">
          <cell r="G400" t="str">
            <v>OBS BORE 42-74 PRISON</v>
          </cell>
          <cell r="H400" t="str">
            <v>W0023334</v>
          </cell>
          <cell r="I400" t="str">
            <v>LOT 42P SCRUB BIRD RD</v>
          </cell>
          <cell r="J400" t="str">
            <v>ROBINSON WA 6330</v>
          </cell>
          <cell r="K400" t="str">
            <v>0248001635</v>
          </cell>
        </row>
        <row r="401">
          <cell r="G401" t="str">
            <v>SUBIACO WASTEWATER TREATMENT PLANT</v>
          </cell>
          <cell r="H401" t="str">
            <v>S001-001-018</v>
          </cell>
          <cell r="I401" t="str">
            <v>LOT 3150 LEMNOS ST</v>
          </cell>
          <cell r="J401" t="str">
            <v>SHENTON PARK WA 6008</v>
          </cell>
          <cell r="K401" t="str">
            <v>0214001796</v>
          </cell>
        </row>
        <row r="402">
          <cell r="G402" t="str">
            <v>BORE SITE W80</v>
          </cell>
          <cell r="H402" t="str">
            <v>W1001559</v>
          </cell>
          <cell r="I402" t="str">
            <v>SILVER RD</v>
          </cell>
          <cell r="J402" t="str">
            <v>MARIGINIUP WA 6078</v>
          </cell>
          <cell r="K402" t="str">
            <v>0211001204</v>
          </cell>
        </row>
        <row r="403">
          <cell r="G403" t="str">
            <v>SPS WARRIGAL WY GREENWOOD</v>
          </cell>
          <cell r="H403" t="str">
            <v>S0028691</v>
          </cell>
          <cell r="I403" t="str">
            <v>WARRIGAL CRES</v>
          </cell>
          <cell r="J403" t="str">
            <v>GREENWOOD WA 6024</v>
          </cell>
          <cell r="K403" t="str">
            <v>0148002878</v>
          </cell>
        </row>
        <row r="404">
          <cell r="G404" t="str">
            <v>SPS BELGRADE RD WANNEROO</v>
          </cell>
          <cell r="H404" t="str">
            <v>S0029111</v>
          </cell>
          <cell r="I404" t="str">
            <v>LOT 33 BELGRADE RD</v>
          </cell>
          <cell r="J404" t="str">
            <v>WANNEROO WA 6065</v>
          </cell>
          <cell r="K404" t="str">
            <v>410M166145</v>
          </cell>
        </row>
        <row r="405">
          <cell r="G405" t="str">
            <v>SPS ESPLANADE BREMER BAY</v>
          </cell>
          <cell r="H405" t="str">
            <v>S021-002-002</v>
          </cell>
          <cell r="I405" t="str">
            <v>LOT 774 ESPLANADE</v>
          </cell>
          <cell r="J405" t="str">
            <v>BREMER BAY WA 6338</v>
          </cell>
          <cell r="K405" t="str">
            <v>450M14780</v>
          </cell>
        </row>
        <row r="406">
          <cell r="G406" t="str">
            <v>SPS LAKE ST CANNINGTON</v>
          </cell>
          <cell r="H406" t="str">
            <v>S0033023</v>
          </cell>
          <cell r="I406" t="str">
            <v>LOT 5 LAKE ST</v>
          </cell>
          <cell r="J406" t="str">
            <v>CANNINGTON WA 6107</v>
          </cell>
          <cell r="K406" t="str">
            <v>410M158893</v>
          </cell>
        </row>
        <row r="407">
          <cell r="G407" t="str">
            <v>SPS OBAN RD CITY BEACH</v>
          </cell>
          <cell r="H407" t="str">
            <v>S0032009</v>
          </cell>
          <cell r="I407" t="str">
            <v>OBAN RD</v>
          </cell>
          <cell r="J407" t="str">
            <v>CITY BEACH WA 6015</v>
          </cell>
          <cell r="K407" t="str">
            <v>410M106435</v>
          </cell>
        </row>
        <row r="408">
          <cell r="G408" t="str">
            <v>SPS KINLOCH PL DUNCRAIG</v>
          </cell>
          <cell r="H408" t="str">
            <v>S0028526</v>
          </cell>
          <cell r="I408" t="str">
            <v>CULLODEN RD</v>
          </cell>
          <cell r="J408" t="str">
            <v>DUNCRAIG WA 6023</v>
          </cell>
          <cell r="K408" t="str">
            <v>0081000912</v>
          </cell>
        </row>
        <row r="409">
          <cell r="G409" t="str">
            <v>SPS DORIOT WY CARINE</v>
          </cell>
          <cell r="H409" t="str">
            <v>S0028348</v>
          </cell>
          <cell r="I409" t="str">
            <v>LOT 42 DORIOT WAY</v>
          </cell>
          <cell r="J409" t="str">
            <v>CARINE WA 6020</v>
          </cell>
          <cell r="K409" t="str">
            <v>410L32311</v>
          </cell>
        </row>
        <row r="410">
          <cell r="G410" t="str">
            <v>SPS GOOLLELAL DR KINGSLEY</v>
          </cell>
          <cell r="H410" t="str">
            <v>S0028423</v>
          </cell>
          <cell r="I410" t="str">
            <v>4 GOOLLELAL DR</v>
          </cell>
          <cell r="J410" t="str">
            <v>KINGSLEY WA 6026</v>
          </cell>
          <cell r="K410" t="str">
            <v>0248000453</v>
          </cell>
        </row>
        <row r="411">
          <cell r="G411"/>
          <cell r="H411" t="e">
            <v>#N/A</v>
          </cell>
          <cell r="I411" t="str">
            <v>THROSSELL ST</v>
          </cell>
          <cell r="J411" t="str">
            <v>KALGOORLIE WA 6430</v>
          </cell>
          <cell r="K411" t="str">
            <v>4400AM927</v>
          </cell>
        </row>
        <row r="412">
          <cell r="G412" t="str">
            <v>WSC LEWIS RD FORRESTFIELD</v>
          </cell>
          <cell r="H412" t="str">
            <v>W0035843</v>
          </cell>
          <cell r="I412" t="str">
            <v>LOT 3 LEWIS RD</v>
          </cell>
          <cell r="J412" t="str">
            <v>FORRESTFIELD WA 6058</v>
          </cell>
          <cell r="K412" t="str">
            <v>15M206699</v>
          </cell>
        </row>
        <row r="413">
          <cell r="G413" t="str">
            <v>SPS WEIR CR BECKENHAM</v>
          </cell>
          <cell r="H413" t="str">
            <v>S0033121</v>
          </cell>
          <cell r="I413" t="str">
            <v>LOT 290 WEIR CR</v>
          </cell>
          <cell r="J413" t="str">
            <v>BECKENHAM WA 6107</v>
          </cell>
          <cell r="K413" t="str">
            <v>0148004230</v>
          </cell>
        </row>
        <row r="414">
          <cell r="G414" t="str">
            <v>SPS WOODLAKE RT KINGSLEY</v>
          </cell>
          <cell r="H414" t="str">
            <v>S2003353</v>
          </cell>
          <cell r="I414" t="str">
            <v>LOT 2000 WOODLAKE RTT</v>
          </cell>
          <cell r="J414" t="str">
            <v>KINGSLEY WA 6026</v>
          </cell>
          <cell r="K414" t="str">
            <v>0148006366</v>
          </cell>
        </row>
        <row r="415">
          <cell r="G415" t="str">
            <v>SPS ROCHESTER AV BECKENHAM</v>
          </cell>
          <cell r="H415" t="str">
            <v>S0033092</v>
          </cell>
          <cell r="I415" t="str">
            <v>U43 LOT 144 ROCHESTER AVE</v>
          </cell>
          <cell r="J415" t="str">
            <v>BECKENHAM WA 6107</v>
          </cell>
          <cell r="K415" t="str">
            <v>0148001639</v>
          </cell>
        </row>
        <row r="416">
          <cell r="G416" t="str">
            <v>WPS PETRUDOR SOUTH</v>
          </cell>
          <cell r="H416" t="str">
            <v>W0019677</v>
          </cell>
          <cell r="I416" t="str">
            <v>LOC 3985 BALLIDU EAST RD</v>
          </cell>
          <cell r="J416" t="str">
            <v>BALLIDU WA 6606</v>
          </cell>
          <cell r="K416" t="str">
            <v>210M35833</v>
          </cell>
        </row>
        <row r="417">
          <cell r="G417" t="str">
            <v>SPS BENARA RD EAST BEECHBORO</v>
          </cell>
          <cell r="H417" t="str">
            <v>S0030035</v>
          </cell>
          <cell r="I417" t="str">
            <v>BENARA RD</v>
          </cell>
          <cell r="J417" t="str">
            <v>BEECHBORO WA 6063</v>
          </cell>
          <cell r="K417" t="str">
            <v>0136004330</v>
          </cell>
        </row>
        <row r="418">
          <cell r="G418" t="str">
            <v>SPS ANDRENE CT LEEMING</v>
          </cell>
          <cell r="H418" t="str">
            <v>S0033588</v>
          </cell>
          <cell r="I418" t="str">
            <v>8 ANDRENE CT</v>
          </cell>
          <cell r="J418" t="str">
            <v>LEEMING WA 6149</v>
          </cell>
          <cell r="K418" t="str">
            <v>002101282</v>
          </cell>
        </row>
        <row r="419">
          <cell r="G419" t="str">
            <v>PERTH METRO GROUNDWATER SOURCE</v>
          </cell>
          <cell r="H419" t="str">
            <v>W001-006</v>
          </cell>
          <cell r="I419" t="str">
            <v>SEAHAM WAY</v>
          </cell>
          <cell r="J419" t="str">
            <v>MINDARIE WA 6030</v>
          </cell>
          <cell r="K419" t="str">
            <v>410M130511</v>
          </cell>
        </row>
        <row r="420">
          <cell r="G420" t="str">
            <v>SPS FENDAM ST WARNBRO</v>
          </cell>
          <cell r="H420" t="str">
            <v>S0030519</v>
          </cell>
          <cell r="I420" t="str">
            <v>199 FENDAM ST</v>
          </cell>
          <cell r="J420" t="str">
            <v>PORT KENNEDY WA 6172</v>
          </cell>
          <cell r="K420" t="str">
            <v>410M168288</v>
          </cell>
        </row>
        <row r="421">
          <cell r="G421" t="str">
            <v>SPS HOOPER RD BAYONET HEAD</v>
          </cell>
          <cell r="H421" t="str">
            <v>S7010656</v>
          </cell>
          <cell r="I421" t="str">
            <v>LOT 858 HOOPER RD</v>
          </cell>
          <cell r="J421" t="str">
            <v>LOWER KING (VIA ALBANY) WA  6330</v>
          </cell>
          <cell r="K421" t="str">
            <v>0350037336</v>
          </cell>
        </row>
        <row r="422">
          <cell r="G422" t="str">
            <v>#SPS CUNDERDIN LOOP DAWESVILLE</v>
          </cell>
          <cell r="H422" t="str">
            <v>S8004697</v>
          </cell>
          <cell r="I422" t="str">
            <v>L2359/21 CUNDERDIN LOOP</v>
          </cell>
          <cell r="J422" t="str">
            <v>DAWESVILLE WA 6211</v>
          </cell>
          <cell r="K422" t="str">
            <v>0180011593</v>
          </cell>
        </row>
        <row r="423">
          <cell r="G423" t="str">
            <v>SPS DALRYMPLE DR TEMP LEDA</v>
          </cell>
          <cell r="H423" t="str">
            <v>S0030289</v>
          </cell>
          <cell r="I423" t="str">
            <v>GILMORE AVE</v>
          </cell>
          <cell r="J423" t="str">
            <v>LEDA WA 6170</v>
          </cell>
          <cell r="K423" t="str">
            <v>0148005688</v>
          </cell>
        </row>
        <row r="424">
          <cell r="G424" t="str">
            <v>SPS CHUDITCH PL GNARABUP</v>
          </cell>
          <cell r="H424" t="str">
            <v>S0044540</v>
          </cell>
          <cell r="I424" t="str">
            <v>LOC 815 BANDICOOT CL</v>
          </cell>
          <cell r="J424" t="str">
            <v>PREVELLY WA 6285</v>
          </cell>
          <cell r="K424" t="str">
            <v>410M169384</v>
          </cell>
        </row>
        <row r="425">
          <cell r="G425" t="str">
            <v>WPS MAGITUP RD BORDEN</v>
          </cell>
          <cell r="H425" t="str">
            <v>W0022635</v>
          </cell>
          <cell r="I425" t="str">
            <v>LOT 3047 JOHN ST</v>
          </cell>
          <cell r="J425" t="str">
            <v>BORDEN WA 6338</v>
          </cell>
          <cell r="K425" t="str">
            <v>0350324216</v>
          </cell>
        </row>
        <row r="426">
          <cell r="G426" t="str">
            <v>SPS 2 JANET MILLET LANE YORK</v>
          </cell>
          <cell r="H426" t="str">
            <v>S5004949</v>
          </cell>
          <cell r="I426" t="str">
            <v>LOT 200 JANET MILLET LANE</v>
          </cell>
          <cell r="J426" t="str">
            <v>YORK</v>
          </cell>
          <cell r="K426" t="str">
            <v>0350037335</v>
          </cell>
        </row>
        <row r="427">
          <cell r="G427" t="str">
            <v>WPS PRINCESS RD DOUBLEVIEW</v>
          </cell>
          <cell r="H427" t="str">
            <v>W0034514</v>
          </cell>
          <cell r="I427" t="str">
            <v>U42 PRINCESS RD</v>
          </cell>
          <cell r="J427" t="str">
            <v>DOUBLEVIEW  WA 6018</v>
          </cell>
          <cell r="K427" t="str">
            <v>0102000052</v>
          </cell>
        </row>
        <row r="428">
          <cell r="G428" t="str">
            <v>SPS RAILWAY ST NANNUP</v>
          </cell>
          <cell r="H428" t="str">
            <v>S8011498</v>
          </cell>
          <cell r="I428" t="str">
            <v>LOT 0 RAILWAY ST</v>
          </cell>
          <cell r="J428" t="str">
            <v>NANNUP WA 6275</v>
          </cell>
          <cell r="K428" t="str">
            <v>0350040286</v>
          </cell>
        </row>
        <row r="429">
          <cell r="G429" t="str">
            <v>SPS KEANES POINT PEPPERMINT GROVE</v>
          </cell>
          <cell r="H429" t="str">
            <v>S0032642</v>
          </cell>
          <cell r="I429" t="str">
            <v>LOT 4447 KEANE ST</v>
          </cell>
          <cell r="J429" t="str">
            <v>PEPPERMINT GROVE WA 6011</v>
          </cell>
          <cell r="K429" t="str">
            <v>0350039067</v>
          </cell>
        </row>
        <row r="430">
          <cell r="G430" t="str">
            <v>SPS MOONSTONE PWY WELLARD</v>
          </cell>
          <cell r="H430" t="str">
            <v>S2023059</v>
          </cell>
          <cell r="I430" t="str">
            <v>LOT 8006 MOONSTONE PKWY</v>
          </cell>
          <cell r="J430" t="str">
            <v>WELLARD WA 6170</v>
          </cell>
          <cell r="K430" t="str">
            <v>0350039102</v>
          </cell>
        </row>
        <row r="431">
          <cell r="G431" t="str">
            <v>WPS MAKIN RD BALDIVIS</v>
          </cell>
          <cell r="H431" t="str">
            <v>W2000582</v>
          </cell>
          <cell r="I431" t="str">
            <v>10 NEVILLE RD</v>
          </cell>
          <cell r="J431" t="str">
            <v>BALDIVIS  WA 6171</v>
          </cell>
          <cell r="K431" t="str">
            <v>0350039103</v>
          </cell>
        </row>
        <row r="432">
          <cell r="G432" t="str">
            <v>WPS DALWALLINU BOOSTER</v>
          </cell>
          <cell r="H432" t="str">
            <v>W0019625</v>
          </cell>
          <cell r="I432" t="str">
            <v>LEAHY ST</v>
          </cell>
          <cell r="J432" t="str">
            <v>DALWALLINU  WA 6609</v>
          </cell>
          <cell r="K432" t="str">
            <v>0211001114</v>
          </cell>
        </row>
        <row r="433">
          <cell r="G433" t="str">
            <v>SPS COROMANDEL APP NORTH COOGEE</v>
          </cell>
          <cell r="H433" t="str">
            <v>S2018474</v>
          </cell>
          <cell r="I433" t="str">
            <v>LOT 8033 COROMANDEL APPROACH</v>
          </cell>
          <cell r="J433" t="str">
            <v>NORTH COOGEE WA 6163</v>
          </cell>
          <cell r="K433" t="str">
            <v>0350031231</v>
          </cell>
        </row>
        <row r="434">
          <cell r="G434" t="str">
            <v>SPS ULIDIA COVE MUNSTER</v>
          </cell>
          <cell r="H434" t="str">
            <v>S2018395</v>
          </cell>
          <cell r="I434" t="str">
            <v>LOT 512 GARDINER AVE</v>
          </cell>
          <cell r="J434" t="str">
            <v>MUNSTER WA 6166</v>
          </cell>
          <cell r="K434" t="str">
            <v>0350039104</v>
          </cell>
        </row>
        <row r="435">
          <cell r="G435" t="str">
            <v>VPS WILKIE ST SOUTH GUILDFORD</v>
          </cell>
          <cell r="H435" t="str">
            <v>S0030235</v>
          </cell>
          <cell r="I435" t="str">
            <v>1 (LOT 55) WILKIE ST</v>
          </cell>
          <cell r="J435" t="str">
            <v>SOUTH GUILDFORD WA 6055</v>
          </cell>
          <cell r="K435" t="str">
            <v>0148006441</v>
          </cell>
        </row>
        <row r="436">
          <cell r="G436" t="str">
            <v>OXY INJ SYS SPS FLORA ST MIDLAND</v>
          </cell>
          <cell r="H436" t="str">
            <v>S2023472</v>
          </cell>
          <cell r="I436" t="str">
            <v>LOT 725 BEECHBORO RD</v>
          </cell>
          <cell r="J436" t="str">
            <v>NORTH MORLEY WA 6062</v>
          </cell>
          <cell r="K436" t="str">
            <v>000000000211001855</v>
          </cell>
        </row>
        <row r="437">
          <cell r="G437" t="str">
            <v>CHL SYS HYPO DOWERIN</v>
          </cell>
          <cell r="H437" t="str">
            <v>W5019370</v>
          </cell>
          <cell r="I437" t="str">
            <v>LOT 1 GOOMALLING WYALKATCHEM RD</v>
          </cell>
          <cell r="J437" t="str">
            <v>DOWERIN WA 6461</v>
          </cell>
          <cell r="K437" t="str">
            <v>0350040447</v>
          </cell>
        </row>
        <row r="438">
          <cell r="G438"/>
          <cell r="H438" t="e">
            <v>#N/A</v>
          </cell>
          <cell r="I438" t="str">
            <v>LOT 26 GREAT EASTERN  HIGHWAY</v>
          </cell>
          <cell r="J438" t="str">
            <v>BOORABBIN WA 6429</v>
          </cell>
          <cell r="K438" t="str">
            <v>0200052756</v>
          </cell>
        </row>
        <row r="439">
          <cell r="G439" t="str">
            <v>WPS NORTHWARD RD ROLEYSTONE</v>
          </cell>
          <cell r="H439" t="str">
            <v>W0035274</v>
          </cell>
          <cell r="I439" t="str">
            <v>LOT 70 NORTHWARD RD</v>
          </cell>
          <cell r="J439" t="str">
            <v>ROLEYSTONE WA 6111</v>
          </cell>
          <cell r="K439" t="str">
            <v>0136004863</v>
          </cell>
        </row>
        <row r="440">
          <cell r="G440" t="str">
            <v>SPS BORONIA TURN JURIEN BAY</v>
          </cell>
          <cell r="H440" t="str">
            <v>S4000017</v>
          </cell>
          <cell r="I440" t="str">
            <v>LOT 405 BORONIA TURN</v>
          </cell>
          <cell r="J440" t="str">
            <v>JURIEN BAY WA 6516</v>
          </cell>
          <cell r="K440" t="str">
            <v>450M21760</v>
          </cell>
        </row>
        <row r="441">
          <cell r="G441" t="str">
            <v>WPS PITHARA BOOSTER</v>
          </cell>
          <cell r="H441" t="str">
            <v>W0019665</v>
          </cell>
          <cell r="I441" t="str">
            <v>GREAT NORTHERN HWY</v>
          </cell>
          <cell r="J441" t="str">
            <v>PITHARA WA 6608</v>
          </cell>
          <cell r="K441" t="str">
            <v>450AM1416</v>
          </cell>
        </row>
        <row r="442">
          <cell r="G442"/>
          <cell r="H442" t="e">
            <v>#N/A</v>
          </cell>
          <cell r="I442" t="str">
            <v>LOT 314 WILDING ST</v>
          </cell>
          <cell r="J442" t="str">
            <v>KELLERBERRIN WA 6410</v>
          </cell>
          <cell r="K442" t="str">
            <v>15M29004</v>
          </cell>
        </row>
        <row r="443">
          <cell r="G443" t="str">
            <v>SPS WATKINS ST EDEN HILL</v>
          </cell>
          <cell r="H443" t="str">
            <v>S0030210</v>
          </cell>
          <cell r="I443" t="str">
            <v>LOT 22 LORD ST</v>
          </cell>
          <cell r="J443" t="str">
            <v>EDEN HILL WA 6054</v>
          </cell>
          <cell r="K443" t="str">
            <v>450M22343</v>
          </cell>
        </row>
        <row r="444">
          <cell r="G444" t="str">
            <v>BORE SITE M172</v>
          </cell>
          <cell r="H444" t="str">
            <v>W1001311</v>
          </cell>
          <cell r="I444" t="str">
            <v>LOT 170 WOOLLCOTT AVE</v>
          </cell>
          <cell r="J444" t="str">
            <v>WHITEMAN WA 6068</v>
          </cell>
          <cell r="K444" t="str">
            <v>001000341</v>
          </cell>
        </row>
        <row r="445">
          <cell r="G445" t="str">
            <v>DPS CENTRAL RD ROSSMOYNE</v>
          </cell>
          <cell r="H445" t="str">
            <v>D0036565</v>
          </cell>
          <cell r="I445" t="str">
            <v>64 CENTRAL RD</v>
          </cell>
          <cell r="J445" t="str">
            <v>ROSSMOYNE WA 6148</v>
          </cell>
          <cell r="K445" t="str">
            <v>410AM92479</v>
          </cell>
        </row>
        <row r="446">
          <cell r="G446" t="str">
            <v>SP WONTHELLA  A1-97 RE-USE BORE(SAMPLING</v>
          </cell>
          <cell r="H446" t="str">
            <v>SZ006492</v>
          </cell>
          <cell r="I446" t="str">
            <v>LOT 2 PLACE RD</v>
          </cell>
          <cell r="J446" t="str">
            <v>GERALDTON WA 6530</v>
          </cell>
          <cell r="K446" t="str">
            <v>0148005714</v>
          </cell>
        </row>
        <row r="447">
          <cell r="G447" t="str">
            <v>SULTANA ROAD CVS</v>
          </cell>
          <cell r="H447" t="str">
            <v>W0011927</v>
          </cell>
          <cell r="I447" t="str">
            <v>LOT 305 SULTANA RD E</v>
          </cell>
          <cell r="J447" t="str">
            <v>FORRESTFIELD WA 6058</v>
          </cell>
          <cell r="K447" t="str">
            <v>15M223994</v>
          </cell>
        </row>
        <row r="448">
          <cell r="G448" t="str">
            <v>ELECT INSTALL CAPEL WWTP</v>
          </cell>
          <cell r="H448" t="str">
            <v>S8012466</v>
          </cell>
          <cell r="I448" t="str">
            <v>LOT 5613 RANGE RD</v>
          </cell>
          <cell r="J448" t="str">
            <v>CAPEL WA 6271</v>
          </cell>
          <cell r="K448" t="str">
            <v>0350042818</v>
          </cell>
        </row>
        <row r="449">
          <cell r="G449" t="str">
            <v>WPS GREAT NORTHERN HWY MIDDLE SWAN</v>
          </cell>
          <cell r="H449" t="str">
            <v>W0035366</v>
          </cell>
          <cell r="I449" t="str">
            <v>LOT 60 GREAT NORTHERN HWY</v>
          </cell>
          <cell r="J449" t="str">
            <v>HERNE HILL WA 6056</v>
          </cell>
          <cell r="K449" t="str">
            <v>0136000096</v>
          </cell>
        </row>
        <row r="450">
          <cell r="G450" t="str">
            <v>ELECT INSTALL WSC SMITH ST BEELERUP</v>
          </cell>
          <cell r="H450" t="str">
            <v>W8000618</v>
          </cell>
          <cell r="I450" t="str">
            <v>LOC 461 SMITH ST</v>
          </cell>
          <cell r="J450" t="str">
            <v>DONNYBROOK WA 6239</v>
          </cell>
          <cell r="K450" t="str">
            <v>0200222588</v>
          </cell>
        </row>
        <row r="451">
          <cell r="G451" t="str">
            <v>WWTP TIMEWELL RD MCKAIL</v>
          </cell>
          <cell r="H451" t="str">
            <v>S019-003-003</v>
          </cell>
          <cell r="I451" t="str">
            <v>LOT 1/100 TIMEWELL RD</v>
          </cell>
          <cell r="J451" t="str">
            <v>MCKAIL WA 6330</v>
          </cell>
          <cell r="K451" t="str">
            <v>0211000362</v>
          </cell>
        </row>
        <row r="452">
          <cell r="G452" t="str">
            <v>SPS BOTTLEBRUSH DR KIARA</v>
          </cell>
          <cell r="H452" t="str">
            <v>S0030066</v>
          </cell>
          <cell r="I452" t="str">
            <v>110 BOTTLEBRUSH DR</v>
          </cell>
          <cell r="J452" t="str">
            <v>KIARA WA 6054</v>
          </cell>
          <cell r="K452" t="str">
            <v>410M142237</v>
          </cell>
        </row>
        <row r="453">
          <cell r="G453" t="str">
            <v>BORE SITE J20</v>
          </cell>
          <cell r="H453" t="str">
            <v>W1001436</v>
          </cell>
          <cell r="I453" t="str">
            <v>201 WOLFE RD</v>
          </cell>
          <cell r="J453" t="str">
            <v>BANJUP  WA  6164</v>
          </cell>
          <cell r="K453" t="str">
            <v>0148004897</v>
          </cell>
        </row>
        <row r="454">
          <cell r="G454" t="str">
            <v>SPS DA VINCI WY FORRESTDALE</v>
          </cell>
          <cell r="H454" t="str">
            <v>S2019199</v>
          </cell>
          <cell r="I454" t="str">
            <v>LOT 357 FORREST RD</v>
          </cell>
          <cell r="J454" t="str">
            <v>FORRESTDALE WA 6112</v>
          </cell>
          <cell r="K454" t="str">
            <v>0200229192</v>
          </cell>
        </row>
        <row r="455">
          <cell r="G455" t="str">
            <v>BULK WATER TRANSFER SCHEMES</v>
          </cell>
          <cell r="H455" t="str">
            <v>W002</v>
          </cell>
          <cell r="I455" t="str">
            <v>LOT 19 FORREST RD</v>
          </cell>
          <cell r="J455" t="str">
            <v>HAYNES WA 6112</v>
          </cell>
          <cell r="K455" t="str">
            <v>0200229191</v>
          </cell>
        </row>
        <row r="456">
          <cell r="G456" t="str">
            <v>CP SYSTEM ALLANOOKA</v>
          </cell>
          <cell r="H456" t="str">
            <v>W0039583</v>
          </cell>
          <cell r="I456" t="str">
            <v>LOT 12 ALLANOOKA SPRINGS RD</v>
          </cell>
          <cell r="J456" t="str">
            <v>ALLANOOKA WA 6525</v>
          </cell>
          <cell r="K456" t="str">
            <v>0200320559</v>
          </cell>
        </row>
        <row r="457">
          <cell r="G457" t="str">
            <v>BULK WATER TRANSFER SCHEMES</v>
          </cell>
          <cell r="H457" t="str">
            <v>W002</v>
          </cell>
          <cell r="I457" t="str">
            <v>LOT 28 SHANNS RD</v>
          </cell>
          <cell r="J457" t="str">
            <v>NORTH DANDALUP WA 6207</v>
          </cell>
          <cell r="K457" t="str">
            <v>000000000200229190</v>
          </cell>
        </row>
        <row r="458">
          <cell r="G458" t="str">
            <v>CP TRU 2MB CP MAIN MOUNTS BAY RD PERTH</v>
          </cell>
          <cell r="H458" t="str">
            <v>W2000804</v>
          </cell>
          <cell r="I458" t="str">
            <v>118 MOUNTS BAY RD</v>
          </cell>
          <cell r="J458" t="str">
            <v>PERTH WA 6000</v>
          </cell>
          <cell r="K458" t="str">
            <v>0200226560</v>
          </cell>
        </row>
        <row r="459">
          <cell r="G459" t="str">
            <v>SPS ELDERBERRY CIR HALLS HEAD</v>
          </cell>
          <cell r="H459" t="str">
            <v>S0044560</v>
          </cell>
          <cell r="I459" t="str">
            <v>U51 LOT 137 ELDERBERRY CIR</v>
          </cell>
          <cell r="J459" t="str">
            <v>HALLS HEAD WA 6210</v>
          </cell>
          <cell r="K459" t="str">
            <v>0148002036</v>
          </cell>
        </row>
        <row r="460">
          <cell r="G460" t="str">
            <v>SPS YALTARA RD CITY BEACH</v>
          </cell>
          <cell r="H460" t="str">
            <v>S0032053</v>
          </cell>
          <cell r="I460" t="str">
            <v>32 YALTARA RD</v>
          </cell>
          <cell r="J460" t="str">
            <v>CITY BEACH WA 6015</v>
          </cell>
          <cell r="K460" t="str">
            <v>0148004521</v>
          </cell>
        </row>
        <row r="461">
          <cell r="G461" t="str">
            <v>SPS JETTY RD CLAREMONT</v>
          </cell>
          <cell r="H461" t="str">
            <v>S0032637</v>
          </cell>
          <cell r="I461" t="str">
            <v>LOT 1 JETTY RD</v>
          </cell>
          <cell r="J461" t="str">
            <v>CLAREMONT WA 6010</v>
          </cell>
          <cell r="K461" t="str">
            <v>450M22314</v>
          </cell>
        </row>
        <row r="462">
          <cell r="G462" t="str">
            <v>SPS MORWELL ST TEMP YANCHEP</v>
          </cell>
          <cell r="H462" t="str">
            <v>S2023141</v>
          </cell>
          <cell r="I462" t="str">
            <v>LOT 8001 MORWELL ST</v>
          </cell>
          <cell r="J462" t="str">
            <v>YANCHEP WA 6035</v>
          </cell>
          <cell r="K462" t="str">
            <v>000000000214003033</v>
          </cell>
        </row>
        <row r="463">
          <cell r="G463" t="str">
            <v>SPS KENT ST SPEARWOOD</v>
          </cell>
          <cell r="H463" t="str">
            <v>S2023032</v>
          </cell>
          <cell r="I463" t="str">
            <v>LOT 8 KENT ST</v>
          </cell>
          <cell r="J463" t="str">
            <v>SPEARWOOD WA 6163</v>
          </cell>
          <cell r="K463" t="str">
            <v>0350045796</v>
          </cell>
        </row>
        <row r="464">
          <cell r="G464" t="str">
            <v>WSC THOMPSONS LAKE HENDERSON RD MUNSTER</v>
          </cell>
          <cell r="H464" t="str">
            <v>W0036028</v>
          </cell>
          <cell r="I464" t="str">
            <v>LOT 10A HENDERSON RD</v>
          </cell>
          <cell r="J464" t="str">
            <v>MUNSTER WA 6166</v>
          </cell>
          <cell r="K464" t="str">
            <v>0148003007</v>
          </cell>
        </row>
        <row r="465">
          <cell r="G465" t="str">
            <v>BORE 23-70 SANDPATCH</v>
          </cell>
          <cell r="H465" t="str">
            <v>W0023660</v>
          </cell>
          <cell r="I465" t="str">
            <v>HUMPHREY RD</v>
          </cell>
          <cell r="J465" t="str">
            <v>LITTLE GROVE WA 6330</v>
          </cell>
          <cell r="K465" t="str">
            <v>002101641</v>
          </cell>
        </row>
        <row r="466">
          <cell r="G466" t="str">
            <v>BORE SITE WT60</v>
          </cell>
          <cell r="H466" t="str">
            <v>W1001249</v>
          </cell>
          <cell r="I466" t="str">
            <v>LOT 12127 KALLAROO PL</v>
          </cell>
          <cell r="J466" t="str">
            <v>KALLAROO WA 6025</v>
          </cell>
          <cell r="K466" t="str">
            <v>0211001063</v>
          </cell>
        </row>
        <row r="467">
          <cell r="G467" t="str">
            <v>BORE SITE P70</v>
          </cell>
          <cell r="H467" t="str">
            <v>W1001504</v>
          </cell>
          <cell r="I467" t="str">
            <v>LOT 70P PERRY RD</v>
          </cell>
          <cell r="J467" t="str">
            <v>PINJAR WA 6078</v>
          </cell>
          <cell r="K467" t="str">
            <v>002100177</v>
          </cell>
        </row>
        <row r="468">
          <cell r="G468" t="str">
            <v>WPS BEACON BALANCE TANKS</v>
          </cell>
          <cell r="H468" t="str">
            <v>W5010240</v>
          </cell>
          <cell r="I468" t="str">
            <v>LOC 4167 BEACON ROCK RD</v>
          </cell>
          <cell r="J468" t="str">
            <v>BEACON WA 6472</v>
          </cell>
          <cell r="K468" t="str">
            <v>210M32238</v>
          </cell>
        </row>
        <row r="469">
          <cell r="G469" t="str">
            <v>BORE SITE J10</v>
          </cell>
          <cell r="H469" t="str">
            <v>W1001434</v>
          </cell>
          <cell r="I469" t="str">
            <v>LOT 10J ROWLEY RD</v>
          </cell>
          <cell r="J469" t="str">
            <v>BANJUP WA 6164</v>
          </cell>
          <cell r="K469" t="str">
            <v>0148006017</v>
          </cell>
        </row>
        <row r="470">
          <cell r="G470" t="str">
            <v>BORE SITE M30</v>
          </cell>
          <cell r="H470" t="str">
            <v>W1001329</v>
          </cell>
          <cell r="I470" t="str">
            <v>LOT 10 CASSOWARY DRIVE</v>
          </cell>
          <cell r="J470" t="str">
            <v>BALLAJURA WA 6066</v>
          </cell>
          <cell r="K470" t="str">
            <v>0248000143</v>
          </cell>
        </row>
        <row r="471">
          <cell r="G471" t="str">
            <v>SPS HOPKINSON RD BYFORD</v>
          </cell>
          <cell r="H471" t="str">
            <v>S2019078</v>
          </cell>
          <cell r="I471" t="str">
            <v>1249 ORTON RD</v>
          </cell>
          <cell r="J471" t="str">
            <v>BYFORD WA 6122</v>
          </cell>
          <cell r="K471" t="str">
            <v>0350045798</v>
          </cell>
        </row>
        <row r="472">
          <cell r="G472" t="str">
            <v>SPS YAGAN ST PINJARRA</v>
          </cell>
          <cell r="H472" t="str">
            <v>S8013222</v>
          </cell>
          <cell r="I472" t="str">
            <v>LOT 8002 YAGAN ST</v>
          </cell>
          <cell r="J472" t="str">
            <v>PINJARRA  WA  6208</v>
          </cell>
          <cell r="K472" t="str">
            <v>0350303773</v>
          </cell>
        </row>
        <row r="473">
          <cell r="G473" t="str">
            <v>BORE SITE M2</v>
          </cell>
          <cell r="H473" t="str">
            <v>W1001383</v>
          </cell>
          <cell r="I473" t="str">
            <v>LOT 3 KOONDOOLA AVE</v>
          </cell>
          <cell r="J473" t="str">
            <v>KOONDOOLA WA 6064</v>
          </cell>
          <cell r="K473" t="str">
            <v>0136005153</v>
          </cell>
        </row>
        <row r="474">
          <cell r="G474" t="str">
            <v>SURGE CONTROL SYSTEM WAROONA</v>
          </cell>
          <cell r="H474" t="str">
            <v>W1022006</v>
          </cell>
          <cell r="I474" t="str">
            <v>LOT 4 SOMERS RD</v>
          </cell>
          <cell r="J474" t="str">
            <v>WAROONA WA 6215</v>
          </cell>
          <cell r="K474" t="str">
            <v>000000000200231891</v>
          </cell>
        </row>
        <row r="475">
          <cell r="G475" t="str">
            <v>BULK WATER TRANSFER SCHEMES</v>
          </cell>
          <cell r="H475" t="str">
            <v>W002</v>
          </cell>
          <cell r="I475" t="str">
            <v>LOT 0 HALL RD</v>
          </cell>
          <cell r="J475" t="str">
            <v>SERPENTINE</v>
          </cell>
          <cell r="K475" t="str">
            <v>0350045797</v>
          </cell>
        </row>
        <row r="476">
          <cell r="G476" t="str">
            <v>NANNUP WW PUMP STATION GROUP</v>
          </cell>
          <cell r="H476" t="str">
            <v>S8003820</v>
          </cell>
          <cell r="I476" t="str">
            <v>LOT 252 GRANGE RD</v>
          </cell>
          <cell r="J476" t="str">
            <v>NANNUP WA 6275</v>
          </cell>
          <cell r="K476" t="str">
            <v>0348002844</v>
          </cell>
        </row>
        <row r="477">
          <cell r="G477" t="str">
            <v>VPS AUGUSTUS ST BEACHLANDS</v>
          </cell>
          <cell r="H477" t="str">
            <v>S400838</v>
          </cell>
          <cell r="I477" t="str">
            <v>LOT 277 AUGUSTUS ST</v>
          </cell>
          <cell r="J477" t="str">
            <v>GERALDTON WA 6530</v>
          </cell>
          <cell r="K477" t="str">
            <v>0136000964</v>
          </cell>
        </row>
        <row r="478">
          <cell r="G478" t="str">
            <v>SPS MERSEY RD SHOALWATER</v>
          </cell>
          <cell r="H478" t="str">
            <v>S2000008</v>
          </cell>
          <cell r="I478" t="str">
            <v>MERSEY RD</v>
          </cell>
          <cell r="J478" t="str">
            <v>SHOALWATER WA 6169</v>
          </cell>
          <cell r="K478" t="str">
            <v>410M2009182</v>
          </cell>
        </row>
        <row r="479">
          <cell r="G479" t="str">
            <v>WPS DAM 1 RAVENSTHORPE</v>
          </cell>
          <cell r="H479" t="str">
            <v>W0023869</v>
          </cell>
          <cell r="I479" t="str">
            <v>LOC 8358 FLOATER RD</v>
          </cell>
          <cell r="J479" t="str">
            <v>RAVENSTHORPE WA 6346</v>
          </cell>
          <cell r="K479" t="str">
            <v>410M129540</v>
          </cell>
        </row>
        <row r="480">
          <cell r="G480" t="str">
            <v>SPS MURDOCH DR GREENFIELDS</v>
          </cell>
          <cell r="H480" t="str">
            <v>S0044740</v>
          </cell>
          <cell r="I480" t="str">
            <v>LOT 2003 MURDOCH DR</v>
          </cell>
          <cell r="J480" t="str">
            <v>GREENFIELDS WA 6210</v>
          </cell>
          <cell r="K480" t="str">
            <v>0148004288</v>
          </cell>
        </row>
        <row r="481">
          <cell r="G481" t="str">
            <v>SPS ENNIS ST EATON</v>
          </cell>
          <cell r="H481" t="str">
            <v>S8006186</v>
          </cell>
          <cell r="I481" t="str">
            <v>LOT 9 ENNIS RD</v>
          </cell>
          <cell r="J481" t="str">
            <v>EATON 6232</v>
          </cell>
          <cell r="K481" t="str">
            <v>0380014870</v>
          </cell>
        </row>
        <row r="482">
          <cell r="G482" t="str">
            <v>BOREFIELD SEABIRD</v>
          </cell>
          <cell r="H482" t="str">
            <v>W0042666</v>
          </cell>
          <cell r="I482" t="str">
            <v>EDWARDS ST</v>
          </cell>
          <cell r="J482" t="str">
            <v>SEABIRD WA 6042</v>
          </cell>
          <cell r="K482" t="str">
            <v>0081000532</v>
          </cell>
        </row>
        <row r="483">
          <cell r="G483" t="str">
            <v>SPS OLD COAST RD AUSTRALIND</v>
          </cell>
          <cell r="H483" t="str">
            <v>S0043930</v>
          </cell>
          <cell r="I483" t="str">
            <v>LOC 209 OLD COAST RD</v>
          </cell>
          <cell r="J483" t="str">
            <v>AUSTRALIND WA 6233</v>
          </cell>
          <cell r="K483" t="str">
            <v>0148006547</v>
          </cell>
        </row>
        <row r="484">
          <cell r="G484" t="str">
            <v>OVERFLOW STORAGE SPS ARMAGH ST VIC PARK</v>
          </cell>
          <cell r="H484" t="str">
            <v>S2023030</v>
          </cell>
          <cell r="I484" t="str">
            <v>LOT 257 CANNING HIGHWAY</v>
          </cell>
          <cell r="J484" t="str">
            <v>VICTORIA PARK WA 6100</v>
          </cell>
          <cell r="K484" t="str">
            <v>0350301557</v>
          </cell>
        </row>
        <row r="485">
          <cell r="G485" t="str">
            <v>VPS MILLBRIDGE BVD MILLBRIDGE</v>
          </cell>
          <cell r="H485" t="str">
            <v>S8006156</v>
          </cell>
          <cell r="I485" t="str">
            <v>LOT 142 MILLBRIDGE BVD</v>
          </cell>
          <cell r="J485" t="str">
            <v>MILLBRIDGE WA 6232</v>
          </cell>
          <cell r="K485" t="str">
            <v>0136002262</v>
          </cell>
        </row>
        <row r="486">
          <cell r="G486" t="str">
            <v>SPS HODGSON ST DENMARK</v>
          </cell>
          <cell r="H486" t="str">
            <v>S023-002-005</v>
          </cell>
          <cell r="I486" t="str">
            <v>LOT 9999 HODGSON RD</v>
          </cell>
          <cell r="J486" t="str">
            <v>DENMARK WA 6333</v>
          </cell>
          <cell r="K486" t="str">
            <v>0350015216</v>
          </cell>
        </row>
        <row r="487">
          <cell r="G487" t="str">
            <v>WPS GEORGE RD</v>
          </cell>
          <cell r="H487" t="str">
            <v>W5001002</v>
          </cell>
          <cell r="I487" t="str">
            <v>LOT 184 WARRALAKIN RD</v>
          </cell>
          <cell r="J487" t="str">
            <v>WESTONIA WA 6423</v>
          </cell>
          <cell r="K487" t="str">
            <v>0180027426</v>
          </cell>
        </row>
        <row r="488">
          <cell r="G488" t="str">
            <v>SPS COCKIE BEND COLLIE</v>
          </cell>
          <cell r="H488" t="str">
            <v>S8012267</v>
          </cell>
          <cell r="I488" t="str">
            <v>LOT 2842 MORRISON WAY</v>
          </cell>
          <cell r="J488" t="str">
            <v>COLLIE WA 6225</v>
          </cell>
          <cell r="K488" t="str">
            <v>0350037824</v>
          </cell>
        </row>
        <row r="489">
          <cell r="G489" t="str">
            <v>WPS GRANT ST CLAREMONT</v>
          </cell>
          <cell r="H489" t="str">
            <v>W0034607</v>
          </cell>
          <cell r="I489" t="str">
            <v>LOT 335 GRANT ST</v>
          </cell>
          <cell r="J489" t="str">
            <v>CLAREMONT WA 6010</v>
          </cell>
          <cell r="K489" t="str">
            <v>0148005624</v>
          </cell>
        </row>
        <row r="490">
          <cell r="G490" t="str">
            <v>SPS ALHAMBRA PWY LANDSDALE</v>
          </cell>
          <cell r="H490" t="str">
            <v>S2023465</v>
          </cell>
          <cell r="I490" t="str">
            <v>11 ALHAMBRA PARKWAY</v>
          </cell>
          <cell r="J490" t="str">
            <v>LANDSDALE WA 6065</v>
          </cell>
          <cell r="K490" t="str">
            <v>000000000214000645</v>
          </cell>
        </row>
        <row r="491">
          <cell r="G491" t="str">
            <v>VALVE SITE WEEDON HILL RD DENMARK</v>
          </cell>
          <cell r="H491" t="str">
            <v>W7007168</v>
          </cell>
          <cell r="I491" t="str">
            <v>162 OCEAN BEACH RD</v>
          </cell>
          <cell r="J491" t="str">
            <v>DENMARK WA 6333</v>
          </cell>
          <cell r="K491" t="str">
            <v>0200307437</v>
          </cell>
        </row>
        <row r="492">
          <cell r="G492" t="str">
            <v>VALVE SITE HARRINGTION BRK DENMARK</v>
          </cell>
          <cell r="H492" t="str">
            <v>W7007172</v>
          </cell>
          <cell r="I492" t="str">
            <v>LOT 152 OCEAN BEACH RD</v>
          </cell>
          <cell r="J492" t="str">
            <v>DENMARK  WA 6333</v>
          </cell>
          <cell r="K492" t="str">
            <v>000000000510004574</v>
          </cell>
        </row>
        <row r="493">
          <cell r="G493" t="str">
            <v>CANNING DAM</v>
          </cell>
          <cell r="H493" t="str">
            <v>W0006381</v>
          </cell>
          <cell r="I493" t="str">
            <v>U41 CANNING DAM RD</v>
          </cell>
          <cell r="J493" t="str">
            <v>ROLEYSTONE WA 6111</v>
          </cell>
          <cell r="K493" t="str">
            <v>000000000148004338</v>
          </cell>
        </row>
        <row r="494">
          <cell r="G494" t="str">
            <v>PINJARRA WWTP ADELAIDE RD OAKLEY</v>
          </cell>
          <cell r="H494" t="str">
            <v>S095-001-003</v>
          </cell>
          <cell r="I494" t="str">
            <v>LOT 19 ADELAIDE RD</v>
          </cell>
          <cell r="J494" t="str">
            <v>PINJARRA WA 6208</v>
          </cell>
          <cell r="K494" t="str">
            <v>0148002192</v>
          </cell>
        </row>
        <row r="495">
          <cell r="G495" t="str">
            <v>CDP NORSEMAN RD LAKE KING</v>
          </cell>
          <cell r="H495" t="str">
            <v>W7002298</v>
          </cell>
          <cell r="I495" t="str">
            <v>LOT 183 LAKE KING-NORSEMAN RD</v>
          </cell>
          <cell r="J495" t="str">
            <v>LAKE KING WA 6356</v>
          </cell>
          <cell r="K495" t="str">
            <v>0200225905</v>
          </cell>
        </row>
        <row r="496">
          <cell r="G496" t="str">
            <v>BORE SITE M340</v>
          </cell>
          <cell r="H496" t="str">
            <v>W1001359</v>
          </cell>
          <cell r="I496" t="str">
            <v>LOT 62 GNANGARA RD</v>
          </cell>
          <cell r="J496" t="str">
            <v>WHITEMAN  WA  6068</v>
          </cell>
          <cell r="K496" t="str">
            <v>0211001793</v>
          </cell>
        </row>
        <row r="497">
          <cell r="G497" t="str">
            <v>SPS REUSE WWTP MT BARKER</v>
          </cell>
          <cell r="H497" t="str">
            <v>S0022578</v>
          </cell>
          <cell r="I497" t="str">
            <v>LOT 607 BUNKER ST</v>
          </cell>
          <cell r="J497" t="str">
            <v>MOUNT BARKER WA 6324</v>
          </cell>
          <cell r="K497" t="str">
            <v>410M181807</v>
          </cell>
        </row>
        <row r="498">
          <cell r="G498" t="str">
            <v>SPS LAKEWAY ST CLAREMONT</v>
          </cell>
          <cell r="H498" t="str">
            <v>S0032647</v>
          </cell>
          <cell r="I498" t="str">
            <v>U42 LOT 2563 DAVIES RD</v>
          </cell>
          <cell r="J498" t="str">
            <v>CLAREMONT WA 6010</v>
          </cell>
          <cell r="K498" t="str">
            <v>0102000523</v>
          </cell>
        </row>
        <row r="499">
          <cell r="G499" t="str">
            <v>WWTP 2 BILL BALDOCK DR BRIDGETOWN</v>
          </cell>
          <cell r="H499" t="str">
            <v>S8000472</v>
          </cell>
          <cell r="I499" t="str">
            <v>LOCN 10438 HESTER SIDING RD</v>
          </cell>
          <cell r="J499" t="str">
            <v>BRIDGETOWN WA 6255</v>
          </cell>
          <cell r="K499" t="str">
            <v>0136000504</v>
          </cell>
        </row>
        <row r="500">
          <cell r="G500" t="str">
            <v>LEWIS ROAD CVS</v>
          </cell>
          <cell r="H500" t="str">
            <v>W0012671</v>
          </cell>
          <cell r="I500" t="str">
            <v>LOT 11 LEWIS RD</v>
          </cell>
          <cell r="J500" t="str">
            <v>SERPENTINE WA 6125</v>
          </cell>
          <cell r="K500" t="str">
            <v>410M145143</v>
          </cell>
        </row>
        <row r="501">
          <cell r="G501" t="str">
            <v>TANK GL 1 WSC AUSTIN RD GOODE BEACH</v>
          </cell>
          <cell r="H501" t="str">
            <v>W048-001-001-002</v>
          </cell>
          <cell r="I501" t="str">
            <v>LOT 7353 AUSTIN RD</v>
          </cell>
          <cell r="J501" t="str">
            <v>GOODE BEACH WA  6330</v>
          </cell>
          <cell r="K501" t="str">
            <v>0200306371</v>
          </cell>
        </row>
        <row r="502">
          <cell r="G502" t="str">
            <v>SPS KEEGAN CNR SOUTH YUNDERUP</v>
          </cell>
          <cell r="H502" t="str">
            <v>S8013253</v>
          </cell>
          <cell r="I502" t="str">
            <v>LOT 8020 KEEGAN CORNER</v>
          </cell>
          <cell r="J502" t="str">
            <v>SOUTH YUNDERUP WA 6208</v>
          </cell>
          <cell r="K502" t="str">
            <v>0350304496</v>
          </cell>
        </row>
        <row r="503">
          <cell r="G503" t="str">
            <v>SPS CAMPOLINA AV BALDIVIS</v>
          </cell>
          <cell r="H503" t="str">
            <v>S2023205</v>
          </cell>
          <cell r="I503" t="str">
            <v>LOT 459 CAMPOLINA AVENUE</v>
          </cell>
          <cell r="J503" t="str">
            <v>BALDIVIS WA 6171</v>
          </cell>
          <cell r="K503" t="str">
            <v>0350303772</v>
          </cell>
        </row>
        <row r="504">
          <cell r="G504" t="str">
            <v>SPS BALDIVIS RD NTH BALDIVIS</v>
          </cell>
          <cell r="H504" t="str">
            <v>S2019414</v>
          </cell>
          <cell r="I504" t="str">
            <v>LOT 129 BALDIVIS RD</v>
          </cell>
          <cell r="J504" t="str">
            <v>BALDIVIS WA 6171</v>
          </cell>
          <cell r="K504" t="str">
            <v>0350019965</v>
          </cell>
        </row>
        <row r="505">
          <cell r="G505" t="str">
            <v>ELECT INSTALL CHL WWTP DONNYBROOK</v>
          </cell>
          <cell r="H505" t="str">
            <v>S8014103</v>
          </cell>
          <cell r="I505" t="str">
            <v>LOT 386 SOUTH WESTERN HIGHWAY</v>
          </cell>
          <cell r="J505" t="str">
            <v>DONNYBROOK WA 6239</v>
          </cell>
          <cell r="K505" t="str">
            <v>000000000211001865</v>
          </cell>
        </row>
        <row r="506">
          <cell r="G506" t="str">
            <v>SPS CLOUTT LANE PIARA WATERS</v>
          </cell>
          <cell r="H506" t="str">
            <v>S2030898</v>
          </cell>
          <cell r="I506" t="str">
            <v>LOT 577 TERRACINA PARKWAY</v>
          </cell>
          <cell r="J506" t="str">
            <v>PIARA WATERS WA  6112</v>
          </cell>
          <cell r="K506" t="str">
            <v>0350304495</v>
          </cell>
        </row>
        <row r="507">
          <cell r="G507" t="str">
            <v>SPS WHITWORTH DR SUNSET BEACH</v>
          </cell>
          <cell r="H507" t="str">
            <v>S4000971</v>
          </cell>
          <cell r="I507" t="str">
            <v>LOT 12020/86 VOLUTE ST</v>
          </cell>
          <cell r="J507" t="str">
            <v>GERALDTON WA 6530</v>
          </cell>
          <cell r="K507" t="str">
            <v>000000000348001876</v>
          </cell>
        </row>
        <row r="508">
          <cell r="G508" t="str">
            <v>SPS CONTEST CL KALLAROO</v>
          </cell>
          <cell r="H508" t="str">
            <v>S0028306</v>
          </cell>
          <cell r="I508" t="str">
            <v>U42 CONTEST CL</v>
          </cell>
          <cell r="J508" t="str">
            <v>KALLAROO WA 6025</v>
          </cell>
          <cell r="K508" t="str">
            <v>0081000909</v>
          </cell>
        </row>
        <row r="509">
          <cell r="G509" t="str">
            <v>SPS HAMER PDE INGLEWOOD</v>
          </cell>
          <cell r="H509" t="str">
            <v>S0031697</v>
          </cell>
          <cell r="I509" t="str">
            <v>SIXTH AVE</v>
          </cell>
          <cell r="J509" t="str">
            <v>INGLEWOOD WA 6052</v>
          </cell>
          <cell r="K509" t="str">
            <v>410AM8864</v>
          </cell>
        </row>
        <row r="510">
          <cell r="G510" t="str">
            <v>CHEMICAL DOSING PLANT CARABOODA TANK</v>
          </cell>
          <cell r="H510" t="str">
            <v>W1023836</v>
          </cell>
          <cell r="I510" t="str">
            <v>46 GREENLEES WAY</v>
          </cell>
          <cell r="J510" t="str">
            <v>CARABOODA WA 6033</v>
          </cell>
          <cell r="K510" t="str">
            <v>0350305027</v>
          </cell>
        </row>
        <row r="511">
          <cell r="G511" t="str">
            <v>SPS 1 BARTRAM ST BEVERLEY</v>
          </cell>
          <cell r="H511" t="str">
            <v>S5008140</v>
          </cell>
          <cell r="I511" t="str">
            <v>LOT 24 BARTRAM ST BEVERLY</v>
          </cell>
          <cell r="J511" t="str">
            <v>SEWERAGE P/STN BEVERLEY</v>
          </cell>
          <cell r="K511" t="str">
            <v>0180006966</v>
          </cell>
        </row>
        <row r="512">
          <cell r="G512" t="str">
            <v>WSC HST 32ML HONEYMOON RD HARVEY</v>
          </cell>
          <cell r="H512" t="str">
            <v>W1017755</v>
          </cell>
          <cell r="I512" t="str">
            <v>LOT 554 HONEYMOON RD</v>
          </cell>
          <cell r="J512" t="str">
            <v>HARVEY WA 6220</v>
          </cell>
          <cell r="K512" t="str">
            <v>000000000200328677</v>
          </cell>
        </row>
        <row r="513">
          <cell r="G513" t="str">
            <v>WATER ASSETS PERTH REGION NORTH</v>
          </cell>
          <cell r="H513" t="str">
            <v>WPN</v>
          </cell>
          <cell r="I513" t="str">
            <v>85 GREAT EASTERN HWY</v>
          </cell>
          <cell r="J513" t="str">
            <v>SOUTH GUILDFORD WA 6055</v>
          </cell>
          <cell r="K513" t="str">
            <v>15M270260</v>
          </cell>
        </row>
        <row r="514">
          <cell r="G514" t="str">
            <v>SPS ABROLHOS CL TWO ROCKS</v>
          </cell>
          <cell r="H514" t="str">
            <v>S2018340</v>
          </cell>
          <cell r="I514" t="str">
            <v>LOT 610 ABROLHOS CL</v>
          </cell>
          <cell r="J514" t="str">
            <v>TWO ROCKS WA 6037</v>
          </cell>
          <cell r="K514" t="str">
            <v>0280001810</v>
          </cell>
        </row>
        <row r="515">
          <cell r="G515" t="str">
            <v>SDOOL F/WATER ISOLATION VALVE VA16508</v>
          </cell>
          <cell r="H515" t="str">
            <v>S1004859</v>
          </cell>
          <cell r="I515" t="str">
            <v>LOT 0 CONWAY RD</v>
          </cell>
          <cell r="J515" t="str">
            <v>HOPE VALLEY 6165</v>
          </cell>
          <cell r="K515" t="str">
            <v>0530105511</v>
          </cell>
        </row>
        <row r="516">
          <cell r="G516" t="str">
            <v>BORE SITE B1</v>
          </cell>
          <cell r="H516" t="str">
            <v>W1001304</v>
          </cell>
          <cell r="I516" t="str">
            <v>LOT 20 ALBERT ST</v>
          </cell>
          <cell r="J516" t="str">
            <v>BALCATTA WA 6021</v>
          </cell>
          <cell r="K516" t="str">
            <v>0140000584</v>
          </cell>
        </row>
        <row r="517">
          <cell r="G517" t="str">
            <v>WPS BROOK RD GREENBUSHES BOOSTER TEMP</v>
          </cell>
          <cell r="H517" t="str">
            <v>W8011193</v>
          </cell>
          <cell r="I517" t="str">
            <v>LOT 0 GREENBUSHES-BOYUP BROOK RD</v>
          </cell>
          <cell r="J517" t="str">
            <v>CATTERICK  WA  6255</v>
          </cell>
          <cell r="K517" t="str">
            <v>0200316660</v>
          </cell>
        </row>
        <row r="518">
          <cell r="G518" t="str">
            <v>WPS ROSELLA LOOP HARVEY BOOSTER</v>
          </cell>
          <cell r="H518" t="str">
            <v>W8008740</v>
          </cell>
          <cell r="I518" t="str">
            <v>LOT 107 ROSELLA LOOP</v>
          </cell>
          <cell r="J518" t="str">
            <v>HARVEY WA 6220</v>
          </cell>
          <cell r="K518" t="str">
            <v>0148006503</v>
          </cell>
        </row>
        <row r="519">
          <cell r="G519" t="str">
            <v>SPS FLORA ST MIDLAND</v>
          </cell>
          <cell r="H519" t="str">
            <v>S0028985</v>
          </cell>
          <cell r="I519" t="str">
            <v>LOT 92 FLORA ST</v>
          </cell>
          <cell r="J519" t="str">
            <v>MIDLAND WA 6056</v>
          </cell>
          <cell r="K519" t="str">
            <v>0138000233</v>
          </cell>
        </row>
        <row r="520">
          <cell r="G520" t="str">
            <v>BORE SITE J240(1/10)</v>
          </cell>
          <cell r="H520" t="str">
            <v>W1021845</v>
          </cell>
          <cell r="I520" t="str">
            <v>LOT 874 LYON RD</v>
          </cell>
          <cell r="J520" t="str">
            <v>ATWELL WA 6164</v>
          </cell>
          <cell r="K520" t="str">
            <v>0348002485</v>
          </cell>
        </row>
        <row r="521">
          <cell r="G521" t="str">
            <v>BORE SITE G150</v>
          </cell>
          <cell r="H521" t="str">
            <v>W0009490</v>
          </cell>
          <cell r="I521" t="str">
            <v>MARTELLI PL</v>
          </cell>
          <cell r="J521" t="str">
            <v>STIRLING WA 6021</v>
          </cell>
          <cell r="K521" t="str">
            <v>0148005917</v>
          </cell>
        </row>
        <row r="522">
          <cell r="G522" t="str">
            <v>TANK GL 750M3 WSC LES WOODHEAD AV BRIDGE</v>
          </cell>
          <cell r="H522" t="str">
            <v>W8010950</v>
          </cell>
          <cell r="I522" t="str">
            <v>LOT 927 BRIDGETOWN-BOYUP BROOK RD</v>
          </cell>
          <cell r="J522" t="str">
            <v>BRIDGETOWN WA 6255</v>
          </cell>
          <cell r="K522" t="str">
            <v>0350310402</v>
          </cell>
        </row>
        <row r="523">
          <cell r="G523" t="str">
            <v>WPS ROE ST BRIDGETOWN</v>
          </cell>
          <cell r="H523" t="str">
            <v>W8010766</v>
          </cell>
          <cell r="I523" t="str">
            <v>LOT 925 BLECHYNDEN ST</v>
          </cell>
          <cell r="J523" t="str">
            <v>BRIDGETOWN WA 6255</v>
          </cell>
          <cell r="K523" t="str">
            <v>0348002672</v>
          </cell>
        </row>
        <row r="524">
          <cell r="G524" t="str">
            <v>SPS BEVAN WAY COLLIE</v>
          </cell>
          <cell r="H524" t="str">
            <v>S0044380</v>
          </cell>
          <cell r="I524" t="str">
            <v>UNIT 51 BEVAN WAY</v>
          </cell>
          <cell r="J524" t="str">
            <v>COLLIE WA 6225</v>
          </cell>
          <cell r="K524" t="str">
            <v>410M117875</v>
          </cell>
        </row>
        <row r="525">
          <cell r="G525" t="str">
            <v>SPS SANDFORD GR PARMELIA</v>
          </cell>
          <cell r="H525" t="str">
            <v>S0030306</v>
          </cell>
          <cell r="I525" t="str">
            <v>PARMELIA AVE</v>
          </cell>
          <cell r="J525" t="str">
            <v>PARMELIA WA 6167</v>
          </cell>
          <cell r="K525" t="str">
            <v>410M104927</v>
          </cell>
        </row>
        <row r="526">
          <cell r="G526" t="str">
            <v>SPS LAKE RD SEVILLE GROVE</v>
          </cell>
          <cell r="H526" t="str">
            <v>S0032762</v>
          </cell>
          <cell r="I526" t="str">
            <v>43 LAKE RD</v>
          </cell>
          <cell r="J526" t="str">
            <v>ARMADALE  WA 6112</v>
          </cell>
          <cell r="K526" t="str">
            <v>0136004342</v>
          </cell>
        </row>
        <row r="527">
          <cell r="G527" t="str">
            <v>VPS DAMPIER AV FALCON</v>
          </cell>
          <cell r="H527" t="str">
            <v>S8014601</v>
          </cell>
          <cell r="I527" t="str">
            <v>LOT 2105 DAMPIER AVE</v>
          </cell>
          <cell r="J527" t="str">
            <v>FALCON WA 6210</v>
          </cell>
          <cell r="K527" t="str">
            <v>0350311158</v>
          </cell>
        </row>
        <row r="528">
          <cell r="G528" t="str">
            <v>SPS ORIEL CT COLLEGE GROVE</v>
          </cell>
          <cell r="H528" t="str">
            <v>S0044169</v>
          </cell>
          <cell r="I528" t="str">
            <v>LOT 1 WINTHROP AV</v>
          </cell>
          <cell r="J528" t="str">
            <v>BUNBURY WA 6230</v>
          </cell>
          <cell r="K528" t="str">
            <v>410M165406</v>
          </cell>
        </row>
        <row r="529">
          <cell r="G529" t="str">
            <v>TANK GL 1 WSC MCLEAN RD DENMARK</v>
          </cell>
          <cell r="H529" t="str">
            <v>W7007167</v>
          </cell>
          <cell r="I529" t="str">
            <v>STRATA NO2, LOT 384 MCLEAN RD</v>
          </cell>
          <cell r="J529" t="str">
            <v>DENMARK WA 6333</v>
          </cell>
          <cell r="K529" t="str">
            <v>0200327469</v>
          </cell>
        </row>
        <row r="530">
          <cell r="G530" t="str">
            <v>SPS KITTYHAWK VIEW MAYLANDS</v>
          </cell>
          <cell r="H530" t="str">
            <v>S0038065</v>
          </cell>
          <cell r="I530" t="str">
            <v>LOT 360 KITTYHAWK VIEW</v>
          </cell>
          <cell r="J530" t="str">
            <v>MAYLANDS WA 6051</v>
          </cell>
          <cell r="K530" t="str">
            <v>410M187864</v>
          </cell>
        </row>
        <row r="531">
          <cell r="G531" t="str">
            <v>MAIN TM 1400 SSDP</v>
          </cell>
          <cell r="H531" t="str">
            <v>W1017756</v>
          </cell>
          <cell r="I531" t="str">
            <v>LOT 5588 RODGERS RD</v>
          </cell>
          <cell r="J531" t="str">
            <v>UDUC WA 6220 (VIA HARVEY)</v>
          </cell>
          <cell r="K531" t="str">
            <v>0200360132</v>
          </cell>
        </row>
        <row r="532">
          <cell r="G532" t="str">
            <v>CP SYSTEM ALLANOOKA</v>
          </cell>
          <cell r="H532" t="str">
            <v>W0039583</v>
          </cell>
          <cell r="I532" t="str">
            <v>LOT 22 STANSFIELD RD</v>
          </cell>
          <cell r="J532" t="str">
            <v>NARNGULU WA 6532</v>
          </cell>
          <cell r="K532" t="str">
            <v>0200320561</v>
          </cell>
        </row>
        <row r="533">
          <cell r="G533" t="str">
            <v>CP SYSTEM ALLANOOKA</v>
          </cell>
          <cell r="H533" t="str">
            <v>W0039583</v>
          </cell>
          <cell r="I533" t="str">
            <v>LOT 50 GEORGINA RD</v>
          </cell>
          <cell r="J533" t="str">
            <v>GEORGINA  WA  6532</v>
          </cell>
          <cell r="K533" t="str">
            <v>0249000180</v>
          </cell>
        </row>
        <row r="534">
          <cell r="G534" t="str">
            <v>TANK GL 1 WSC MCLEAN RD DENMARK</v>
          </cell>
          <cell r="H534" t="str">
            <v>W7007167</v>
          </cell>
          <cell r="I534" t="str">
            <v>LOT 22 SMITH ST</v>
          </cell>
          <cell r="J534" t="str">
            <v>DENMARK WA 6333</v>
          </cell>
          <cell r="K534" t="str">
            <v>0200315638</v>
          </cell>
        </row>
        <row r="535">
          <cell r="G535" t="str">
            <v>TRU CP 4.32KM BH MAIN</v>
          </cell>
          <cell r="H535" t="str">
            <v>W5003099</v>
          </cell>
          <cell r="I535" t="str">
            <v>LOT 200 NORTHAM-TOODYAY RD</v>
          </cell>
          <cell r="J535" t="str">
            <v>KATRINE WA 6566</v>
          </cell>
          <cell r="K535" t="str">
            <v>0200320558</v>
          </cell>
        </row>
        <row r="536">
          <cell r="G536" t="str">
            <v>YANCHEP WASTEWATER TREATMENT PLANT</v>
          </cell>
          <cell r="H536" t="str">
            <v>S001-001-024</v>
          </cell>
          <cell r="I536" t="str">
            <v>CAPILANO AVE</v>
          </cell>
          <cell r="J536" t="str">
            <v>YANCHEP WA 6035</v>
          </cell>
          <cell r="K536" t="str">
            <v>0140000240</v>
          </cell>
        </row>
        <row r="537">
          <cell r="G537" t="str">
            <v>SPS BINNINGUP RD BINNINGUP</v>
          </cell>
          <cell r="H537" t="str">
            <v>S0043971</v>
          </cell>
          <cell r="I537" t="str">
            <v>LOT 243 BINNINGUP RD</v>
          </cell>
          <cell r="J537" t="str">
            <v>BINNINGUP WA 6233</v>
          </cell>
          <cell r="K537" t="str">
            <v>410M151428</v>
          </cell>
        </row>
        <row r="538">
          <cell r="G538" t="str">
            <v>EFFLUENT REUSE TREE FARM 2 ALBANY</v>
          </cell>
          <cell r="H538" t="str">
            <v>S7010694</v>
          </cell>
          <cell r="I538" t="str">
            <v>LOT 5763 ALBANY HIGHWAY</v>
          </cell>
          <cell r="J538" t="str">
            <v>DROME  6330  (ALBANY)</v>
          </cell>
          <cell r="K538" t="str">
            <v>0348001783</v>
          </cell>
        </row>
        <row r="539">
          <cell r="G539" t="str">
            <v>DEPOT KALBARRI (error)</v>
          </cell>
          <cell r="H539" t="str">
            <v>W0036988</v>
          </cell>
          <cell r="I539" t="str">
            <v>LOT 375</v>
          </cell>
          <cell r="J539" t="str">
            <v>KALBARRI WA 6536</v>
          </cell>
          <cell r="K539" t="str">
            <v>0350045531</v>
          </cell>
        </row>
        <row r="540">
          <cell r="G540" t="str">
            <v>WPS BLACK ROAD CLEARY</v>
          </cell>
          <cell r="H540" t="str">
            <v>W5011260</v>
          </cell>
          <cell r="I540" t="str">
            <v>BLACK RD</v>
          </cell>
          <cell r="J540" t="str">
            <v>GOODLANDS WA 6468</v>
          </cell>
          <cell r="K540" t="str">
            <v>0180020037</v>
          </cell>
        </row>
        <row r="541">
          <cell r="G541" t="str">
            <v>EFFLUENT REUSE TREE FARM 2 ALBANY</v>
          </cell>
          <cell r="H541" t="str">
            <v>S7010694</v>
          </cell>
          <cell r="I541" t="str">
            <v>LOT 749 GUNN RD</v>
          </cell>
          <cell r="J541" t="str">
            <v>DROME WA 6330</v>
          </cell>
          <cell r="K541" t="str">
            <v>021000948</v>
          </cell>
        </row>
        <row r="542">
          <cell r="G542" t="str">
            <v>SPS WAKEFIELD CRES AUSTRALIND</v>
          </cell>
          <cell r="H542" t="str">
            <v>S0043940</v>
          </cell>
          <cell r="I542" t="str">
            <v>WAKEFIELD CRES</v>
          </cell>
          <cell r="J542" t="str">
            <v>AUSTRALIND WA 6233</v>
          </cell>
          <cell r="K542" t="str">
            <v>410M2000304</v>
          </cell>
        </row>
        <row r="543">
          <cell r="G543" t="str">
            <v>SPS AYTON WY DUNCRAIG</v>
          </cell>
          <cell r="H543" t="str">
            <v>S0028241</v>
          </cell>
          <cell r="I543" t="str">
            <v>AYTON WAY</v>
          </cell>
          <cell r="J543" t="str">
            <v>DUNCRAIG WA 6023</v>
          </cell>
          <cell r="K543" t="str">
            <v>0081000914</v>
          </cell>
        </row>
        <row r="544">
          <cell r="G544" t="str">
            <v>SPS DANDARAGAN DR DAWESVILLE</v>
          </cell>
          <cell r="H544" t="str">
            <v>S8009280</v>
          </cell>
          <cell r="I544" t="str">
            <v>LOT 924 DANDARAGAN DR</v>
          </cell>
          <cell r="J544" t="str">
            <v>DAWESVILLE WA 6211</v>
          </cell>
          <cell r="K544" t="str">
            <v>0350302745</v>
          </cell>
        </row>
        <row r="545">
          <cell r="G545" t="str">
            <v>DEPOT RICHTER RD DEVONPORT BUNBURY</v>
          </cell>
          <cell r="H545" t="str">
            <v>C0043879</v>
          </cell>
          <cell r="I545" t="str">
            <v>LOT 506 ROBERTSON RD</v>
          </cell>
          <cell r="J545" t="str">
            <v>DAVENPORT WA 6230 (BUNBURY)</v>
          </cell>
          <cell r="K545" t="str">
            <v>0214001097</v>
          </cell>
        </row>
        <row r="546">
          <cell r="G546" t="str">
            <v>BORE SITE BOLD PARK BORE NO.2</v>
          </cell>
          <cell r="H546" t="str">
            <v>W1001628</v>
          </cell>
          <cell r="I546" t="str">
            <v>KALINDA ST</v>
          </cell>
          <cell r="J546" t="str">
            <v>CITY BEACH WA 6015</v>
          </cell>
          <cell r="K546" t="str">
            <v>0211001087</v>
          </cell>
        </row>
        <row r="547">
          <cell r="G547" t="str">
            <v>CHL SYS RAVENSTHORPE</v>
          </cell>
          <cell r="H547" t="str">
            <v>W7005013</v>
          </cell>
          <cell r="I547" t="str">
            <v>82 WEBSTER DRIVE</v>
          </cell>
          <cell r="J547" t="str">
            <v>RAVENSTHORPE WA 6386</v>
          </cell>
          <cell r="K547" t="str">
            <v>0200315624</v>
          </cell>
        </row>
        <row r="548">
          <cell r="G548" t="str">
            <v>SPS THORPE ST ROCKINGHAM</v>
          </cell>
          <cell r="H548" t="str">
            <v>S0030486</v>
          </cell>
          <cell r="I548" t="str">
            <v>THORPE ST</v>
          </cell>
          <cell r="J548" t="str">
            <v>ROCKINGHAM WA 6168</v>
          </cell>
          <cell r="K548" t="str">
            <v>410M147625</v>
          </cell>
        </row>
        <row r="549">
          <cell r="G549" t="str">
            <v>SPS CRAMPTON ST COLLIE</v>
          </cell>
          <cell r="H549" t="str">
            <v>S0044390</v>
          </cell>
          <cell r="I549" t="str">
            <v>LOT 5460 CRAMPTON ST</v>
          </cell>
          <cell r="J549" t="str">
            <v>COLLIE WA 6225</v>
          </cell>
          <cell r="K549" t="str">
            <v>001000321</v>
          </cell>
        </row>
        <row r="550">
          <cell r="G550" t="str">
            <v>SPS MALCOLM RD MADDINGTON</v>
          </cell>
          <cell r="H550" t="str">
            <v>S0033462</v>
          </cell>
          <cell r="I550" t="str">
            <v>U43 LOT 76 MALCOLM RD</v>
          </cell>
          <cell r="J550" t="str">
            <v>MADDINGTON WA 6109</v>
          </cell>
          <cell r="K550" t="str">
            <v>002101285</v>
          </cell>
        </row>
        <row r="551">
          <cell r="G551" t="str">
            <v>BORE 01-97 ELINOR BELL RD</v>
          </cell>
          <cell r="H551" t="str">
            <v>W0045205</v>
          </cell>
          <cell r="I551" t="str">
            <v>ELINOR BELL RD</v>
          </cell>
          <cell r="J551" t="str">
            <v>AUSTRALIND WA 6233</v>
          </cell>
          <cell r="K551" t="str">
            <v>0211001054</v>
          </cell>
        </row>
        <row r="552">
          <cell r="G552" t="str">
            <v>WPS WATTS RD KOJONUP</v>
          </cell>
          <cell r="H552" t="str">
            <v>W049-005-003-002-001-001</v>
          </cell>
          <cell r="I552" t="str">
            <v>WATTS RD</v>
          </cell>
          <cell r="J552" t="str">
            <v>KOJONUP WA 6395</v>
          </cell>
          <cell r="K552" t="str">
            <v>410M153865</v>
          </cell>
        </row>
        <row r="553">
          <cell r="G553" t="str">
            <v>SPS BASHFORD ST JURIEN BAY</v>
          </cell>
          <cell r="H553" t="str">
            <v>S4000198</v>
          </cell>
          <cell r="I553" t="str">
            <v>LOT 162 BASHFORD ST</v>
          </cell>
          <cell r="J553" t="str">
            <v>JURIEN BAY WA 6516</v>
          </cell>
          <cell r="K553" t="str">
            <v>0350320949</v>
          </cell>
        </row>
        <row r="554">
          <cell r="G554" t="str">
            <v>WPS DAM 1 LAKE GRACE</v>
          </cell>
          <cell r="H554" t="str">
            <v>W049-003-010-002-001</v>
          </cell>
          <cell r="I554" t="str">
            <v>LOCN 15554 NEWDEGATE RD</v>
          </cell>
          <cell r="J554" t="str">
            <v>LAKE GRACE WA 6353</v>
          </cell>
          <cell r="K554" t="str">
            <v>0148006469</v>
          </cell>
        </row>
        <row r="555">
          <cell r="G555" t="str">
            <v>CATHODIC SYSTEM 1400 LAKES RD TM</v>
          </cell>
          <cell r="H555" t="str">
            <v>W1023187</v>
          </cell>
          <cell r="I555" t="str">
            <v>LOT 604 LAKES RD</v>
          </cell>
          <cell r="J555" t="str">
            <v>STAKE HILL WA 6181</v>
          </cell>
          <cell r="K555" t="str">
            <v>0200348295</v>
          </cell>
        </row>
        <row r="556">
          <cell r="G556" t="str">
            <v>RESERVOIR WSC BOUNDARY RD MOSMAN PARK</v>
          </cell>
          <cell r="H556" t="str">
            <v>W0034558</v>
          </cell>
          <cell r="I556" t="str">
            <v>LOT 1A BOUNDARY RD</v>
          </cell>
          <cell r="J556" t="str">
            <v>MOSMAN PARK WA 6012</v>
          </cell>
          <cell r="K556" t="str">
            <v>410M173923</v>
          </cell>
        </row>
        <row r="557">
          <cell r="G557" t="str">
            <v>SPS BUSSELL HWY NTH MARGARET RIVER</v>
          </cell>
          <cell r="H557" t="str">
            <v>S0044908</v>
          </cell>
          <cell r="I557" t="str">
            <v>69 BUSSELL HWY</v>
          </cell>
          <cell r="J557" t="str">
            <v>MARGARET RIVER WA 6285</v>
          </cell>
          <cell r="K557" t="str">
            <v>0148002185</v>
          </cell>
        </row>
        <row r="558">
          <cell r="G558" t="str">
            <v>CHL SYS SOUTH ST HARRISMITH</v>
          </cell>
          <cell r="H558" t="str">
            <v>W7001660</v>
          </cell>
          <cell r="I558" t="str">
            <v>LOT 30 SOUTH ST</v>
          </cell>
          <cell r="J558" t="str">
            <v>HARRISMITH WA 6361</v>
          </cell>
          <cell r="K558" t="str">
            <v>0149000248</v>
          </cell>
        </row>
        <row r="559">
          <cell r="G559" t="str">
            <v>SPS EDGEWATER RD SALTER POINT</v>
          </cell>
          <cell r="H559" t="str">
            <v>S0034029</v>
          </cell>
          <cell r="I559" t="str">
            <v>EDGEWATER RD</v>
          </cell>
          <cell r="J559" t="str">
            <v>SALTER POINT WA 6152</v>
          </cell>
          <cell r="K559" t="str">
            <v>0148001664</v>
          </cell>
        </row>
        <row r="560">
          <cell r="G560" t="str">
            <v>SPS COLLARED ST HARRISDALE</v>
          </cell>
          <cell r="H560" t="str">
            <v>S2018370</v>
          </cell>
          <cell r="I560" t="str">
            <v>LOT 8011 COLLARED ST</v>
          </cell>
          <cell r="J560" t="str">
            <v>FORRESTDALE  WA 6112</v>
          </cell>
          <cell r="K560" t="str">
            <v>0214002404</v>
          </cell>
        </row>
        <row r="561">
          <cell r="G561" t="str">
            <v>CHL SYS PINGELLY RD CUBALLING</v>
          </cell>
          <cell r="H561" t="str">
            <v>W7002334</v>
          </cell>
          <cell r="I561" t="str">
            <v>BOXSELL RD</v>
          </cell>
          <cell r="J561" t="str">
            <v>NARROGIN WA 6312</v>
          </cell>
          <cell r="K561" t="str">
            <v>0148003720</v>
          </cell>
        </row>
        <row r="562">
          <cell r="G562" t="str">
            <v>BORE SITE YOKINE BORE NO.1 CRESSWELL RD</v>
          </cell>
          <cell r="H562" t="str">
            <v>W1001632</v>
          </cell>
          <cell r="I562" t="str">
            <v>CRESSWELL RD</v>
          </cell>
          <cell r="J562" t="str">
            <v>DIANELLA  WA  6059</v>
          </cell>
          <cell r="K562" t="str">
            <v>0136006257</v>
          </cell>
        </row>
        <row r="563">
          <cell r="G563" t="str">
            <v>SPS CIVIC PL STIRLING</v>
          </cell>
          <cell r="H563" t="str">
            <v>S0028296</v>
          </cell>
          <cell r="I563" t="str">
            <v>LOT 33335 CIVIC PL</v>
          </cell>
          <cell r="J563" t="str">
            <v>STIRLING WA 6021</v>
          </cell>
          <cell r="K563" t="str">
            <v>410M172662</v>
          </cell>
        </row>
        <row r="564">
          <cell r="G564" t="str">
            <v>SPS SOUTH DENISON RD DONGARA</v>
          </cell>
          <cell r="H564" t="str">
            <v>S0037411</v>
          </cell>
          <cell r="I564" t="str">
            <v>LOT 921 SEAHORSE LOOP</v>
          </cell>
          <cell r="J564" t="str">
            <v>PORT DENISON WA 6525</v>
          </cell>
          <cell r="K564" t="str">
            <v>450M11692</v>
          </cell>
        </row>
        <row r="565">
          <cell r="G565" t="str">
            <v>SPS MILLHOUSE RD AVELEY</v>
          </cell>
          <cell r="H565" t="str">
            <v>S2019808</v>
          </cell>
          <cell r="I565" t="str">
            <v>LOT 8045 MILLHOUSE RD</v>
          </cell>
          <cell r="J565" t="str">
            <v>AVELEY WA 6069</v>
          </cell>
          <cell r="K565" t="str">
            <v>0214002670</v>
          </cell>
        </row>
        <row r="566">
          <cell r="G566" t="str">
            <v>BORE SITE J50</v>
          </cell>
          <cell r="H566" t="str">
            <v>W1001442</v>
          </cell>
          <cell r="I566" t="str">
            <v>U41 50 WOLFE RD</v>
          </cell>
          <cell r="J566" t="str">
            <v>BANJUP WA 6164</v>
          </cell>
          <cell r="K566" t="str">
            <v>002100081</v>
          </cell>
        </row>
        <row r="567">
          <cell r="G567" t="str">
            <v>SPS HARPER ST LEDGE POINT</v>
          </cell>
          <cell r="H567" t="str">
            <v>S0037994</v>
          </cell>
          <cell r="I567" t="str">
            <v>LOT 645 HARPER DR</v>
          </cell>
          <cell r="J567" t="str">
            <v>LEDGE POINT WA 6043</v>
          </cell>
          <cell r="K567" t="str">
            <v>410M155993</v>
          </cell>
        </row>
        <row r="568">
          <cell r="G568" t="str">
            <v>SPS MARMION AV TEMP ALKIMOS</v>
          </cell>
          <cell r="H568" t="str">
            <v>S2023483</v>
          </cell>
          <cell r="I568" t="str">
            <v>LOT 448 MARMION AVE</v>
          </cell>
          <cell r="J568" t="str">
            <v>ALKIMOS WA 6038</v>
          </cell>
          <cell r="K568" t="str">
            <v>0350356591</v>
          </cell>
        </row>
        <row r="569">
          <cell r="G569" t="str">
            <v>SPS LEEWARD AV ALKIMOS</v>
          </cell>
          <cell r="H569" t="str">
            <v>S2023485</v>
          </cell>
          <cell r="I569" t="str">
            <v>LOT 457 SHOREHAVEN BVD</v>
          </cell>
          <cell r="J569" t="str">
            <v>ALKIMOS WA 6038</v>
          </cell>
          <cell r="K569" t="str">
            <v>0350326603</v>
          </cell>
        </row>
        <row r="570">
          <cell r="G570" t="str">
            <v>SPS CHANDLER RMBL BALDIVIS</v>
          </cell>
          <cell r="H570" t="str">
            <v>S2003216</v>
          </cell>
          <cell r="I570" t="str">
            <v>46 CHANDLER RMBL</v>
          </cell>
          <cell r="J570" t="str">
            <v>BALDIVIS WA 6171</v>
          </cell>
          <cell r="K570" t="str">
            <v>410M204971</v>
          </cell>
        </row>
        <row r="571">
          <cell r="G571" t="str">
            <v>SPS SECRET HARBOUR BVD SECRET HARBOUR</v>
          </cell>
          <cell r="H571" t="str">
            <v>S0030551</v>
          </cell>
          <cell r="I571" t="str">
            <v>LOT 733 SECRET HARBOUR BVD</v>
          </cell>
          <cell r="J571" t="str">
            <v>SECRET HARBOUR WA 6173</v>
          </cell>
          <cell r="K571" t="str">
            <v>410M170046</v>
          </cell>
        </row>
        <row r="572">
          <cell r="G572" t="str">
            <v>WPS MOTTRAM ST MANJIMUP</v>
          </cell>
          <cell r="H572" t="str">
            <v>W0046047</v>
          </cell>
          <cell r="I572" t="str">
            <v>LOCN 11269 SOUTH WESTERN HWY</v>
          </cell>
          <cell r="J572" t="str">
            <v>MANJIMUP WA 6258</v>
          </cell>
          <cell r="K572" t="str">
            <v>0136006348</v>
          </cell>
        </row>
        <row r="573">
          <cell r="G573" t="str">
            <v>SPS SEAWIND DR SILVER SANDS</v>
          </cell>
          <cell r="H573" t="str">
            <v>S0044774</v>
          </cell>
          <cell r="I573" t="str">
            <v>U51 MARITIME RD</v>
          </cell>
          <cell r="J573" t="str">
            <v>SILVER SANDS WA 6210</v>
          </cell>
          <cell r="K573" t="str">
            <v>0148004812</v>
          </cell>
        </row>
        <row r="574">
          <cell r="G574" t="str">
            <v>SPS RESERVE ST DONNYBROOK</v>
          </cell>
          <cell r="H574" t="str">
            <v>S8000487</v>
          </cell>
          <cell r="I574" t="str">
            <v>RESERVE ST</v>
          </cell>
          <cell r="J574" t="str">
            <v>DONNYBROOK  WA 6239</v>
          </cell>
          <cell r="K574" t="str">
            <v>410M201128</v>
          </cell>
        </row>
        <row r="575">
          <cell r="G575" t="str">
            <v>SPS PATRICIA ST CAVERSHAM</v>
          </cell>
          <cell r="H575" t="str">
            <v>S2023152</v>
          </cell>
          <cell r="I575" t="str">
            <v>LOT 94 PATRICIA ST</v>
          </cell>
          <cell r="J575" t="str">
            <v>CAVERSHAM WA 6055</v>
          </cell>
          <cell r="K575" t="str">
            <v>00350042386</v>
          </cell>
        </row>
        <row r="576">
          <cell r="G576" t="str">
            <v>SPS SPARKS RD NTH HENDERSON</v>
          </cell>
          <cell r="H576" t="str">
            <v>S0033535</v>
          </cell>
          <cell r="I576" t="str">
            <v>SPARKS RD</v>
          </cell>
          <cell r="J576" t="str">
            <v>HENDERSON WA 6166</v>
          </cell>
          <cell r="K576" t="str">
            <v>0248000293</v>
          </cell>
        </row>
        <row r="577">
          <cell r="G577" t="str">
            <v>WPS YINDANA BVD LAKELANDS BOOSTER</v>
          </cell>
          <cell r="H577" t="str">
            <v>W8005680</v>
          </cell>
          <cell r="I577" t="str">
            <v>2 RAYNER PROM</v>
          </cell>
          <cell r="J577" t="str">
            <v>LAKELANDS WA  6180</v>
          </cell>
          <cell r="K577" t="str">
            <v>0348000448</v>
          </cell>
        </row>
        <row r="578">
          <cell r="G578" t="str">
            <v>SPS HOLGATE RD BROADWATER</v>
          </cell>
          <cell r="H578" t="str">
            <v>S0044325</v>
          </cell>
          <cell r="I578" t="str">
            <v>LOT 64 BUSSELL HWY</v>
          </cell>
          <cell r="J578" t="str">
            <v>BUSSELTON WA 6280</v>
          </cell>
          <cell r="K578" t="str">
            <v>0350030627</v>
          </cell>
        </row>
        <row r="579">
          <cell r="G579" t="str">
            <v>WWTP CEMETERY RD WILLIAMS</v>
          </cell>
          <cell r="H579" t="str">
            <v>S108-003-002</v>
          </cell>
          <cell r="I579" t="str">
            <v>LOT 41 CEMETERY RD</v>
          </cell>
          <cell r="J579" t="str">
            <v>WILLIAMS WA 6391</v>
          </cell>
          <cell r="K579" t="str">
            <v>0348000130</v>
          </cell>
        </row>
        <row r="580">
          <cell r="G580" t="str">
            <v>CDP PHILLIPS CK DAM DEANMILL</v>
          </cell>
          <cell r="H580" t="str">
            <v>W8001435</v>
          </cell>
          <cell r="I580" t="str">
            <v>LOCN 33217 APPADENE RD</v>
          </cell>
          <cell r="J580" t="str">
            <v>DEANMILL WA 6258</v>
          </cell>
          <cell r="K580" t="str">
            <v>0148006091</v>
          </cell>
        </row>
        <row r="581">
          <cell r="G581" t="str">
            <v>BULK WATER TRANSFER SCHEMES</v>
          </cell>
          <cell r="H581" t="str">
            <v>W002</v>
          </cell>
          <cell r="I581" t="str">
            <v>UNIT A2 661 NEWCASTLE STREET</v>
          </cell>
          <cell r="J581" t="str">
            <v>LEEDERVILLE WA 6007</v>
          </cell>
          <cell r="K581" t="str">
            <v>410M154905</v>
          </cell>
        </row>
        <row r="582">
          <cell r="G582" t="str">
            <v>SPS FERNDALE AVE DALYELLUP</v>
          </cell>
          <cell r="H582" t="str">
            <v>S8011343</v>
          </cell>
          <cell r="I582" t="str">
            <v>LOT 8512 FERNDALE AVE</v>
          </cell>
          <cell r="J582" t="str">
            <v>DALYELLUP WA 6230</v>
          </cell>
          <cell r="K582" t="str">
            <v>0350042477</v>
          </cell>
        </row>
        <row r="583">
          <cell r="G583" t="str">
            <v>SPS RIVERMOOR LOOP RIVERTON</v>
          </cell>
          <cell r="H583" t="str">
            <v>S0034424</v>
          </cell>
          <cell r="I583" t="str">
            <v>LOCN 63 RIVERMOOR LOOP</v>
          </cell>
          <cell r="J583" t="str">
            <v>RIVERTON WA 6148</v>
          </cell>
          <cell r="K583" t="str">
            <v>0136004245</v>
          </cell>
        </row>
        <row r="584">
          <cell r="G584" t="str">
            <v>#CATHODIC SITE, THE ESPLANADE</v>
          </cell>
          <cell r="H584" t="str">
            <v>W2000195</v>
          </cell>
          <cell r="I584" t="str">
            <v>THE ESPLANADE</v>
          </cell>
          <cell r="J584" t="str">
            <v>PERTH WA 6000</v>
          </cell>
          <cell r="K584" t="str">
            <v>15M160435</v>
          </cell>
        </row>
        <row r="585">
          <cell r="G585" t="str">
            <v>#BORE SITE M55</v>
          </cell>
          <cell r="H585" t="str">
            <v>W1001373</v>
          </cell>
          <cell r="I585" t="str">
            <v>LOT 40M BEECHBORO RD NORTH</v>
          </cell>
          <cell r="J585" t="str">
            <v>WHITEMAN WA 6068</v>
          </cell>
          <cell r="K585" t="str">
            <v>0148005998</v>
          </cell>
        </row>
        <row r="586">
          <cell r="G586" t="str">
            <v>VALVE SITE MOORES RD PINJARRA</v>
          </cell>
          <cell r="H586" t="str">
            <v>W8001968</v>
          </cell>
          <cell r="I586" t="str">
            <v>LOT 323 MOORES RD</v>
          </cell>
          <cell r="J586" t="str">
            <v>PINJARRA WA 6208</v>
          </cell>
          <cell r="K586" t="str">
            <v>0200348711</v>
          </cell>
        </row>
        <row r="587">
          <cell r="G587"/>
          <cell r="H587" t="e">
            <v>#N/A</v>
          </cell>
          <cell r="I587" t="str">
            <v>53 NELSON ST</v>
          </cell>
          <cell r="J587" t="str">
            <v>BRIDGETOWN WA 6255</v>
          </cell>
          <cell r="K587" t="str">
            <v>410M98335</v>
          </cell>
        </row>
        <row r="588">
          <cell r="G588" t="str">
            <v>WPS CARPENTER ST ONGERUP</v>
          </cell>
          <cell r="H588" t="str">
            <v>W056-002-003-001</v>
          </cell>
          <cell r="I588" t="str">
            <v>ELDRIDGE ST</v>
          </cell>
          <cell r="J588" t="str">
            <v>ONGERUP  WA  6336</v>
          </cell>
          <cell r="K588" t="str">
            <v>410M36283</v>
          </cell>
        </row>
        <row r="589">
          <cell r="G589" t="str">
            <v>WPS SCARBOROUGH BEACH RD DOUBLEVIEW</v>
          </cell>
          <cell r="H589" t="str">
            <v>W0034535</v>
          </cell>
          <cell r="I589" t="str">
            <v>272 SCARBOROUGH BEACH RD</v>
          </cell>
          <cell r="J589" t="str">
            <v>DOUBLEVIEW WA 6018</v>
          </cell>
          <cell r="K589" t="str">
            <v>0136004258</v>
          </cell>
        </row>
        <row r="590">
          <cell r="G590" t="str">
            <v>SPS KATANNING ST BAYSWATER</v>
          </cell>
          <cell r="H590" t="str">
            <v>S0030173</v>
          </cell>
          <cell r="I590" t="str">
            <v>6 KATANNING ST</v>
          </cell>
          <cell r="J590" t="str">
            <v>BAYSWATER WA 6053</v>
          </cell>
          <cell r="K590" t="str">
            <v>0148003124</v>
          </cell>
        </row>
        <row r="591">
          <cell r="G591" t="str">
            <v>BORE SITE J60</v>
          </cell>
          <cell r="H591" t="str">
            <v>W1001444</v>
          </cell>
          <cell r="I591" t="str">
            <v>U41 LOT J60 BARTRAM RD</v>
          </cell>
          <cell r="J591" t="str">
            <v>JANDAKOT WA 6164</v>
          </cell>
          <cell r="K591" t="str">
            <v>002100082</v>
          </cell>
        </row>
        <row r="592">
          <cell r="G592" t="str">
            <v>WPS ARRINO</v>
          </cell>
          <cell r="H592" t="str">
            <v>W0040113</v>
          </cell>
          <cell r="I592" t="str">
            <v>LOC 1932 YANDAN ST</v>
          </cell>
          <cell r="J592" t="str">
            <v>ARRINO WA 6519</v>
          </cell>
          <cell r="K592" t="str">
            <v>0136001628</v>
          </cell>
        </row>
        <row r="593">
          <cell r="G593" t="str">
            <v>SPS GLANCE ST HORROCKS</v>
          </cell>
          <cell r="H593" t="str">
            <v>S0037899</v>
          </cell>
          <cell r="I593" t="str">
            <v>LOT 201 GLANCE ST</v>
          </cell>
          <cell r="J593" t="str">
            <v>HORROCKS WA 6535</v>
          </cell>
          <cell r="K593" t="str">
            <v>410M205439</v>
          </cell>
        </row>
        <row r="594">
          <cell r="G594" t="str">
            <v>CHLORINATOR 1 CHL QUAIRADING TANK</v>
          </cell>
          <cell r="H594" t="str">
            <v>W5016220</v>
          </cell>
          <cell r="I594" t="str">
            <v>WEIR RD</v>
          </cell>
          <cell r="J594" t="str">
            <v>QUAIRADING WA 6383</v>
          </cell>
          <cell r="K594" t="str">
            <v>0249000084</v>
          </cell>
        </row>
        <row r="595">
          <cell r="G595" t="str">
            <v>SPS CLOUTT LANE PIARA WATERS</v>
          </cell>
          <cell r="H595" t="str">
            <v>S2030898</v>
          </cell>
          <cell r="I595" t="str">
            <v>LOT 517 ARMADALE RD</v>
          </cell>
          <cell r="J595" t="str">
            <v>PIEARA WATERS  WA  6112</v>
          </cell>
          <cell r="K595" t="str">
            <v>0530105091</v>
          </cell>
        </row>
        <row r="596">
          <cell r="G596" t="str">
            <v>SPS HARRIS RD MALAGA</v>
          </cell>
          <cell r="H596" t="str">
            <v>S0028459</v>
          </cell>
          <cell r="I596" t="str">
            <v>U42 3 HARRIS RD</v>
          </cell>
          <cell r="J596" t="str">
            <v>MALAGA WA 6090</v>
          </cell>
          <cell r="K596" t="str">
            <v>0102000319</v>
          </cell>
        </row>
        <row r="597">
          <cell r="G597" t="str">
            <v>BEENYUP RD CMS</v>
          </cell>
          <cell r="H597" t="str">
            <v>W0012438</v>
          </cell>
          <cell r="I597" t="str">
            <v>LOT 55 BRENCHLEY DR</v>
          </cell>
          <cell r="J597" t="str">
            <v>ATWELL WA 6164</v>
          </cell>
          <cell r="K597" t="str">
            <v>410M103867</v>
          </cell>
        </row>
        <row r="598">
          <cell r="G598" t="str">
            <v>WPS SOUTH MORAWA</v>
          </cell>
          <cell r="H598" t="str">
            <v>W0040132</v>
          </cell>
          <cell r="I598" t="str">
            <v>LOC 3917</v>
          </cell>
          <cell r="J598" t="str">
            <v>MORAWA WA  6623</v>
          </cell>
          <cell r="K598" t="str">
            <v>0136001990</v>
          </cell>
        </row>
        <row r="599">
          <cell r="G599" t="str">
            <v>SPS GLENISTER RD HAMILTON HILL</v>
          </cell>
          <cell r="H599" t="str">
            <v>S2003379</v>
          </cell>
          <cell r="I599" t="str">
            <v>LOT 127 GLENISTER RD</v>
          </cell>
          <cell r="J599" t="str">
            <v>HAMILTON HILL WA 6163</v>
          </cell>
          <cell r="K599" t="str">
            <v>0148005788</v>
          </cell>
        </row>
        <row r="600">
          <cell r="G600"/>
          <cell r="H600" t="e">
            <v>#N/A</v>
          </cell>
          <cell r="I600" t="str">
            <v>5 PINNER ST</v>
          </cell>
          <cell r="J600" t="str">
            <v>HARVEY WA 6220</v>
          </cell>
          <cell r="K600" t="str">
            <v>0200346061</v>
          </cell>
        </row>
        <row r="601">
          <cell r="G601" t="str">
            <v>SPS REDHEART RD CARRAMAR</v>
          </cell>
          <cell r="H601" t="str">
            <v>S2023412</v>
          </cell>
          <cell r="I601" t="str">
            <v>LOT 8012 REDHEART RD</v>
          </cell>
          <cell r="J601" t="str">
            <v>CARRAMAR WA 6031</v>
          </cell>
          <cell r="K601" t="str">
            <v>0348000313</v>
          </cell>
        </row>
        <row r="602">
          <cell r="G602" t="str">
            <v>SPS BARNEVELDER BEND SOUTHERN RIVER</v>
          </cell>
          <cell r="H602" t="str">
            <v>S2023420</v>
          </cell>
          <cell r="I602" t="str">
            <v>LOT 372 BARNEVELDER BEND</v>
          </cell>
          <cell r="J602" t="str">
            <v>SOUTHERN RIVER WA 6110</v>
          </cell>
          <cell r="K602" t="str">
            <v>0348000491</v>
          </cell>
        </row>
        <row r="603">
          <cell r="G603" t="str">
            <v>WWTP WYALKATCHEM</v>
          </cell>
          <cell r="H603" t="str">
            <v>S017-002</v>
          </cell>
          <cell r="I603" t="str">
            <v>LOT 99999 FERRIES ST</v>
          </cell>
          <cell r="J603" t="str">
            <v>WYALKATCHEM WA 6485</v>
          </cell>
          <cell r="K603" t="str">
            <v>0350001414</v>
          </cell>
        </row>
        <row r="604">
          <cell r="G604" t="str">
            <v>SPS PARTRIDGE ST BRABHAM</v>
          </cell>
          <cell r="H604" t="str">
            <v>S2030576</v>
          </cell>
          <cell r="I604" t="str">
            <v>LOT 310 PARTRIDGE ST</v>
          </cell>
          <cell r="J604" t="str">
            <v>BRABHAM  WA  6055</v>
          </cell>
          <cell r="K604" t="str">
            <v>0348000374</v>
          </cell>
        </row>
        <row r="605">
          <cell r="G605" t="str">
            <v>SPS LANDBEACH BOULEVARD ALKIMOS</v>
          </cell>
          <cell r="H605" t="str">
            <v>S2032514</v>
          </cell>
          <cell r="I605" t="str">
            <v>LOT 9005 MARMION AVE</v>
          </cell>
          <cell r="J605" t="str">
            <v>ALKIMOS WA 6038</v>
          </cell>
          <cell r="K605" t="str">
            <v>0348000404</v>
          </cell>
        </row>
        <row r="606">
          <cell r="G606" t="str">
            <v>BOREFIELD WOODRIDGE</v>
          </cell>
          <cell r="H606" t="str">
            <v>W0042837</v>
          </cell>
          <cell r="I606" t="str">
            <v>U54 LOT 270 KING DR</v>
          </cell>
          <cell r="J606" t="str">
            <v>WOODRIDGE WA  6041</v>
          </cell>
          <cell r="K606" t="str">
            <v>000000000248000121</v>
          </cell>
        </row>
        <row r="607">
          <cell r="G607" t="str">
            <v>WPS EDWARD RD GERALDTON</v>
          </cell>
          <cell r="H607" t="str">
            <v>W0039616</v>
          </cell>
          <cell r="I607" t="str">
            <v>LOCN 2444 EDWARD RD</v>
          </cell>
          <cell r="J607" t="str">
            <v>NARNGULU WA 6532</v>
          </cell>
          <cell r="K607" t="str">
            <v>0148006440</v>
          </cell>
        </row>
        <row r="608">
          <cell r="G608" t="str">
            <v>SPS BARCLAY AV PADBURY</v>
          </cell>
          <cell r="H608" t="str">
            <v>S0028253</v>
          </cell>
          <cell r="I608" t="str">
            <v>BARCLAY AVE</v>
          </cell>
          <cell r="J608" t="str">
            <v>PADBURY WA 6025</v>
          </cell>
          <cell r="K608" t="str">
            <v>410L20484</v>
          </cell>
        </row>
        <row r="609">
          <cell r="G609" t="str">
            <v>SPS PINJAR RD TAPPING</v>
          </cell>
          <cell r="H609" t="str">
            <v>S2017022</v>
          </cell>
          <cell r="I609" t="str">
            <v>309 PINJAR RD</v>
          </cell>
          <cell r="J609" t="str">
            <v>TAPPING WA 6065</v>
          </cell>
          <cell r="K609" t="str">
            <v>0380011404</v>
          </cell>
        </row>
        <row r="610">
          <cell r="G610" t="str">
            <v>DPS COBB ST SCARBOROUGH</v>
          </cell>
          <cell r="H610" t="str">
            <v>D0036268</v>
          </cell>
          <cell r="I610" t="str">
            <v>CALAIS RD</v>
          </cell>
          <cell r="J610" t="str">
            <v>SCARBOROUGH WA 6019</v>
          </cell>
          <cell r="K610" t="str">
            <v>410M93594</v>
          </cell>
        </row>
        <row r="611">
          <cell r="G611" t="str">
            <v>SPS NORTON PROM DALYELLUP</v>
          </cell>
          <cell r="H611" t="str">
            <v>S8010247</v>
          </cell>
          <cell r="I611" t="str">
            <v>LOT 8510 NORTON PROM</v>
          </cell>
          <cell r="J611" t="str">
            <v>DALYELLUP WA 6230</v>
          </cell>
          <cell r="K611" t="str">
            <v>0214001825</v>
          </cell>
        </row>
        <row r="612">
          <cell r="G612" t="str">
            <v>WSC BURMA RD PEMBERTON</v>
          </cell>
          <cell r="H612" t="str">
            <v>W0046229</v>
          </cell>
          <cell r="I612" t="str">
            <v>GLOUCESTER TREE RD</v>
          </cell>
          <cell r="J612" t="str">
            <v>PEMBERTON WA 6260</v>
          </cell>
          <cell r="K612" t="str">
            <v>410M107946</v>
          </cell>
        </row>
        <row r="613">
          <cell r="G613"/>
          <cell r="H613" t="e">
            <v>#N/A</v>
          </cell>
          <cell r="I613" t="str">
            <v>6 KINSELLA RD</v>
          </cell>
          <cell r="J613" t="str">
            <v>MARGARET RIVER WA 6285</v>
          </cell>
          <cell r="K613" t="str">
            <v>15M81638</v>
          </cell>
        </row>
        <row r="614">
          <cell r="G614" t="str">
            <v>SPS MALMAISON WY LANDSDALE</v>
          </cell>
          <cell r="H614" t="str">
            <v>S2032923</v>
          </cell>
          <cell r="I614" t="str">
            <v>LOT 1013 MALMAISON WAY</v>
          </cell>
          <cell r="J614" t="str">
            <v>LANDSDALE WA 6065</v>
          </cell>
          <cell r="K614" t="str">
            <v>0348000832</v>
          </cell>
        </row>
        <row r="615">
          <cell r="G615" t="str">
            <v>WPS BRIDGE ST DONNYBROOK</v>
          </cell>
          <cell r="H615" t="str">
            <v>W0045592</v>
          </cell>
          <cell r="I615" t="str">
            <v>LOT 25 BRIDGE ST</v>
          </cell>
          <cell r="J615" t="str">
            <v>DONNYBROOK WA 6239</v>
          </cell>
          <cell r="K615" t="str">
            <v>0280002755</v>
          </cell>
        </row>
        <row r="616">
          <cell r="G616" t="str">
            <v>SPS HELM ST MADDINGTON</v>
          </cell>
          <cell r="H616" t="str">
            <v>S0033419</v>
          </cell>
          <cell r="I616" t="str">
            <v>HELM ST</v>
          </cell>
          <cell r="J616" t="str">
            <v>MADDINGTON WA 6109</v>
          </cell>
          <cell r="K616" t="str">
            <v>0148004224</v>
          </cell>
        </row>
        <row r="617">
          <cell r="G617" t="str">
            <v>WPS ARNEL ST KELMSCOTT</v>
          </cell>
          <cell r="H617" t="str">
            <v>W0035063</v>
          </cell>
          <cell r="I617" t="str">
            <v>U43 15 ARNEL ST</v>
          </cell>
          <cell r="J617" t="str">
            <v>KELMSCOTT WA 6111</v>
          </cell>
          <cell r="K617" t="str">
            <v>002101562</v>
          </cell>
        </row>
        <row r="618">
          <cell r="G618" t="str">
            <v>BORE 52-75 RACECOURSE</v>
          </cell>
          <cell r="H618" t="str">
            <v>W0023434</v>
          </cell>
          <cell r="I618" t="str">
            <v>LOT 52R ACKLEY RD</v>
          </cell>
          <cell r="J618" t="str">
            <v>ROBINSON  WA  6330</v>
          </cell>
          <cell r="K618" t="str">
            <v>0348002792</v>
          </cell>
        </row>
        <row r="619">
          <cell r="G619" t="str">
            <v>URBAN RETIC KALGOORLIE</v>
          </cell>
          <cell r="H619" t="str">
            <v>W026-017-001-001</v>
          </cell>
          <cell r="I619" t="str">
            <v>WEST KALGOORLIE RD</v>
          </cell>
          <cell r="J619" t="str">
            <v>KALGOORLIE WA 6430</v>
          </cell>
          <cell r="K619" t="str">
            <v>15D087526</v>
          </cell>
        </row>
        <row r="620">
          <cell r="G620" t="str">
            <v>SPS BENNINGFIELD RD BULL CREEK</v>
          </cell>
          <cell r="H620" t="str">
            <v>S0033593</v>
          </cell>
          <cell r="I620" t="str">
            <v>U43 LOT 2605 BENNINGFIELD RD</v>
          </cell>
          <cell r="J620" t="str">
            <v>BULL CREEK WA 6149</v>
          </cell>
          <cell r="K620" t="str">
            <v>0148001212</v>
          </cell>
        </row>
        <row r="621">
          <cell r="G621" t="str">
            <v>SPENCER RD CMS</v>
          </cell>
          <cell r="H621" t="str">
            <v>W0010810</v>
          </cell>
          <cell r="I621" t="str">
            <v>SPENCER RD</v>
          </cell>
          <cell r="J621" t="str">
            <v>THORNLIE WA 6108</v>
          </cell>
          <cell r="K621" t="str">
            <v>410M114949</v>
          </cell>
        </row>
        <row r="622">
          <cell r="G622" t="str">
            <v>EDNEY ROAD CVS</v>
          </cell>
          <cell r="H622" t="str">
            <v>W0011712</v>
          </cell>
          <cell r="I622" t="str">
            <v>KALAMUNDA RD</v>
          </cell>
          <cell r="J622" t="str">
            <v>MAIDA VALE WA 6057</v>
          </cell>
          <cell r="K622" t="str">
            <v>15M225090</v>
          </cell>
        </row>
        <row r="623">
          <cell r="G623" t="str">
            <v>SPS SHEFFIELD RD NTH WATTLE GROVE</v>
          </cell>
          <cell r="H623" t="str">
            <v>S2017558</v>
          </cell>
          <cell r="I623" t="str">
            <v>SHEFFIELD RD</v>
          </cell>
          <cell r="J623" t="str">
            <v>WATTLE GROVE</v>
          </cell>
          <cell r="K623" t="str">
            <v>0180035834</v>
          </cell>
        </row>
        <row r="624">
          <cell r="G624" t="str">
            <v>MOUNT ST CVS</v>
          </cell>
          <cell r="H624" t="str">
            <v>W0011868</v>
          </cell>
          <cell r="I624" t="str">
            <v>LOT 0 MOUNT ST</v>
          </cell>
          <cell r="J624" t="str">
            <v>KELMSCOTT  WA 6111</v>
          </cell>
          <cell r="K624" t="str">
            <v>0530115685</v>
          </cell>
        </row>
        <row r="625">
          <cell r="G625" t="str">
            <v>SHIRE REUSE FACILITIES WWTP KULIN</v>
          </cell>
          <cell r="H625" t="str">
            <v>S7003791</v>
          </cell>
          <cell r="I625" t="str">
            <v>LOT 1000 JILAKIN RD</v>
          </cell>
          <cell r="J625" t="str">
            <v>KULIN WA 6365</v>
          </cell>
          <cell r="K625" t="str">
            <v>0530114363</v>
          </cell>
        </row>
        <row r="626">
          <cell r="G626" t="str">
            <v>MAIN CONDUIT AG WEST</v>
          </cell>
          <cell r="H626" t="str">
            <v>W5187864</v>
          </cell>
          <cell r="I626" t="str">
            <v>LOT 580 DRUMMOND ST EAST</v>
          </cell>
          <cell r="J626" t="str">
            <v>TOODYAY (NUNILE) WA 6566</v>
          </cell>
          <cell r="K626" t="str">
            <v>0530119063</v>
          </cell>
        </row>
        <row r="627">
          <cell r="G627" t="str">
            <v>SPS KELVIN ST MAYLANDS</v>
          </cell>
          <cell r="H627" t="str">
            <v>S0031733</v>
          </cell>
          <cell r="I627" t="str">
            <v>60 KELVIN ST</v>
          </cell>
          <cell r="J627" t="str">
            <v>MAYLANDS WA 6051</v>
          </cell>
          <cell r="K627" t="str">
            <v>0350011056</v>
          </cell>
        </row>
        <row r="628">
          <cell r="G628" t="str">
            <v>WPS IPSEN ST DEANMILL BOOSTER</v>
          </cell>
          <cell r="H628" t="str">
            <v>W0046043</v>
          </cell>
          <cell r="I628" t="str">
            <v>LOC 9808 IPSEN ST</v>
          </cell>
          <cell r="J628" t="str">
            <v>MANJIMUP WA 6258</v>
          </cell>
          <cell r="K628" t="str">
            <v>0350302768</v>
          </cell>
        </row>
        <row r="629">
          <cell r="G629" t="str">
            <v>SPS BALCATTA RD BALCATTA</v>
          </cell>
          <cell r="H629" t="str">
            <v>S0028248</v>
          </cell>
          <cell r="I629" t="str">
            <v>257 BALCATTA RD</v>
          </cell>
          <cell r="J629" t="str">
            <v>BALCATTA WA 6021</v>
          </cell>
          <cell r="K629" t="str">
            <v>0350036518</v>
          </cell>
        </row>
        <row r="630">
          <cell r="G630" t="str">
            <v>SPS STYX LANE GLEN IRIS</v>
          </cell>
          <cell r="H630" t="str">
            <v>S8016394</v>
          </cell>
          <cell r="I630" t="str">
            <v>LOT 200 STYX LA</v>
          </cell>
          <cell r="J630" t="str">
            <v>GLEN IRIS WA 6230</v>
          </cell>
          <cell r="K630" t="str">
            <v>0530107027</v>
          </cell>
        </row>
        <row r="631">
          <cell r="G631" t="str">
            <v>SPS ALDRIDGE RD BOORAGOON</v>
          </cell>
          <cell r="H631" t="str">
            <v>S0033581</v>
          </cell>
          <cell r="I631" t="str">
            <v>LOT 681 ALDRIDGE RD</v>
          </cell>
          <cell r="J631" t="str">
            <v>BRENTWOOD WA 6153</v>
          </cell>
          <cell r="K631" t="str">
            <v>450M22332</v>
          </cell>
        </row>
        <row r="632">
          <cell r="G632" t="str">
            <v>REPEATER SITE BABAKIN</v>
          </cell>
          <cell r="H632" t="str">
            <v>C0013698</v>
          </cell>
          <cell r="I632" t="str">
            <v>LOC 18919</v>
          </cell>
          <cell r="J632" t="str">
            <v>BABAKIN WA 6428</v>
          </cell>
          <cell r="K632" t="str">
            <v>15M77330</v>
          </cell>
        </row>
        <row r="633">
          <cell r="G633" t="str">
            <v>TANK GL1 BOREFIELD WSC MINGENEW</v>
          </cell>
          <cell r="H633" t="str">
            <v>W0042162</v>
          </cell>
          <cell r="I633" t="str">
            <v>LOC 6272 MINGENEW SOUTH RD</v>
          </cell>
          <cell r="J633" t="str">
            <v>MINGENEW WA 6522</v>
          </cell>
          <cell r="K633" t="str">
            <v>410M136480</v>
          </cell>
        </row>
        <row r="634">
          <cell r="G634" t="str">
            <v>SPS NORTH AV BULLSBROOK</v>
          </cell>
          <cell r="H634" t="str">
            <v>S0030250</v>
          </cell>
          <cell r="I634" t="str">
            <v>LOT 201 NORTH AVE</v>
          </cell>
          <cell r="J634" t="str">
            <v>BULLSBROOK WA 6084</v>
          </cell>
          <cell r="K634" t="str">
            <v>410M156825</v>
          </cell>
        </row>
        <row r="635">
          <cell r="G635" t="str">
            <v>WPS MINNIVALE</v>
          </cell>
          <cell r="H635" t="str">
            <v>W0019656</v>
          </cell>
          <cell r="I635" t="str">
            <v>LOCN 11205 AMERY-BENJABERRING RD</v>
          </cell>
          <cell r="J635" t="str">
            <v>MINNIVALE WA 6462</v>
          </cell>
          <cell r="K635" t="str">
            <v>0211001098</v>
          </cell>
        </row>
        <row r="636">
          <cell r="G636" t="str">
            <v>SPS GRAHAM RD QUINNS ROCKS</v>
          </cell>
          <cell r="H636" t="str">
            <v>S2023270</v>
          </cell>
          <cell r="I636" t="str">
            <v>LOT 542 GRAHAM RD</v>
          </cell>
          <cell r="J636" t="str">
            <v>QUINNS ROCK  WA  6030</v>
          </cell>
          <cell r="K636" t="str">
            <v>0348001060</v>
          </cell>
        </row>
        <row r="637">
          <cell r="G637" t="str">
            <v>CHEMICAL DOSING PLANT CARABOODA TANK</v>
          </cell>
          <cell r="H637" t="str">
            <v>W1023836</v>
          </cell>
          <cell r="I637" t="str">
            <v>46 GREENLEES WAY</v>
          </cell>
          <cell r="J637" t="str">
            <v>CARABOODA WA 6033</v>
          </cell>
          <cell r="K637" t="str">
            <v>0348000868</v>
          </cell>
        </row>
        <row r="638">
          <cell r="G638" t="str">
            <v>WELLARD &amp; GILMORE CVS</v>
          </cell>
          <cell r="H638" t="str">
            <v>W0013238</v>
          </cell>
          <cell r="I638" t="str">
            <v>WELLARD RD</v>
          </cell>
          <cell r="J638" t="str">
            <v>LEDA WA 6170</v>
          </cell>
          <cell r="K638" t="str">
            <v>000000000214002179</v>
          </cell>
        </row>
        <row r="639">
          <cell r="G639" t="str">
            <v>WPS VISSER ST COOLBELUP</v>
          </cell>
          <cell r="H639" t="str">
            <v>W0034852</v>
          </cell>
          <cell r="I639" t="str">
            <v>LOT 1 VISSER ST</v>
          </cell>
          <cell r="J639" t="str">
            <v>COOLBELLUP WA 6163</v>
          </cell>
          <cell r="K639" t="str">
            <v>0211000384</v>
          </cell>
        </row>
        <row r="640">
          <cell r="G640" t="str">
            <v>SPS TPS13 GLENFIELD</v>
          </cell>
          <cell r="H640" t="str">
            <v>S0037878</v>
          </cell>
          <cell r="I640" t="str">
            <v>LOT 22 GLENFIELD BEACH DR</v>
          </cell>
          <cell r="J640" t="str">
            <v>DRUMMOND COVE WA 6532</v>
          </cell>
          <cell r="K640" t="str">
            <v>0180010002</v>
          </cell>
        </row>
        <row r="641">
          <cell r="G641" t="str">
            <v>WWTP KALBARRI</v>
          </cell>
          <cell r="H641" t="str">
            <v>S068-001-003</v>
          </cell>
          <cell r="I641" t="str">
            <v>LOT 11322 ATKINSON CR</v>
          </cell>
          <cell r="J641" t="str">
            <v>KALBARRI  WA  6536</v>
          </cell>
          <cell r="K641" t="str">
            <v>0348001721</v>
          </cell>
        </row>
        <row r="642">
          <cell r="G642" t="str">
            <v>WPS BEELA RD BRUNSWICK TRANSFER</v>
          </cell>
          <cell r="H642" t="str">
            <v>W0045455</v>
          </cell>
          <cell r="I642" t="str">
            <v>BEELA RD</v>
          </cell>
          <cell r="J642" t="str">
            <v>BRUNSWICK WA 6224</v>
          </cell>
          <cell r="K642" t="str">
            <v>0211001045</v>
          </cell>
        </row>
        <row r="643">
          <cell r="G643" t="str">
            <v>SPS 3 BARR ST MERREDIN</v>
          </cell>
          <cell r="H643" t="str">
            <v>S0016376</v>
          </cell>
          <cell r="I643" t="str">
            <v>FIFTH ST</v>
          </cell>
          <cell r="J643" t="str">
            <v>MERREDIN WA 6415</v>
          </cell>
          <cell r="K643" t="str">
            <v>410M154597</v>
          </cell>
        </row>
        <row r="644">
          <cell r="G644" t="str">
            <v>SPS RHODES CR CALISTA</v>
          </cell>
          <cell r="H644" t="str">
            <v>S2018475</v>
          </cell>
          <cell r="I644" t="str">
            <v>LOT 300 RHODES CRES</v>
          </cell>
          <cell r="J644" t="str">
            <v>CALISTA WA 6167</v>
          </cell>
          <cell r="K644" t="str">
            <v>0348001285</v>
          </cell>
        </row>
        <row r="645">
          <cell r="G645"/>
          <cell r="H645" t="e">
            <v>#N/A</v>
          </cell>
          <cell r="I645" t="str">
            <v>68 WYLIE CRES</v>
          </cell>
          <cell r="J645" t="str">
            <v>MIDDLETON BEACH WA 6330</v>
          </cell>
          <cell r="K645" t="str">
            <v>0200045961</v>
          </cell>
        </row>
        <row r="646">
          <cell r="G646" t="str">
            <v>BEENYUP WASTEWATER TREATMENT PLANT</v>
          </cell>
          <cell r="H646" t="str">
            <v>S001-001-003</v>
          </cell>
          <cell r="I646" t="str">
            <v>LOT 8278/922 OCEAN REEF RD</v>
          </cell>
          <cell r="J646" t="str">
            <v>BELDON WA 6027</v>
          </cell>
          <cell r="K646" t="str">
            <v>0221000156</v>
          </cell>
        </row>
        <row r="647">
          <cell r="G647" t="str">
            <v>SPS SIMON ST WEST BUSSELTON</v>
          </cell>
          <cell r="H647" t="str">
            <v>S8000696</v>
          </cell>
          <cell r="I647" t="str">
            <v>SIMON ST</v>
          </cell>
          <cell r="J647" t="str">
            <v>BUSSELTON WA 6280</v>
          </cell>
          <cell r="K647" t="str">
            <v>410M200584</v>
          </cell>
        </row>
        <row r="648">
          <cell r="G648" t="str">
            <v>DPS CHARLWOOD WY MORLEY</v>
          </cell>
          <cell r="H648" t="str">
            <v>D0036092</v>
          </cell>
          <cell r="I648" t="str">
            <v>LOT 8000 CHARLWOOD WAY</v>
          </cell>
          <cell r="J648" t="str">
            <v>MORLEY WA 6062</v>
          </cell>
          <cell r="K648" t="str">
            <v>410L12973</v>
          </cell>
        </row>
        <row r="649">
          <cell r="G649" t="str">
            <v>COMMON FACILITIES ALBANY</v>
          </cell>
          <cell r="H649" t="str">
            <v>C003-001</v>
          </cell>
          <cell r="I649" t="str">
            <v>KELLY ST</v>
          </cell>
          <cell r="J649" t="str">
            <v>ORANA WA 6330</v>
          </cell>
          <cell r="K649" t="str">
            <v>0136004670</v>
          </cell>
        </row>
        <row r="650">
          <cell r="G650" t="str">
            <v>WSC BROWN LANE WHITE PEAK</v>
          </cell>
          <cell r="H650" t="str">
            <v>W0039714</v>
          </cell>
          <cell r="I650" t="str">
            <v>LOT 15 BROWN LANE</v>
          </cell>
          <cell r="J650" t="str">
            <v>WHITE PEAK WA 6532</v>
          </cell>
          <cell r="K650" t="str">
            <v>0200398340</v>
          </cell>
        </row>
        <row r="651">
          <cell r="G651" t="str">
            <v>SPS PARK ST HENLEY BROOK</v>
          </cell>
          <cell r="H651" t="str">
            <v>S2030759</v>
          </cell>
          <cell r="I651" t="str">
            <v>LOT 9202 PARK ST</v>
          </cell>
          <cell r="J651" t="str">
            <v>BRABHAM WA 6055</v>
          </cell>
          <cell r="K651" t="str">
            <v>0530127377</v>
          </cell>
        </row>
        <row r="652">
          <cell r="G652" t="str">
            <v>CATHODIC PROTECTION CANNING TM</v>
          </cell>
          <cell r="H652" t="str">
            <v>W0011595</v>
          </cell>
          <cell r="I652" t="str">
            <v>125 SEVENOAKS ST</v>
          </cell>
          <cell r="J652" t="str">
            <v>CANNINGTON WA 6107</v>
          </cell>
          <cell r="K652" t="str">
            <v>0200207096</v>
          </cell>
        </row>
        <row r="653">
          <cell r="G653" t="str">
            <v>SPS CLARK ST EMU POINT</v>
          </cell>
          <cell r="H653" t="str">
            <v>S0022349</v>
          </cell>
          <cell r="I653" t="str">
            <v>LOT 248 CLARK ST</v>
          </cell>
          <cell r="J653" t="str">
            <v>EMU POINT WA 6330</v>
          </cell>
          <cell r="K653" t="str">
            <v>410M183501</v>
          </cell>
        </row>
        <row r="654">
          <cell r="G654" t="str">
            <v>OFFICE LEASE _ Trinity House</v>
          </cell>
          <cell r="H654" t="e">
            <v>#N/A</v>
          </cell>
          <cell r="I654" t="str">
            <v>U1, 632 NEWCASTLE ST</v>
          </cell>
          <cell r="J654" t="str">
            <v>LEEDERVILLE WA 6007</v>
          </cell>
          <cell r="K654" t="str">
            <v>0530127376</v>
          </cell>
        </row>
        <row r="655">
          <cell r="G655" t="str">
            <v>SPS MANGLES ST SOUTH BUNBURY</v>
          </cell>
          <cell r="H655" t="str">
            <v>S8000449</v>
          </cell>
          <cell r="I655" t="str">
            <v>LOT 629 MANGLES ST</v>
          </cell>
          <cell r="J655" t="str">
            <v>BUNBURY WA 6230</v>
          </cell>
          <cell r="K655" t="str">
            <v>410M198316</v>
          </cell>
        </row>
        <row r="656">
          <cell r="G656" t="str">
            <v>OBS BORE J105 (3/02)</v>
          </cell>
          <cell r="H656" t="str">
            <v>W1001489</v>
          </cell>
          <cell r="I656" t="str">
            <v>LOT 105J WARTON RD</v>
          </cell>
          <cell r="J656" t="str">
            <v>BANJUP WA 6164</v>
          </cell>
          <cell r="K656" t="str">
            <v>0136005710</v>
          </cell>
        </row>
        <row r="657">
          <cell r="G657" t="str">
            <v>SPS MACEY CL RIVERVALE</v>
          </cell>
          <cell r="H657" t="str">
            <v>S0034039</v>
          </cell>
          <cell r="I657" t="str">
            <v>U43 FITZROY RD</v>
          </cell>
          <cell r="J657" t="str">
            <v>RIVERVALE WA 6103</v>
          </cell>
          <cell r="K657" t="str">
            <v>002101625</v>
          </cell>
        </row>
        <row r="658">
          <cell r="G658" t="str">
            <v>WPS WAVE ROCK HYDEN</v>
          </cell>
          <cell r="H658" t="str">
            <v>W051-002-001</v>
          </cell>
          <cell r="I658" t="str">
            <v>115 WAVE ROCK RD</v>
          </cell>
          <cell r="J658" t="str">
            <v>HYDEN WA 6359</v>
          </cell>
          <cell r="K658" t="str">
            <v>000000000348001219</v>
          </cell>
        </row>
        <row r="659">
          <cell r="G659" t="str">
            <v>SPS BURT ST QUINNS ROCKS</v>
          </cell>
          <cell r="H659" t="str">
            <v>S2023269</v>
          </cell>
          <cell r="I659" t="str">
            <v>UNIT 5 HOUSE 13, LOT 67 BURT ST</v>
          </cell>
          <cell r="J659" t="str">
            <v>QUINNS ROCKS  WA  6030</v>
          </cell>
          <cell r="K659" t="str">
            <v>0530129190</v>
          </cell>
        </row>
        <row r="660">
          <cell r="G660" t="str">
            <v>CDP WIRRING RD COWARAMUP</v>
          </cell>
          <cell r="H660" t="str">
            <v>W8001388</v>
          </cell>
          <cell r="I660" t="str">
            <v>LOT 1584 WIRRING RD</v>
          </cell>
          <cell r="J660" t="str">
            <v>BRAMLEY WA 6285</v>
          </cell>
          <cell r="K660" t="str">
            <v>002100084</v>
          </cell>
        </row>
        <row r="661">
          <cell r="G661" t="str">
            <v>BORE SITE W270</v>
          </cell>
          <cell r="H661" t="str">
            <v>W1001581</v>
          </cell>
          <cell r="I661" t="str">
            <v>LOT 270W TOWNSEND RD</v>
          </cell>
          <cell r="J661" t="str">
            <v>JANDABUP WA 6065</v>
          </cell>
          <cell r="K661" t="str">
            <v>0248000104</v>
          </cell>
        </row>
        <row r="662">
          <cell r="G662" t="str">
            <v>NEERABUP TRANSFER PUMP STATION</v>
          </cell>
          <cell r="H662" t="str">
            <v>W0059650</v>
          </cell>
          <cell r="I662" t="str">
            <v>LOT 9 DROVERS PL</v>
          </cell>
          <cell r="J662" t="str">
            <v>WANNEROO WA 6065</v>
          </cell>
          <cell r="K662" t="str">
            <v>0204000159</v>
          </cell>
        </row>
        <row r="663">
          <cell r="G663"/>
          <cell r="H663" t="e">
            <v>#N/A</v>
          </cell>
          <cell r="I663" t="str">
            <v>19 WYBORN ST</v>
          </cell>
          <cell r="J663" t="str">
            <v>YORK WA 6302</v>
          </cell>
          <cell r="K663" t="str">
            <v>410M23086</v>
          </cell>
        </row>
        <row r="664">
          <cell r="G664"/>
          <cell r="H664" t="e">
            <v>#N/A</v>
          </cell>
          <cell r="I664" t="str">
            <v>U17 17 CARR ST</v>
          </cell>
          <cell r="J664" t="str">
            <v>WEST PERTH WA 6005</v>
          </cell>
          <cell r="K664" t="str">
            <v>0200018461</v>
          </cell>
        </row>
        <row r="665">
          <cell r="G665" t="str">
            <v>SPS ELVIRE ST VIVEASH</v>
          </cell>
          <cell r="H665" t="str">
            <v>S0028975</v>
          </cell>
          <cell r="I665" t="str">
            <v>14 ELVIRE ST</v>
          </cell>
          <cell r="J665" t="str">
            <v>MIDLAND WA 6056</v>
          </cell>
          <cell r="K665" t="str">
            <v>450M22323</v>
          </cell>
        </row>
        <row r="666">
          <cell r="G666"/>
          <cell r="H666" t="e">
            <v>#N/A</v>
          </cell>
          <cell r="I666" t="str">
            <v>LOT 148 STRUGNELL ST</v>
          </cell>
          <cell r="J666" t="str">
            <v>MUKINBUDIN WA 6479</v>
          </cell>
          <cell r="K666" t="str">
            <v>002100130</v>
          </cell>
        </row>
        <row r="667">
          <cell r="G667" t="str">
            <v>SPS WILDERNESS DR STH DAWESVILLE</v>
          </cell>
          <cell r="H667" t="str">
            <v>S8000460</v>
          </cell>
          <cell r="I667" t="str">
            <v>14 WILDERNESS DR</v>
          </cell>
          <cell r="J667" t="str">
            <v>DAWESVILLE WA 6211</v>
          </cell>
          <cell r="K667" t="str">
            <v>0148005613</v>
          </cell>
        </row>
        <row r="668">
          <cell r="G668" t="str">
            <v>CP ZONE 1 GIBBINGS RD STIRLING DUPLICATE</v>
          </cell>
          <cell r="H668" t="str">
            <v>W1024255</v>
          </cell>
          <cell r="I668" t="str">
            <v>UNIT 43, LOT 329 JOHNSTON RD</v>
          </cell>
          <cell r="J668" t="str">
            <v>YARLOOP WA 6218</v>
          </cell>
          <cell r="K668" t="str">
            <v>0249000466</v>
          </cell>
        </row>
        <row r="669">
          <cell r="G669" t="str">
            <v>CP ZONE 2 MCCLURE RD STIRLING DUPLICATE</v>
          </cell>
          <cell r="H669" t="str">
            <v>W1024256</v>
          </cell>
          <cell r="I669" t="str">
            <v>UNIT 43, LOT 72 MCCLURE RD</v>
          </cell>
          <cell r="J669" t="str">
            <v>HAMEL WA 6215</v>
          </cell>
          <cell r="K669" t="str">
            <v>0249000467</v>
          </cell>
        </row>
        <row r="670">
          <cell r="G670" t="str">
            <v>CP ZONE 3 JOHNSTON RD STIRLING DUPLICATE</v>
          </cell>
          <cell r="H670" t="str">
            <v>W1024257</v>
          </cell>
          <cell r="I670" t="str">
            <v>UNIT 43, LOT 629 ROBINSON RD</v>
          </cell>
          <cell r="J670" t="str">
            <v>COOLUP WA 6214</v>
          </cell>
          <cell r="K670" t="str">
            <v>0249000468</v>
          </cell>
        </row>
        <row r="671">
          <cell r="G671" t="str">
            <v>WPS BAKERS HILL</v>
          </cell>
          <cell r="H671" t="str">
            <v>W0018863</v>
          </cell>
          <cell r="I671" t="str">
            <v>ASHMAN RD</v>
          </cell>
          <cell r="J671" t="str">
            <v>BAKERS HILL WA 6562</v>
          </cell>
          <cell r="K671" t="str">
            <v>450M9787</v>
          </cell>
        </row>
        <row r="672">
          <cell r="G672" t="str">
            <v>DPS CARINE CARINE</v>
          </cell>
          <cell r="H672" t="str">
            <v>D0036145</v>
          </cell>
          <cell r="I672" t="str">
            <v>OKELY RD</v>
          </cell>
          <cell r="J672" t="str">
            <v>CARINE WA 6020</v>
          </cell>
          <cell r="K672" t="str">
            <v>4300AM418</v>
          </cell>
        </row>
        <row r="673">
          <cell r="G673" t="str">
            <v>WPS QUEDJINUP DR QUEDJINUP</v>
          </cell>
          <cell r="H673" t="str">
            <v>W8011131</v>
          </cell>
          <cell r="I673" t="str">
            <v>LOT 8002 QUEDJINUP DRIVE</v>
          </cell>
          <cell r="J673" t="str">
            <v>QUEDJINUP 6281</v>
          </cell>
          <cell r="K673" t="str">
            <v>0530110471</v>
          </cell>
        </row>
        <row r="674">
          <cell r="G674" t="str">
            <v>Temp office supply</v>
          </cell>
          <cell r="H674" t="e">
            <v>#N/A</v>
          </cell>
          <cell r="I674" t="str">
            <v>LOT 153 ROSA BROOK RD</v>
          </cell>
          <cell r="J674" t="str">
            <v>MARGARET RIVER WA  6285</v>
          </cell>
          <cell r="K674" t="str">
            <v>0530117468</v>
          </cell>
        </row>
        <row r="675">
          <cell r="G675" t="str">
            <v>SPS LLOYD ST NTH MIDDLE SWAN</v>
          </cell>
          <cell r="H675" t="str">
            <v>S0029002</v>
          </cell>
          <cell r="I675" t="str">
            <v>LLOYD ST</v>
          </cell>
          <cell r="J675" t="str">
            <v>MIDLAND WA 6056</v>
          </cell>
          <cell r="K675" t="str">
            <v>0148004156</v>
          </cell>
        </row>
        <row r="676">
          <cell r="G676" t="str">
            <v>BALANNUP WWPS 175-03</v>
          </cell>
          <cell r="I676" t="str">
            <v>LOT 8004 BALFOUR ST</v>
          </cell>
          <cell r="J676" t="str">
            <v>SOUTHERN RIVER WA 6110</v>
          </cell>
          <cell r="K676" t="str">
            <v>0348001619</v>
          </cell>
        </row>
        <row r="677">
          <cell r="G677" t="str">
            <v>SPS PECKHAM BVD BALDIVIS</v>
          </cell>
          <cell r="H677" t="str">
            <v>S2032781</v>
          </cell>
          <cell r="I677" t="str">
            <v>U46 LOT 9002 EIGHTY RD</v>
          </cell>
          <cell r="J677" t="str">
            <v>BALDIVIS WA 6171</v>
          </cell>
          <cell r="K677" t="str">
            <v>0530127376</v>
          </cell>
        </row>
        <row r="678">
          <cell r="G678" t="str">
            <v>WPS WADDERIN DAM</v>
          </cell>
          <cell r="H678" t="str">
            <v>W0020490</v>
          </cell>
          <cell r="I678" t="str">
            <v>LOCN 18145 CUSACK DR</v>
          </cell>
          <cell r="J678" t="str">
            <v>WADDERIN WA 6369</v>
          </cell>
          <cell r="K678" t="str">
            <v>0148005761</v>
          </cell>
        </row>
        <row r="679">
          <cell r="G679" t="str">
            <v>SPS HASSELL CR BULL CREEK</v>
          </cell>
          <cell r="H679" t="str">
            <v>S0033714</v>
          </cell>
          <cell r="I679" t="str">
            <v>10 HASSELL CRES</v>
          </cell>
          <cell r="J679" t="str">
            <v>BULL CREEK WA 6149</v>
          </cell>
          <cell r="K679" t="str">
            <v>410L21637</v>
          </cell>
        </row>
        <row r="680">
          <cell r="G680" t="str">
            <v>PUMPSET POTABLE WATER WPS BINDULI</v>
          </cell>
          <cell r="H680" t="str">
            <v>W5173360</v>
          </cell>
          <cell r="I680" t="str">
            <v>JOHNS RD</v>
          </cell>
          <cell r="J680" t="str">
            <v>BOULDER WA 6432</v>
          </cell>
          <cell r="K680" t="str">
            <v>MCO6018</v>
          </cell>
        </row>
        <row r="681">
          <cell r="G681" t="str">
            <v>SPS DRIVER RD DARCH</v>
          </cell>
          <cell r="H681" t="str">
            <v>S2005320</v>
          </cell>
          <cell r="I681" t="str">
            <v>31 DRIVER RD</v>
          </cell>
          <cell r="J681" t="str">
            <v>DARCH WA 6065</v>
          </cell>
          <cell r="K681" t="str">
            <v>0148006375</v>
          </cell>
        </row>
        <row r="682">
          <cell r="G682" t="str">
            <v>BEENYUP OCEAN OUTFALL BEENYUP WWTP</v>
          </cell>
          <cell r="H682" t="str">
            <v>S1002377</v>
          </cell>
          <cell r="I682" t="str">
            <v>UNIT 42 LOT 0 BOAT HARBOUR QYS</v>
          </cell>
          <cell r="J682" t="str">
            <v>OCEAN REEF WA 6027</v>
          </cell>
          <cell r="K682" t="str">
            <v>0200200291</v>
          </cell>
        </row>
        <row r="683">
          <cell r="G683" t="str">
            <v>BORE SITE L710</v>
          </cell>
          <cell r="H683" t="str">
            <v>W1001419</v>
          </cell>
          <cell r="I683" t="str">
            <v>LOT 710L KRAKE RD</v>
          </cell>
          <cell r="J683" t="str">
            <v>BULLSBROOK WA 6084</v>
          </cell>
          <cell r="K683" t="str">
            <v>001300619</v>
          </cell>
        </row>
        <row r="684">
          <cell r="G684"/>
          <cell r="H684" t="e">
            <v>#N/A</v>
          </cell>
          <cell r="I684" t="str">
            <v>RAILWAY ST</v>
          </cell>
          <cell r="J684" t="str">
            <v>KOORDA WA 6475</v>
          </cell>
          <cell r="K684" t="str">
            <v>0350009312</v>
          </cell>
        </row>
        <row r="685">
          <cell r="G685" t="str">
            <v>WPS SOUTH COAST HWY DENMARK</v>
          </cell>
          <cell r="H685" t="str">
            <v>W7000025</v>
          </cell>
          <cell r="I685" t="str">
            <v>LOT 19 SOUTH COAST HWY</v>
          </cell>
          <cell r="J685" t="str">
            <v>DENMARK WA 6333</v>
          </cell>
          <cell r="K685" t="str">
            <v>410M189458</v>
          </cell>
        </row>
        <row r="686">
          <cell r="G686" t="str">
            <v>SPS ECCLESTONE ST CAREY PARK</v>
          </cell>
          <cell r="H686" t="str">
            <v>S0044051</v>
          </cell>
          <cell r="I686" t="str">
            <v>LOC 450 ECCLESTONE ST</v>
          </cell>
          <cell r="J686" t="str">
            <v>BUNBURY WA 6230</v>
          </cell>
          <cell r="K686" t="str">
            <v>0350301049</v>
          </cell>
        </row>
        <row r="687">
          <cell r="G687" t="str">
            <v>SPS BODDINGTON ST WAGIN</v>
          </cell>
          <cell r="H687" t="str">
            <v>S031-002-004</v>
          </cell>
          <cell r="I687" t="str">
            <v>LOT 6 BODDINGTON ST</v>
          </cell>
          <cell r="J687" t="str">
            <v>WAGIN WA 6315</v>
          </cell>
          <cell r="K687" t="str">
            <v>410M173753</v>
          </cell>
        </row>
        <row r="688">
          <cell r="G688" t="str">
            <v>SPS MURRAY BEND DR RAVENSWOOD</v>
          </cell>
          <cell r="H688" t="str">
            <v>S2033374</v>
          </cell>
          <cell r="I688" t="str">
            <v>UNIT A LOT 333 ADAM RD</v>
          </cell>
          <cell r="J688" t="str">
            <v>RAVENSWOOD WA 6208</v>
          </cell>
          <cell r="K688" t="str">
            <v>0530129189</v>
          </cell>
        </row>
        <row r="689">
          <cell r="G689" t="str">
            <v>HAWLEY PWY,CAPEL</v>
          </cell>
          <cell r="H689" t="str">
            <v>SA101719</v>
          </cell>
          <cell r="I689" t="str">
            <v>LOT 253 HAWLEY PKWY</v>
          </cell>
          <cell r="J689" t="str">
            <v>CAPEL WA 6271</v>
          </cell>
          <cell r="K689" t="str">
            <v>0350026754</v>
          </cell>
        </row>
        <row r="690">
          <cell r="G690" t="str">
            <v>CHL SYS NABAWA</v>
          </cell>
          <cell r="H690" t="str">
            <v>W4001907</v>
          </cell>
          <cell r="I690" t="str">
            <v>LOT 35008 YUNA RD SOUTH</v>
          </cell>
          <cell r="J690" t="str">
            <v>NABAWA WA 6532</v>
          </cell>
          <cell r="K690" t="str">
            <v>15D020982</v>
          </cell>
        </row>
        <row r="691">
          <cell r="G691" t="str">
            <v>SPS ELANORA DR COOLOONGUP</v>
          </cell>
          <cell r="H691" t="str">
            <v>S0030419</v>
          </cell>
          <cell r="I691" t="str">
            <v>U43 LOT 4 ELANORA DR</v>
          </cell>
          <cell r="J691" t="str">
            <v>CO0LOONGUP WA 6168</v>
          </cell>
          <cell r="K691" t="str">
            <v>0148006207</v>
          </cell>
        </row>
        <row r="692">
          <cell r="G692" t="str">
            <v>CP SYSTEM XING CHIDLOW MAIN CONDUIT</v>
          </cell>
          <cell r="H692" t="str">
            <v>W5015711</v>
          </cell>
          <cell r="I692" t="str">
            <v>LOT 348 RESERVOIR ST</v>
          </cell>
          <cell r="J692" t="str">
            <v>CHIDLOW WA 6556</v>
          </cell>
          <cell r="K692" t="str">
            <v>410M74086</v>
          </cell>
        </row>
        <row r="693">
          <cell r="G693" t="str">
            <v>SPS SHIRLEY ST LOWER KING</v>
          </cell>
          <cell r="H693" t="str">
            <v>S7010655</v>
          </cell>
          <cell r="I693" t="str">
            <v>LOT 15 SHIRLEY ST</v>
          </cell>
          <cell r="J693" t="str">
            <v>LOWER KING WA 6330</v>
          </cell>
          <cell r="K693" t="str">
            <v>0348001841</v>
          </cell>
        </row>
        <row r="694">
          <cell r="G694" t="str">
            <v>SPS EVELINE RD MIDDLE SWAN</v>
          </cell>
          <cell r="H694" t="str">
            <v>S2003198</v>
          </cell>
          <cell r="I694" t="str">
            <v>U1 LOT 10266 EVELINE RD</v>
          </cell>
          <cell r="J694" t="str">
            <v>MIDDLE SWAN WA 6056</v>
          </cell>
          <cell r="K694" t="str">
            <v>450M22326</v>
          </cell>
        </row>
        <row r="695">
          <cell r="G695" t="str">
            <v>WPS PERENJORI BOOSTER</v>
          </cell>
          <cell r="H695" t="str">
            <v>W0040123</v>
          </cell>
          <cell r="I695" t="str">
            <v>U53 LOT 1 MULLEWA-WUBIN RD</v>
          </cell>
          <cell r="J695" t="str">
            <v>MORAWA WA 6623</v>
          </cell>
          <cell r="K695" t="str">
            <v>002100136</v>
          </cell>
        </row>
        <row r="696">
          <cell r="G696" t="str">
            <v>SPS REUSE WWTP KATANNING</v>
          </cell>
          <cell r="H696" t="str">
            <v>S7003452</v>
          </cell>
          <cell r="I696" t="str">
            <v>LOT 1068 ROUND DR</v>
          </cell>
          <cell r="J696" t="str">
            <v>KATANNING WA 6317</v>
          </cell>
          <cell r="K696" t="str">
            <v>0530128116</v>
          </cell>
        </row>
        <row r="697">
          <cell r="G697"/>
          <cell r="H697" t="e">
            <v>#N/A</v>
          </cell>
          <cell r="I697" t="str">
            <v>U21/5 GREAT EASTERN HWY</v>
          </cell>
          <cell r="J697" t="str">
            <v>SOMERVILLE WA 6430</v>
          </cell>
          <cell r="K697" t="str">
            <v>0200348557</v>
          </cell>
        </row>
        <row r="698">
          <cell r="G698"/>
          <cell r="H698" t="e">
            <v>#N/A</v>
          </cell>
          <cell r="I698" t="str">
            <v>10 TAYLOR ST</v>
          </cell>
          <cell r="J698" t="str">
            <v>NORTHAM WA 6401</v>
          </cell>
          <cell r="K698" t="str">
            <v>410AM40073</v>
          </cell>
        </row>
        <row r="699">
          <cell r="G699" t="str">
            <v>WWTP CREMASCO RD TAMBELLUP</v>
          </cell>
          <cell r="H699" t="str">
            <v>S113-003-001</v>
          </cell>
          <cell r="I699" t="str">
            <v>LOT 0 GNOWANGERUP-TAMBELLUP RD</v>
          </cell>
          <cell r="J699" t="str">
            <v>BOBALONG  WA 6320</v>
          </cell>
          <cell r="K699" t="str">
            <v>0530128113</v>
          </cell>
        </row>
        <row r="700">
          <cell r="G700" t="str">
            <v>SPS CLEMATIS ST UTAKARRA</v>
          </cell>
          <cell r="H700" t="str">
            <v>S0037803</v>
          </cell>
          <cell r="I700" t="str">
            <v>CLEMATIS ST</v>
          </cell>
          <cell r="J700" t="str">
            <v>RANGEWAY WA 6530</v>
          </cell>
          <cell r="K700" t="str">
            <v>0136002321</v>
          </cell>
        </row>
        <row r="701">
          <cell r="G701" t="str">
            <v>BBB Accommodation</v>
          </cell>
          <cell r="H701" t="e">
            <v>#N/A</v>
          </cell>
          <cell r="I701" t="str">
            <v>U8 2 OCHILTREE ST</v>
          </cell>
          <cell r="J701" t="str">
            <v>KALGOORLIE WA 6430</v>
          </cell>
          <cell r="K701" t="e">
            <v>#N/A</v>
          </cell>
        </row>
        <row r="702">
          <cell r="G702" t="str">
            <v>WPS BOOSTER WEST BANK RD GREENOUGH</v>
          </cell>
          <cell r="H702" t="str">
            <v>W4000904</v>
          </cell>
          <cell r="I702" t="str">
            <v>CROWTHER ST</v>
          </cell>
          <cell r="J702" t="str">
            <v>GERALDTON WA 6530</v>
          </cell>
          <cell r="K702" t="str">
            <v>210M38063</v>
          </cell>
        </row>
        <row r="703">
          <cell r="G703" t="str">
            <v>SPS BLACKWOOD AVE AUGUSTA</v>
          </cell>
          <cell r="H703" t="str">
            <v>S0043904</v>
          </cell>
          <cell r="I703" t="str">
            <v>LOC 21564 BLACKWOOD AVE</v>
          </cell>
          <cell r="J703" t="str">
            <v>AUGUSTA WA 6290</v>
          </cell>
          <cell r="K703" t="str">
            <v>410M157926</v>
          </cell>
        </row>
        <row r="704">
          <cell r="G704" t="str">
            <v>SPS HOMESTEAD RD GOSNELLS</v>
          </cell>
          <cell r="H704" t="str">
            <v>S0033431</v>
          </cell>
          <cell r="I704" t="str">
            <v>U4 /9 HOMESTEAD RD</v>
          </cell>
          <cell r="J704" t="str">
            <v>GOSNELLS WA 6110</v>
          </cell>
          <cell r="K704" t="str">
            <v>0148001609</v>
          </cell>
        </row>
        <row r="705">
          <cell r="G705" t="str">
            <v>BBB Accommodation</v>
          </cell>
          <cell r="H705" t="e">
            <v>#N/A</v>
          </cell>
          <cell r="I705" t="str">
            <v>6 LEFROY ST</v>
          </cell>
          <cell r="J705" t="str">
            <v>MOORA WA 6510</v>
          </cell>
          <cell r="K705" t="str">
            <v>410M59210</v>
          </cell>
        </row>
        <row r="706">
          <cell r="G706" t="str">
            <v>WWTP WICKHAM</v>
          </cell>
          <cell r="H706" t="str">
            <v>S042-005-003</v>
          </cell>
          <cell r="I706" t="str">
            <v>1 STURT PEA RD</v>
          </cell>
          <cell r="J706" t="str">
            <v>WICKHAM WA 6720</v>
          </cell>
          <cell r="K706" t="str">
            <v>SUB METER 3</v>
          </cell>
        </row>
        <row r="707">
          <cell r="G707" t="str">
            <v>SPS SPINDRIFT COVE QUINDALUP</v>
          </cell>
          <cell r="H707" t="str">
            <v>S0044484</v>
          </cell>
          <cell r="I707" t="str">
            <v>LOT 26 SPINDRIFT COVE</v>
          </cell>
          <cell r="J707" t="str">
            <v>QUINDALUP WA 6281</v>
          </cell>
          <cell r="K707" t="str">
            <v>410M138674</v>
          </cell>
        </row>
        <row r="708">
          <cell r="G708" t="str">
            <v>PUMP UNIT RAILWAY MAIN SOUTH COAST</v>
          </cell>
          <cell r="H708" t="str">
            <v>W7002398</v>
          </cell>
          <cell r="I708" t="str">
            <v>FESTING ST</v>
          </cell>
          <cell r="J708" t="str">
            <v>MOUNT MELVILLE WA 6330</v>
          </cell>
          <cell r="K708" t="str">
            <v>0200302568</v>
          </cell>
        </row>
        <row r="709">
          <cell r="G709" t="str">
            <v>WPS GREAT NORTHERN HWY UPPER SWAN</v>
          </cell>
          <cell r="H709" t="str">
            <v>W0035353</v>
          </cell>
          <cell r="I709" t="str">
            <v>GREAT NORTHERN HWY</v>
          </cell>
          <cell r="J709" t="str">
            <v>UPPER SWAN WA 6069</v>
          </cell>
          <cell r="K709" t="str">
            <v>0148003874</v>
          </cell>
        </row>
        <row r="710">
          <cell r="G710"/>
          <cell r="H710" t="e">
            <v>#N/A</v>
          </cell>
          <cell r="I710" t="str">
            <v>LOT 501 CHESTERFIELD RD</v>
          </cell>
          <cell r="J710" t="str">
            <v>EAST ROCKINGHAM WA 6168</v>
          </cell>
          <cell r="K710">
            <v>214003113</v>
          </cell>
        </row>
        <row r="711">
          <cell r="G711" t="str">
            <v>SPS DUBS CL FORRESTFIELD</v>
          </cell>
          <cell r="H711" t="str">
            <v>S0032970</v>
          </cell>
          <cell r="I711" t="str">
            <v>LOT 1 DUBS CL</v>
          </cell>
          <cell r="J711" t="str">
            <v>FORRESTFIELD WA 6058</v>
          </cell>
          <cell r="K711" t="str">
            <v>0081000101</v>
          </cell>
        </row>
        <row r="712">
          <cell r="G712" t="str">
            <v>COMP BASIN BARTRAM RD BEELIAR</v>
          </cell>
          <cell r="H712" t="str">
            <v>D0036701</v>
          </cell>
          <cell r="I712" t="str">
            <v>LOT 240 JUBILEE AVE</v>
          </cell>
          <cell r="J712" t="str">
            <v>SUCCESS WA 6164</v>
          </cell>
          <cell r="K712" t="str">
            <v>15M213358</v>
          </cell>
        </row>
        <row r="713">
          <cell r="G713" t="str">
            <v>WPS WS13E5 KARLGARIN RD STH KARLGARIN</v>
          </cell>
          <cell r="H713" t="str">
            <v>W7000646</v>
          </cell>
          <cell r="I713" t="str">
            <v>LOT 2 PEDERAH ROAD EAST</v>
          </cell>
          <cell r="J713" t="str">
            <v>KARLGARIN WA 6358</v>
          </cell>
          <cell r="K713" t="str">
            <v>15D018229</v>
          </cell>
        </row>
        <row r="714">
          <cell r="G714" t="str">
            <v>SPS LYNCH ST HYDEN</v>
          </cell>
          <cell r="H714" t="str">
            <v>S7014338</v>
          </cell>
          <cell r="I714" t="str">
            <v>LOT 29 LYNCH STREET</v>
          </cell>
          <cell r="J714" t="str">
            <v>HYDEN WA 6359</v>
          </cell>
          <cell r="K714" t="str">
            <v>034002392</v>
          </cell>
        </row>
        <row r="715">
          <cell r="G715" t="str">
            <v>SPS HACKETT DR CRAWLEY</v>
          </cell>
          <cell r="H715" t="str">
            <v>S0032256</v>
          </cell>
          <cell r="I715" t="str">
            <v>LOT 2885 CRAWLEY AVE</v>
          </cell>
          <cell r="J715" t="str">
            <v>CRAWLEY WA 6009</v>
          </cell>
          <cell r="K715" t="str">
            <v>0148001667</v>
          </cell>
        </row>
        <row r="716">
          <cell r="G716" t="str">
            <v>BORE SITE J130</v>
          </cell>
          <cell r="H716" t="str">
            <v>W1001455</v>
          </cell>
          <cell r="I716" t="str">
            <v>U41 LOT 130 ACOURT RD</v>
          </cell>
          <cell r="J716" t="str">
            <v>JANDAKOT  WA  6164</v>
          </cell>
          <cell r="K716" t="str">
            <v>0148004327</v>
          </cell>
        </row>
        <row r="717">
          <cell r="G717" t="str">
            <v>SPS MILES RD KEWDALE</v>
          </cell>
          <cell r="H717" t="str">
            <v>S0033054</v>
          </cell>
          <cell r="I717" t="str">
            <v>LOT 1 KEWDALE RD</v>
          </cell>
          <cell r="J717" t="str">
            <v>KEWDALE WA 6105</v>
          </cell>
          <cell r="K717" t="str">
            <v>410M55695</v>
          </cell>
        </row>
        <row r="718">
          <cell r="G718" t="str">
            <v>SPS STRADBROKE GDNS RIDGEWOOD</v>
          </cell>
          <cell r="H718" t="str">
            <v>S0029141</v>
          </cell>
          <cell r="I718" t="str">
            <v>QUINNS RD</v>
          </cell>
          <cell r="J718" t="str">
            <v>MERRIWA WA 6030</v>
          </cell>
          <cell r="K718" t="str">
            <v>410M155652</v>
          </cell>
        </row>
        <row r="719">
          <cell r="G719" t="str">
            <v>VPS GLENLEIGH RD WEST BUSSELTON</v>
          </cell>
          <cell r="H719" t="str">
            <v>S8009236</v>
          </cell>
          <cell r="I719" t="str">
            <v>LOT 365 GLENLEIGH RD</v>
          </cell>
          <cell r="J719" t="str">
            <v>BUSSELTON WA 6280</v>
          </cell>
          <cell r="K719" t="str">
            <v>0136005684</v>
          </cell>
        </row>
        <row r="720">
          <cell r="G720" t="str">
            <v>WTP FISHER RD KUDARDUP</v>
          </cell>
          <cell r="H720" t="str">
            <v>W0045131</v>
          </cell>
          <cell r="I720" t="str">
            <v>491 FISHER RD</v>
          </cell>
          <cell r="J720" t="str">
            <v>KUDARDUP WA 6290</v>
          </cell>
          <cell r="K720" t="str">
            <v>0211001893</v>
          </cell>
        </row>
        <row r="721">
          <cell r="G721" t="str">
            <v>SPS PORTSMOUTH PL WAIKIKI</v>
          </cell>
          <cell r="H721" t="str">
            <v>S0030455</v>
          </cell>
          <cell r="I721" t="str">
            <v>LOT 333 PORTSMOUTH PL</v>
          </cell>
          <cell r="J721" t="str">
            <v>WAIKIKI WA 6169</v>
          </cell>
          <cell r="K721" t="str">
            <v>0148004150</v>
          </cell>
        </row>
        <row r="722">
          <cell r="G722" t="str">
            <v>SPS PATRICIA ST EAST VICTORIA PARK</v>
          </cell>
          <cell r="H722" t="str">
            <v>S0034145</v>
          </cell>
          <cell r="I722" t="str">
            <v>PATRICIA ST</v>
          </cell>
          <cell r="J722" t="str">
            <v>EAST VICTORIA PARK WA 6101</v>
          </cell>
          <cell r="K722" t="str">
            <v>410M1001457</v>
          </cell>
        </row>
        <row r="723">
          <cell r="G723" t="str">
            <v>WPS MCLEVIE</v>
          </cell>
          <cell r="H723" t="str">
            <v>W0019646</v>
          </cell>
          <cell r="I723" t="str">
            <v>LOC 1883 GOATCHER RD</v>
          </cell>
          <cell r="J723" t="str">
            <v>DALWALLINU WA 6609</v>
          </cell>
          <cell r="K723" t="str">
            <v>0280001160</v>
          </cell>
        </row>
        <row r="724">
          <cell r="G724" t="str">
            <v>SPS ROEBUCK DR SALTER POINT</v>
          </cell>
          <cell r="H724" t="str">
            <v>S0034160</v>
          </cell>
          <cell r="I724" t="str">
            <v>ROEBUCK DR</v>
          </cell>
          <cell r="J724" t="str">
            <v>SALTER POINT WA 6152</v>
          </cell>
          <cell r="K724" t="str">
            <v>410L24208</v>
          </cell>
        </row>
        <row r="725">
          <cell r="G725" t="str">
            <v>SPS OLD FARM RD AUGUSTA</v>
          </cell>
          <cell r="H725" t="str">
            <v>S8009048</v>
          </cell>
          <cell r="I725" t="str">
            <v>LOT 147 OLD FARM RD</v>
          </cell>
          <cell r="J725" t="str">
            <v>AUGUSTA WA 6290</v>
          </cell>
          <cell r="K725" t="str">
            <v>0380001756</v>
          </cell>
        </row>
        <row r="726">
          <cell r="G726" t="str">
            <v>TRU 1EA CP MAIN ENNIS AV HILLMAN</v>
          </cell>
          <cell r="H726" t="str">
            <v>W2000622</v>
          </cell>
          <cell r="I726" t="str">
            <v>LOT 593 ENNIS AVE</v>
          </cell>
          <cell r="J726" t="str">
            <v>HILLMAN WA 6168</v>
          </cell>
          <cell r="K726" t="str">
            <v>0200095983</v>
          </cell>
        </row>
        <row r="727">
          <cell r="G727" t="str">
            <v>DAM WELLINGTON</v>
          </cell>
          <cell r="H727" t="str">
            <v>W0046421</v>
          </cell>
          <cell r="I727" t="str">
            <v>WELLINGTON DAM RD</v>
          </cell>
          <cell r="J727" t="str">
            <v>COLLIE WA 6225</v>
          </cell>
          <cell r="K727" t="str">
            <v>0148005864</v>
          </cell>
        </row>
        <row r="728">
          <cell r="G728" t="str">
            <v>SPS LAKES RD GREENFIELDS</v>
          </cell>
          <cell r="H728" t="str">
            <v>S0044720</v>
          </cell>
          <cell r="I728" t="str">
            <v>LOT 4519 LAKES RD</v>
          </cell>
          <cell r="J728" t="str">
            <v>GREENFIELDS WA 6210</v>
          </cell>
          <cell r="K728" t="str">
            <v>410M181200</v>
          </cell>
        </row>
        <row r="729">
          <cell r="G729" t="str">
            <v>SPS PORT BEACH RD NORTH FREMANTLE</v>
          </cell>
          <cell r="H729" t="str">
            <v>S2019015</v>
          </cell>
          <cell r="I729" t="str">
            <v>LOT 3003 PORT BEACH RD</v>
          </cell>
          <cell r="J729" t="str">
            <v>NORTH FREMANTLE WA 6159</v>
          </cell>
          <cell r="K729" t="str">
            <v>0350016348</v>
          </cell>
        </row>
        <row r="730">
          <cell r="G730" t="str">
            <v>SPS ROGERS WY LANDSDALE</v>
          </cell>
          <cell r="H730" t="str">
            <v>S0029341</v>
          </cell>
          <cell r="I730" t="str">
            <v>LOT 58 ROGERS WAY</v>
          </cell>
          <cell r="J730" t="str">
            <v>LANDSDALE WA 6065</v>
          </cell>
          <cell r="K730" t="str">
            <v>0148002881</v>
          </cell>
        </row>
        <row r="731">
          <cell r="G731" t="str">
            <v>SPS DESTINY WAY WANGARA</v>
          </cell>
          <cell r="H731" t="str">
            <v>S2037206</v>
          </cell>
          <cell r="I731" t="str">
            <v>LOT 903 DESTINY WAY</v>
          </cell>
          <cell r="J731" t="str">
            <v>WANGARA WA 6065</v>
          </cell>
          <cell r="K731" t="str">
            <v>0530205566</v>
          </cell>
        </row>
        <row r="732">
          <cell r="G732" t="str">
            <v>TANK GL WSC EIGHTY SIX GATE RD JITARNING</v>
          </cell>
          <cell r="H732" t="str">
            <v>W049-003-004-035-004</v>
          </cell>
          <cell r="I732" t="str">
            <v>LOT 31618 EIGHTY SIX GATE ROAD</v>
          </cell>
          <cell r="J732" t="str">
            <v>JITARNING WA 6365</v>
          </cell>
          <cell r="K732" t="str">
            <v>0249000081</v>
          </cell>
        </row>
        <row r="733">
          <cell r="G733" t="str">
            <v>JITARNING CDP EIGHTY SIX GATE RD</v>
          </cell>
          <cell r="H733" t="str">
            <v>W7012622</v>
          </cell>
          <cell r="I733" t="str">
            <v>LOT 31618 EIGHTY SIX GATE ROAD JITARNING WA 6365</v>
          </cell>
          <cell r="J733" t="str">
            <v>JITARNING WA 6365</v>
          </cell>
          <cell r="K733" t="str">
            <v>0200481335</v>
          </cell>
        </row>
        <row r="734">
          <cell r="G734" t="str">
            <v>SPS BRAND HWY WANDINA</v>
          </cell>
          <cell r="H734" t="str">
            <v>S0037838</v>
          </cell>
          <cell r="I734" t="str">
            <v>LOCN 6851 BRAND HWY</v>
          </cell>
          <cell r="J734" t="str">
            <v>GERALDTON WA 6530</v>
          </cell>
          <cell r="K734" t="str">
            <v>0148005408</v>
          </cell>
        </row>
        <row r="735">
          <cell r="G735" t="str">
            <v>CP SYSTEM XING 45.54KM MAIN CONDUIT</v>
          </cell>
          <cell r="H735" t="str">
            <v>W5014740</v>
          </cell>
          <cell r="I735" t="str">
            <v>SPENCERS BROOK RD</v>
          </cell>
          <cell r="J735" t="str">
            <v>CLACKLINE</v>
          </cell>
          <cell r="K735" t="str">
            <v>15D043757</v>
          </cell>
        </row>
        <row r="736">
          <cell r="G736" t="str">
            <v>WPS WOMARDEN TRANSFER</v>
          </cell>
          <cell r="H736" t="str">
            <v>W0040391</v>
          </cell>
          <cell r="I736" t="str">
            <v>LOC 1 MORAWA RD</v>
          </cell>
          <cell r="J736" t="str">
            <v>THREE SPRINGS WA 6519</v>
          </cell>
          <cell r="K736" t="str">
            <v>410M53712</v>
          </cell>
        </row>
        <row r="737">
          <cell r="G737" t="str">
            <v>SPS GALLOP ST HALLS HEAD</v>
          </cell>
          <cell r="H737" t="str">
            <v>S0044565</v>
          </cell>
          <cell r="I737" t="str">
            <v>SHARLAND ST</v>
          </cell>
          <cell r="J737" t="str">
            <v>HALLS HEAD WA 6210</v>
          </cell>
          <cell r="K737" t="str">
            <v>0350046253</v>
          </cell>
        </row>
        <row r="738">
          <cell r="G738" t="str">
            <v>BORE 17-85 MT HILL ALLANOOKA</v>
          </cell>
          <cell r="H738" t="str">
            <v>W0039259</v>
          </cell>
          <cell r="I738" t="str">
            <v>LOCN 640 ALLANOOKA SPRINGS RD</v>
          </cell>
          <cell r="J738" t="str">
            <v>ALLANOOKA WA 6525</v>
          </cell>
          <cell r="K738" t="str">
            <v xml:space="preserve">0148006343     </v>
          </cell>
        </row>
        <row r="739">
          <cell r="G739" t="str">
            <v>SPS HARPER ST HARVEY</v>
          </cell>
          <cell r="H739" t="str">
            <v>S0044669</v>
          </cell>
          <cell r="I739" t="str">
            <v>HARPER ST</v>
          </cell>
          <cell r="J739" t="str">
            <v>HARVEY WA 6220</v>
          </cell>
          <cell r="K739" t="str">
            <v>410M181734</v>
          </cell>
        </row>
        <row r="740">
          <cell r="G740" t="str">
            <v>SPS FLEETWOOD RD LYNWOOD</v>
          </cell>
          <cell r="H740" t="str">
            <v>S0034298</v>
          </cell>
          <cell r="I740" t="str">
            <v>U43 LOT 2382 FLEETWOOD RD</v>
          </cell>
          <cell r="J740" t="str">
            <v>LYNWOOD WA 6147</v>
          </cell>
          <cell r="K740" t="str">
            <v>0148003495</v>
          </cell>
        </row>
        <row r="741">
          <cell r="G741"/>
          <cell r="H741" t="e">
            <v>#N/A</v>
          </cell>
          <cell r="I741" t="str">
            <v>1 KEW ST</v>
          </cell>
          <cell r="J741" t="str">
            <v>WELSHPOOL WA 6106</v>
          </cell>
          <cell r="K741" t="str">
            <v>0148004703</v>
          </cell>
        </row>
        <row r="742">
          <cell r="G742" t="str">
            <v>JOHN HILL TANKS,KAMBALDA EAST</v>
          </cell>
          <cell r="H742" t="str">
            <v>WA004274</v>
          </cell>
          <cell r="I742" t="str">
            <v>ACACIA RD</v>
          </cell>
          <cell r="J742" t="str">
            <v>KAMBALDA EAST WA 6442</v>
          </cell>
          <cell r="K742" t="str">
            <v>410M198928</v>
          </cell>
        </row>
        <row r="743">
          <cell r="G743" t="str">
            <v>WSC LILLY RD ROSA BROOK</v>
          </cell>
          <cell r="H743" t="str">
            <v>W8008252</v>
          </cell>
          <cell r="I743" t="str">
            <v>LOT 153 ROSA BROOK RD</v>
          </cell>
          <cell r="J743" t="str">
            <v>MARGARET RIVER WA 6285</v>
          </cell>
          <cell r="K743" t="str">
            <v>0200479155</v>
          </cell>
        </row>
        <row r="744">
          <cell r="G744" t="str">
            <v>WPS HARDINGE RD ORANGE GROVE</v>
          </cell>
          <cell r="H744" t="str">
            <v>W0035859</v>
          </cell>
          <cell r="I744" t="str">
            <v>19 HARDINGE RD</v>
          </cell>
          <cell r="J744" t="str">
            <v>ORANGE GROVE WA 6109</v>
          </cell>
          <cell r="K744" t="str">
            <v>410M166341</v>
          </cell>
        </row>
        <row r="745">
          <cell r="G745" t="str">
            <v>SPS WEST COAST DR MARMION</v>
          </cell>
          <cell r="H745" t="str">
            <v>S2019110</v>
          </cell>
          <cell r="I745" t="str">
            <v>WEST COAST DR</v>
          </cell>
          <cell r="J745" t="str">
            <v>MARMION WA 6020</v>
          </cell>
          <cell r="K745" t="str">
            <v>0350001406</v>
          </cell>
        </row>
        <row r="746">
          <cell r="G746" t="str">
            <v>SPS BARNES AVE AUSTRALIND</v>
          </cell>
          <cell r="H746" t="str">
            <v>S0043921</v>
          </cell>
          <cell r="I746" t="str">
            <v>BARNES AVE</v>
          </cell>
          <cell r="J746" t="str">
            <v>AUSTRALIND WA 6233</v>
          </cell>
          <cell r="K746" t="str">
            <v>410M167519</v>
          </cell>
        </row>
        <row r="747">
          <cell r="G747" t="str">
            <v>CATHODIC SITE, THE CRESCENT (7C) (Deep)</v>
          </cell>
          <cell r="H747" t="str">
            <v>W1015519</v>
          </cell>
          <cell r="I747" t="str">
            <v>2364 THE CRESCENT</v>
          </cell>
          <cell r="J747" t="str">
            <v>MADDINGTON WA 6109</v>
          </cell>
          <cell r="K747" t="str">
            <v>0249000101</v>
          </cell>
        </row>
        <row r="748">
          <cell r="G748" t="str">
            <v>KWINANA WASTEWATER TREATMENT PLANT (NEW)</v>
          </cell>
          <cell r="H748" t="str">
            <v>S001-001-027</v>
          </cell>
          <cell r="I748" t="str">
            <v>LOT 119 MCLAUGHLAN RD</v>
          </cell>
          <cell r="J748" t="str">
            <v>MEDINA  WA  6167</v>
          </cell>
          <cell r="K748" t="str">
            <v>0140000345</v>
          </cell>
        </row>
        <row r="749">
          <cell r="G749" t="str">
            <v>SPS HASTING ST JURIEN BAY</v>
          </cell>
          <cell r="H749" t="str">
            <v>S0037911</v>
          </cell>
          <cell r="I749" t="str">
            <v>U54 LOT 481 HASTING ST</v>
          </cell>
          <cell r="J749" t="str">
            <v>JURIEN BAY WA 6516</v>
          </cell>
          <cell r="K749" t="str">
            <v>0148005850</v>
          </cell>
        </row>
        <row r="750">
          <cell r="G750" t="str">
            <v>SPS THE STRAND APPLECROSS</v>
          </cell>
          <cell r="H750" t="str">
            <v>S0033868</v>
          </cell>
          <cell r="I750" t="str">
            <v>LOT 260 THE STRAND</v>
          </cell>
          <cell r="J750" t="str">
            <v>APPLECROSS WA 6153</v>
          </cell>
          <cell r="K750" t="str">
            <v>450M22341</v>
          </cell>
        </row>
        <row r="751">
          <cell r="G751" t="str">
            <v>WPS NYABING LOCAL SOURCE</v>
          </cell>
          <cell r="H751" t="str">
            <v>W049-005-016-002-001-001</v>
          </cell>
          <cell r="I751" t="str">
            <v>RICHMOND ST NYABING WA 6341</v>
          </cell>
          <cell r="J751" t="str">
            <v>NYABING WA 6341</v>
          </cell>
          <cell r="K751" t="str">
            <v>410M137697</v>
          </cell>
        </row>
        <row r="752">
          <cell r="G752" t="str">
            <v>SPS LUDLOW LOOP PINJARRA</v>
          </cell>
          <cell r="H752" t="str">
            <v>S8009189</v>
          </cell>
          <cell r="I752" t="str">
            <v>1874 PINJARRA RD</v>
          </cell>
          <cell r="J752" t="str">
            <v>PINJARRA WA 6208</v>
          </cell>
          <cell r="K752" t="str">
            <v>0350001410</v>
          </cell>
        </row>
        <row r="753">
          <cell r="G753" t="str">
            <v>WUNGONG DAM</v>
          </cell>
          <cell r="H753" t="str">
            <v>W0008978</v>
          </cell>
          <cell r="I753" t="str">
            <v>LOT 46 RAILS CRES</v>
          </cell>
          <cell r="J753" t="str">
            <v>ARMADALE WA 6112</v>
          </cell>
          <cell r="K753" t="str">
            <v>0350039071</v>
          </cell>
        </row>
        <row r="754">
          <cell r="G754" t="str">
            <v>MUNDARING DAM</v>
          </cell>
          <cell r="H754" t="str">
            <v>W0006980</v>
          </cell>
          <cell r="I754" t="str">
            <v>15 MUNDARING WEIR RD</v>
          </cell>
          <cell r="J754" t="str">
            <v>MUNDARING WA 6073</v>
          </cell>
          <cell r="K754" t="str">
            <v>0200025761</v>
          </cell>
        </row>
        <row r="755">
          <cell r="G755" t="str">
            <v>SPS SKYLARK LOOP ERSKINE</v>
          </cell>
          <cell r="H755" t="str">
            <v>S0044548</v>
          </cell>
          <cell r="I755" t="str">
            <v>U51 STICKS BVD</v>
          </cell>
          <cell r="J755" t="str">
            <v>ERSKINE WA 6210</v>
          </cell>
          <cell r="K755" t="str">
            <v>0148002039</v>
          </cell>
        </row>
        <row r="756">
          <cell r="G756" t="str">
            <v>TANK EL 1 WSC AUSTRALIND RD LESCHENAULT</v>
          </cell>
          <cell r="H756" t="str">
            <v>W261-001-001-004</v>
          </cell>
          <cell r="I756" t="str">
            <v>30 AUSTRALIND RD</v>
          </cell>
          <cell r="J756" t="str">
            <v>LESCHENAULT WA 6233</v>
          </cell>
          <cell r="K756" t="str">
            <v>15M140537</v>
          </cell>
        </row>
        <row r="757">
          <cell r="G757" t="str">
            <v>SPS CAMBERWARRA DR CRAIGIE</v>
          </cell>
          <cell r="H757" t="str">
            <v>S0028281</v>
          </cell>
          <cell r="I757" t="str">
            <v>274 CAMBERWARRA DR</v>
          </cell>
          <cell r="J757" t="str">
            <v>CRAIGIE WA 6025</v>
          </cell>
          <cell r="K757" t="str">
            <v>0350010645</v>
          </cell>
        </row>
        <row r="758">
          <cell r="G758" t="str">
            <v>SPS 1 CLARKE ST NORTHAM</v>
          </cell>
          <cell r="H758" t="str">
            <v>S0016656</v>
          </cell>
          <cell r="I758" t="str">
            <v>CLARKE ST</v>
          </cell>
          <cell r="J758" t="str">
            <v>NORTHAM WA 6401</v>
          </cell>
          <cell r="K758" t="str">
            <v>0148002478</v>
          </cell>
        </row>
        <row r="759">
          <cell r="G759" t="str">
            <v>BORE SITE G70</v>
          </cell>
          <cell r="H759" t="str">
            <v>W1001275</v>
          </cell>
          <cell r="I759" t="str">
            <v>LOT 183 SHELDRAKE ST</v>
          </cell>
          <cell r="J759" t="str">
            <v>STIRLING  WA  6021</v>
          </cell>
          <cell r="K759" t="str">
            <v>0148004511</v>
          </cell>
        </row>
        <row r="760">
          <cell r="G760" t="str">
            <v>SPS GUNIDA ST MULLALOO</v>
          </cell>
          <cell r="H760" t="str">
            <v>S2017201</v>
          </cell>
          <cell r="I760" t="str">
            <v>GUNIDA ST</v>
          </cell>
          <cell r="J760" t="str">
            <v>MULLALOO</v>
          </cell>
          <cell r="K760" t="str">
            <v>0180035827</v>
          </cell>
        </row>
        <row r="761">
          <cell r="G761" t="str">
            <v>SPS OPAL DR AUSTRALIND</v>
          </cell>
          <cell r="H761" t="str">
            <v>S8003823</v>
          </cell>
          <cell r="I761" t="str">
            <v>LOT 359 PARIS RD</v>
          </cell>
          <cell r="J761" t="str">
            <v>AUSTRALIND WA 6233</v>
          </cell>
          <cell r="K761" t="str">
            <v>0136003961</v>
          </cell>
        </row>
        <row r="762">
          <cell r="G762" t="str">
            <v>BORE SITE J360</v>
          </cell>
          <cell r="H762" t="str">
            <v>W1001475</v>
          </cell>
          <cell r="I762" t="str">
            <v>LOT 360J MOSEDALE RTT</v>
          </cell>
          <cell r="J762" t="str">
            <v>ATWELL WA 6164</v>
          </cell>
          <cell r="K762" t="str">
            <v>0148005922</v>
          </cell>
        </row>
        <row r="763">
          <cell r="G763" t="str">
            <v>WPS DAM 1 CRANBROOK</v>
          </cell>
          <cell r="H763" t="str">
            <v>W044-001-001-004</v>
          </cell>
          <cell r="I763" t="str">
            <v>HARDY ST (END OF GRANTHAM ST)</v>
          </cell>
          <cell r="J763" t="str">
            <v>CRANBROOK WA 6321</v>
          </cell>
          <cell r="K763" t="str">
            <v>410AM1483</v>
          </cell>
        </row>
        <row r="764">
          <cell r="G764" t="str">
            <v>WPS BURRACOPPIN</v>
          </cell>
          <cell r="H764" t="str">
            <v>W5007790</v>
          </cell>
          <cell r="I764" t="str">
            <v>LOT 38 BURRACOPPIN SOUTH RD</v>
          </cell>
          <cell r="J764" t="str">
            <v>MUNTADGIN WA 6420</v>
          </cell>
          <cell r="K764" t="str">
            <v>0148006671</v>
          </cell>
        </row>
        <row r="765">
          <cell r="G765" t="str">
            <v>SPS MARCO POLO DR MANDURAH</v>
          </cell>
          <cell r="H765" t="str">
            <v>S8005430</v>
          </cell>
          <cell r="I765" t="str">
            <v>LOT 311 PENINSULA ENT</v>
          </cell>
          <cell r="J765" t="str">
            <v>MANDURAH WA 6210</v>
          </cell>
          <cell r="K765" t="str">
            <v>0180014946</v>
          </cell>
        </row>
        <row r="766">
          <cell r="G766" t="str">
            <v>EFFLUENT REUSE WWTP BEVERLEY</v>
          </cell>
          <cell r="H766" t="str">
            <v>S5051306</v>
          </cell>
          <cell r="I766" t="str">
            <v>LOC 942 GREAT SOUTHERN HIGHWAY</v>
          </cell>
          <cell r="J766" t="str">
            <v>BEVERLEY WA 6304</v>
          </cell>
        </row>
        <row r="767">
          <cell r="G767" t="str">
            <v>BORE 01-98 VASSE YALLINGUP SIDING RD SC</v>
          </cell>
          <cell r="H767" t="str">
            <v>W8001295</v>
          </cell>
          <cell r="I767" t="str">
            <v>LOT 1A VASSE YALLINGUP RD</v>
          </cell>
          <cell r="J767" t="str">
            <v>QUINDALUP WA 6281</v>
          </cell>
          <cell r="K767" t="str">
            <v>0148001834</v>
          </cell>
        </row>
        <row r="768">
          <cell r="G768" t="str">
            <v>SECT NK 42.2-49.4KM WADELOCKING NK9</v>
          </cell>
          <cell r="H768" t="str">
            <v>W7001022</v>
          </cell>
          <cell r="I768" t="str">
            <v>WENDELL ST</v>
          </cell>
          <cell r="J768" t="str">
            <v>WAGIN 6315</v>
          </cell>
          <cell r="K768" t="str">
            <v>15D099045</v>
          </cell>
        </row>
        <row r="769">
          <cell r="G769" t="str">
            <v>BORE 13 MINGENEW</v>
          </cell>
          <cell r="H769" t="str">
            <v>W0042128</v>
          </cell>
          <cell r="I769" t="str">
            <v>VICTORIA ST</v>
          </cell>
          <cell r="J769" t="str">
            <v>MINGENEW WA 6522</v>
          </cell>
          <cell r="K769" t="str">
            <v>410M158749</v>
          </cell>
        </row>
        <row r="770">
          <cell r="G770" t="str">
            <v>SPS CASSERLEY WY LANCELIN</v>
          </cell>
          <cell r="H770" t="str">
            <v>S0037971</v>
          </cell>
          <cell r="I770" t="str">
            <v>LOT 125 COCKRAM ST</v>
          </cell>
          <cell r="J770" t="str">
            <v>LANCELIN WA 6044</v>
          </cell>
          <cell r="K770" t="str">
            <v>0350038347</v>
          </cell>
        </row>
        <row r="771">
          <cell r="G771" t="str">
            <v>SPS MELROS BEACH RD DAWESVILLE</v>
          </cell>
          <cell r="H771" t="str">
            <v>S0045003</v>
          </cell>
          <cell r="I771" t="str">
            <v>25 MELROS BEACH RD</v>
          </cell>
          <cell r="J771" t="str">
            <v>DAWESVILLE WA 6211</v>
          </cell>
          <cell r="K771" t="str">
            <v>450M20624</v>
          </cell>
        </row>
        <row r="772">
          <cell r="G772" t="str">
            <v>SPS SOLAR PASS BIBRA LAKE</v>
          </cell>
          <cell r="H772" t="str">
            <v>S2018323</v>
          </cell>
          <cell r="I772" t="str">
            <v>LOT 158 SOLAR PASS</v>
          </cell>
          <cell r="J772" t="str">
            <v>BIBRA LAKE WA 6163</v>
          </cell>
          <cell r="K772" t="str">
            <v>0380009293</v>
          </cell>
        </row>
        <row r="773">
          <cell r="G773" t="str">
            <v>SPS 2 SUBURBAN RD NORTHAM</v>
          </cell>
          <cell r="H773" t="str">
            <v>S0016663</v>
          </cell>
          <cell r="I773" t="str">
            <v>MUDALLA WAY</v>
          </cell>
          <cell r="J773" t="str">
            <v>NORTHAM WA 6401</v>
          </cell>
          <cell r="K773" t="str">
            <v>002100230</v>
          </cell>
        </row>
        <row r="774">
          <cell r="G774" t="str">
            <v>COMP BASIN BARTRAM RD BEELIAR</v>
          </cell>
          <cell r="H774" t="str">
            <v>D0036701</v>
          </cell>
          <cell r="I774" t="str">
            <v>LOT 213 HAMMOND RD</v>
          </cell>
          <cell r="J774" t="str">
            <v>SUCCESS WA 6164</v>
          </cell>
          <cell r="K774" t="str">
            <v>0200388193</v>
          </cell>
        </row>
        <row r="775">
          <cell r="G775" t="str">
            <v>BORE SITE L490</v>
          </cell>
          <cell r="H775" t="str">
            <v>W1001398</v>
          </cell>
          <cell r="I775" t="str">
            <v>LOT 490 TICK RD</v>
          </cell>
          <cell r="J775" t="str">
            <v>LEXIA WA 6065</v>
          </cell>
          <cell r="K775" t="str">
            <v>0148001967</v>
          </cell>
        </row>
        <row r="776">
          <cell r="G776" t="str">
            <v>SPS GREENPARK RD ALEXANDER HEIGHTS</v>
          </cell>
          <cell r="H776" t="str">
            <v>S0028430</v>
          </cell>
          <cell r="I776" t="str">
            <v>ALEXANDER DR</v>
          </cell>
          <cell r="J776" t="str">
            <v>ALEXANDER HEIGHTS WA 6064</v>
          </cell>
          <cell r="K776" t="str">
            <v>0136001929</v>
          </cell>
        </row>
        <row r="777">
          <cell r="G777" t="str">
            <v>BOREFIELD AUGUSTA</v>
          </cell>
          <cell r="H777" t="str">
            <v>W0045119</v>
          </cell>
          <cell r="I777" t="str">
            <v>FISHER RD</v>
          </cell>
          <cell r="J777" t="str">
            <v>AUGUSTA WA 6290</v>
          </cell>
          <cell r="K777" t="str">
            <v>000000000348000569</v>
          </cell>
        </row>
        <row r="778">
          <cell r="G778" t="str">
            <v>SPS CHARTHOUSE RD SAFETY BAY</v>
          </cell>
          <cell r="H778" t="str">
            <v>S2008775</v>
          </cell>
          <cell r="I778" t="str">
            <v>15 CHARTHOUSE RD</v>
          </cell>
          <cell r="J778" t="str">
            <v>SAFETY BAY WA 6169</v>
          </cell>
          <cell r="K778" t="str">
            <v>0180004369</v>
          </cell>
        </row>
        <row r="779">
          <cell r="G779" t="str">
            <v>SPS BARTLETT CR KARRINYUP</v>
          </cell>
          <cell r="H779" t="str">
            <v>S2003429</v>
          </cell>
          <cell r="I779" t="str">
            <v>LOT 7815 BARTLETT CRES</v>
          </cell>
          <cell r="J779" t="str">
            <v>KARRINYUP WA 6018</v>
          </cell>
          <cell r="K779" t="str">
            <v>410M206151</v>
          </cell>
        </row>
        <row r="780">
          <cell r="G780" t="str">
            <v>SPS LECAILLE CT DUNSBOROUGH</v>
          </cell>
          <cell r="H780" t="str">
            <v>S0044480</v>
          </cell>
          <cell r="I780" t="str">
            <v>LECAILLE CT</v>
          </cell>
          <cell r="J780" t="str">
            <v>DUNSBOROUGH WA 6281</v>
          </cell>
          <cell r="K780" t="str">
            <v>410M169595</v>
          </cell>
        </row>
        <row r="781">
          <cell r="G781" t="str">
            <v>VPS CLYDEBANK AVE WEST BUSSELTON</v>
          </cell>
          <cell r="H781" t="str">
            <v>S0044298</v>
          </cell>
          <cell r="I781" t="str">
            <v>LOT 500 CLYDEBANK AVE</v>
          </cell>
          <cell r="J781" t="str">
            <v>BUSSELTON WA 6280</v>
          </cell>
          <cell r="K781" t="str">
            <v>0211000735</v>
          </cell>
        </row>
        <row r="782">
          <cell r="G782" t="str">
            <v>SPS MARKET ST FREMANTLE</v>
          </cell>
          <cell r="H782" t="str">
            <v>S0033245</v>
          </cell>
          <cell r="I782" t="str">
            <v>LOT 1590 MARKET ST</v>
          </cell>
          <cell r="J782" t="str">
            <v>FREMANTLE WA 6160</v>
          </cell>
          <cell r="K782" t="str">
            <v>0148001625</v>
          </cell>
        </row>
        <row r="783">
          <cell r="G783" t="str">
            <v>WPS TOOTRA BOOSTER</v>
          </cell>
          <cell r="H783" t="str">
            <v>W0019200</v>
          </cell>
          <cell r="I783" t="str">
            <v>LOT 1439 MAIL ROUTE RD</v>
          </cell>
          <cell r="J783" t="str">
            <v>LAKE HINDS WA 6603</v>
          </cell>
          <cell r="K783" t="str">
            <v>210M36778</v>
          </cell>
        </row>
        <row r="784">
          <cell r="G784" t="str">
            <v>SPS OCEAN FALLS BVD MINDARIE</v>
          </cell>
          <cell r="H784" t="str">
            <v>S0029130</v>
          </cell>
          <cell r="I784" t="str">
            <v>LOT 76 OCEAN FALLS BVD</v>
          </cell>
          <cell r="J784" t="str">
            <v>MINDARIE WA 6030</v>
          </cell>
          <cell r="K784" t="str">
            <v>0148005801</v>
          </cell>
        </row>
        <row r="785">
          <cell r="G785" t="str">
            <v>SPS SURF DR SECRET HARBOUR</v>
          </cell>
          <cell r="H785" t="str">
            <v>S2018206</v>
          </cell>
          <cell r="I785" t="str">
            <v>LOT 41 SURF DR</v>
          </cell>
          <cell r="J785" t="str">
            <v>SECRET HARBOUR  6173</v>
          </cell>
          <cell r="K785" t="str">
            <v>0380001755</v>
          </cell>
        </row>
        <row r="786">
          <cell r="G786" t="str">
            <v>SPS 1 BENT ST MUKINBUDIN</v>
          </cell>
          <cell r="H786" t="str">
            <v>S0016475</v>
          </cell>
          <cell r="I786" t="str">
            <v>LOC 28073 BENT ST</v>
          </cell>
          <cell r="J786" t="str">
            <v>MUKINBUDIN WA 6479</v>
          </cell>
          <cell r="K786" t="str">
            <v>410M64062</v>
          </cell>
        </row>
        <row r="787">
          <cell r="G787" t="str">
            <v>SPS DUNSCORE WY KINROSS</v>
          </cell>
          <cell r="H787" t="str">
            <v>S0027273</v>
          </cell>
          <cell r="I787" t="str">
            <v>10 (L194) DUNSCORE WAY</v>
          </cell>
          <cell r="J787" t="str">
            <v>KINROSS WA 6028</v>
          </cell>
          <cell r="K787" t="str">
            <v>0148004973</v>
          </cell>
        </row>
        <row r="788">
          <cell r="G788" t="str">
            <v>TREATMENT MODULE</v>
          </cell>
          <cell r="H788" t="str">
            <v>W0005959</v>
          </cell>
          <cell r="I788" t="str">
            <v>LOT 1856 TOWNSEND RD</v>
          </cell>
          <cell r="J788" t="str">
            <v>JANDABUP WA 6065</v>
          </cell>
          <cell r="K788" t="str">
            <v>0214002542</v>
          </cell>
        </row>
        <row r="789">
          <cell r="G789" t="str">
            <v>OLD MANDURAH ROAD CVS</v>
          </cell>
          <cell r="H789" t="str">
            <v>W1005876</v>
          </cell>
          <cell r="I789" t="str">
            <v>352 OLD MANDURAH RD RAVENSWOOD WA 6208</v>
          </cell>
          <cell r="J789" t="str">
            <v>ORIGINALLY WAS A BOOSTER WPS FOR FIRST RAINS PROJECT.</v>
          </cell>
          <cell r="K789" t="str">
            <v>0136002165</v>
          </cell>
        </row>
        <row r="790">
          <cell r="G790" t="str">
            <v>WPS BONITO PL YANGEBUP</v>
          </cell>
          <cell r="H790" t="str">
            <v>W2000229</v>
          </cell>
          <cell r="I790" t="str">
            <v>18 BONITO PL</v>
          </cell>
          <cell r="J790" t="str">
            <v>YANGEBUP WA 6164</v>
          </cell>
          <cell r="K790" t="str">
            <v>410M205440</v>
          </cell>
        </row>
        <row r="791">
          <cell r="G791" t="str">
            <v>WPS EL CABALLO</v>
          </cell>
          <cell r="H791" t="str">
            <v>W0018860</v>
          </cell>
          <cell r="I791" t="str">
            <v>LOT 62 BODEGUERO WAY</v>
          </cell>
          <cell r="J791" t="str">
            <v>WOOROLOO WA 6558</v>
          </cell>
          <cell r="K791" t="str">
            <v>410M132087</v>
          </cell>
        </row>
        <row r="792">
          <cell r="G792" t="str">
            <v>SPS WENDO CT HILLMAN</v>
          </cell>
          <cell r="H792" t="str">
            <v>S0030498</v>
          </cell>
          <cell r="I792" t="str">
            <v>U43 WENDO CT</v>
          </cell>
          <cell r="J792" t="str">
            <v>HILLMAN WA 6168</v>
          </cell>
          <cell r="K792" t="str">
            <v>0348000484</v>
          </cell>
        </row>
        <row r="793">
          <cell r="G793" t="str">
            <v>HIGH RD CVS</v>
          </cell>
          <cell r="H793" t="str">
            <v>W0012618</v>
          </cell>
          <cell r="I793" t="str">
            <v>HIGH RD</v>
          </cell>
          <cell r="J793" t="str">
            <v>RIVERTON WA 6148</v>
          </cell>
          <cell r="K793" t="str">
            <v>410L35079</v>
          </cell>
        </row>
        <row r="794">
          <cell r="G794" t="str">
            <v>SPS DORNEY ESP CHAMPION LAKES</v>
          </cell>
          <cell r="H794" t="str">
            <v>S2019225</v>
          </cell>
          <cell r="I794" t="str">
            <v>LOT 1007 DORNEY ESP</v>
          </cell>
          <cell r="J794" t="str">
            <v>CHAMPION LAKES WA 6111</v>
          </cell>
          <cell r="K794" t="str">
            <v>0350002859</v>
          </cell>
        </row>
        <row r="795">
          <cell r="G795" t="str">
            <v>CATHODIC SITE, MILLS RD (8C) (Deep)</v>
          </cell>
          <cell r="H795" t="str">
            <v>W0011598</v>
          </cell>
          <cell r="I795" t="str">
            <v>MILLS RD</v>
          </cell>
          <cell r="J795" t="str">
            <v>MARTIN WA 6110</v>
          </cell>
          <cell r="K795" t="str">
            <v>410M7965</v>
          </cell>
        </row>
        <row r="796">
          <cell r="G796" t="str">
            <v>OXY INJ SYS PMAIN 5 ARMAGH ST VIC PK</v>
          </cell>
          <cell r="H796" t="str">
            <v>S2003331</v>
          </cell>
          <cell r="I796" t="str">
            <v>THE ESPLANADE</v>
          </cell>
          <cell r="J796" t="str">
            <v>MOUNT PLEASANT WA 6153</v>
          </cell>
          <cell r="K796" t="str">
            <v>0380013463</v>
          </cell>
        </row>
        <row r="797">
          <cell r="G797" t="str">
            <v>SPS CONNEMARA DR THORNLIE</v>
          </cell>
          <cell r="H797" t="str">
            <v>S0033395</v>
          </cell>
          <cell r="I797" t="str">
            <v>CONNEMARA DR</v>
          </cell>
          <cell r="J797" t="str">
            <v>THORNLIE WA 6108</v>
          </cell>
          <cell r="K797" t="str">
            <v>0148001633</v>
          </cell>
        </row>
        <row r="798">
          <cell r="G798" t="str">
            <v>SPS STONE ST MOSMAN PARK</v>
          </cell>
          <cell r="H798" t="str">
            <v>S0032682</v>
          </cell>
          <cell r="I798" t="str">
            <v>LOT 1 STONE ST</v>
          </cell>
          <cell r="J798" t="str">
            <v>MOSMAN PARK WA 6012</v>
          </cell>
          <cell r="K798" t="str">
            <v>0148003127</v>
          </cell>
        </row>
        <row r="799">
          <cell r="G799" t="str">
            <v>BORE SITE G125</v>
          </cell>
          <cell r="H799" t="str">
            <v>W1001301</v>
          </cell>
          <cell r="I799" t="str">
            <v>GRINDLEFORD DR</v>
          </cell>
          <cell r="J799" t="str">
            <v>BALCATTA WA 6021</v>
          </cell>
          <cell r="K799" t="str">
            <v>0136001159</v>
          </cell>
        </row>
        <row r="800">
          <cell r="G800" t="str">
            <v>BOREFIELD NON POT MINGENEW FARMLANDS</v>
          </cell>
          <cell r="H800" t="str">
            <v>W4004866</v>
          </cell>
          <cell r="I800" t="str">
            <v>YARRAGADEE WEST RD</v>
          </cell>
          <cell r="J800" t="str">
            <v>MINGENEW WA 6522</v>
          </cell>
          <cell r="K800" t="str">
            <v>0136005187</v>
          </cell>
        </row>
        <row r="801">
          <cell r="G801" t="str">
            <v>SPS YOUNG ST HARVEY</v>
          </cell>
          <cell r="H801" t="str">
            <v>S0044679</v>
          </cell>
          <cell r="I801" t="str">
            <v>YOUNG ST</v>
          </cell>
          <cell r="J801" t="str">
            <v>HARVEY WA 6220</v>
          </cell>
          <cell r="K801" t="str">
            <v>410M169704</v>
          </cell>
        </row>
        <row r="802">
          <cell r="G802" t="str">
            <v>UV SYS LATHAM</v>
          </cell>
          <cell r="H802" t="str">
            <v>W0040159</v>
          </cell>
          <cell r="I802" t="str">
            <v>LOT 4011 BRITT ST</v>
          </cell>
          <cell r="J802" t="str">
            <v>LATHAM  WA  6166</v>
          </cell>
          <cell r="K802" t="str">
            <v>0200083914</v>
          </cell>
        </row>
        <row r="803">
          <cell r="G803" t="str">
            <v>WPS KULJA BOOSTER</v>
          </cell>
          <cell r="H803" t="str">
            <v>W5016090</v>
          </cell>
          <cell r="I803" t="str">
            <v>LOT 121 BONNIE ROCK-BURAKIN RD</v>
          </cell>
          <cell r="J803" t="str">
            <v>KULJA WA 6470</v>
          </cell>
          <cell r="K803" t="str">
            <v>0350005100</v>
          </cell>
        </row>
        <row r="804">
          <cell r="G804" t="str">
            <v>WPS BEARD ST BEACONSFIELD</v>
          </cell>
          <cell r="H804" t="str">
            <v>W0034833</v>
          </cell>
          <cell r="I804" t="str">
            <v>U43 BEARD ST</v>
          </cell>
          <cell r="J804" t="str">
            <v>BEACONSFIELD WA 6162</v>
          </cell>
          <cell r="K804" t="str">
            <v>002101469</v>
          </cell>
        </row>
        <row r="805">
          <cell r="G805" t="str">
            <v>WPS WOODRIDGE</v>
          </cell>
          <cell r="H805" t="str">
            <v>W0042864</v>
          </cell>
          <cell r="I805" t="str">
            <v>U54 LOT 45 NICKLAUS AVE</v>
          </cell>
          <cell r="J805" t="str">
            <v>WOODRIDGE WA 6041</v>
          </cell>
          <cell r="K805" t="str">
            <v>0081000969</v>
          </cell>
        </row>
        <row r="806">
          <cell r="G806" t="str">
            <v>SPS MILLS RD GOSNELLS</v>
          </cell>
          <cell r="H806" t="str">
            <v>S0033476</v>
          </cell>
          <cell r="I806" t="str">
            <v>U43 MILLS RD</v>
          </cell>
          <cell r="J806" t="str">
            <v>MARTIN WA 6110</v>
          </cell>
          <cell r="K806" t="str">
            <v>000000000348000880</v>
          </cell>
        </row>
        <row r="807">
          <cell r="G807" t="str">
            <v>VPS OLIVE RD FALCON</v>
          </cell>
          <cell r="H807" t="str">
            <v>S8000280</v>
          </cell>
          <cell r="I807" t="str">
            <v>LOT 1576 OLIVE RD</v>
          </cell>
          <cell r="J807" t="str">
            <v>FALCON WA 6210</v>
          </cell>
          <cell r="K807" t="str">
            <v>0248000113</v>
          </cell>
        </row>
        <row r="808">
          <cell r="G808" t="str">
            <v>SPS BONE ST ST JAMES</v>
          </cell>
          <cell r="H808" t="str">
            <v>S0032955</v>
          </cell>
          <cell r="I808" t="str">
            <v>U43 39 UPTON ST</v>
          </cell>
          <cell r="J808" t="str">
            <v>ST JAMES WA 6102</v>
          </cell>
          <cell r="K808" t="str">
            <v>002101444</v>
          </cell>
        </row>
        <row r="809">
          <cell r="G809" t="str">
            <v>DPS ELMHURST WY GREENWOOD</v>
          </cell>
          <cell r="H809" t="str">
            <v>D0036191</v>
          </cell>
          <cell r="I809" t="str">
            <v>ELMHURST WAY</v>
          </cell>
          <cell r="J809" t="str">
            <v>GREENWOOD WA 6024</v>
          </cell>
          <cell r="K809" t="str">
            <v>410M157756</v>
          </cell>
        </row>
        <row r="810">
          <cell r="G810" t="str">
            <v>WPS SHEPHERDSON PL MARGARET RIVER</v>
          </cell>
          <cell r="H810" t="str">
            <v>W0046092</v>
          </cell>
          <cell r="I810" t="str">
            <v>26 STATION RD</v>
          </cell>
          <cell r="J810" t="str">
            <v>MARGARET RIVER WA 6285</v>
          </cell>
          <cell r="K810" t="str">
            <v>0148006258</v>
          </cell>
        </row>
        <row r="811">
          <cell r="G811" t="str">
            <v>SPS PIESSE ST WILLIAMS</v>
          </cell>
          <cell r="H811" t="str">
            <v>S108-002-002</v>
          </cell>
          <cell r="I811" t="str">
            <v>LOT 21 PIESSE ST</v>
          </cell>
          <cell r="J811" t="str">
            <v>WILLIAMS WA 6391</v>
          </cell>
          <cell r="K811" t="str">
            <v>0380007938</v>
          </cell>
        </row>
        <row r="812">
          <cell r="G812" t="str">
            <v>SPS BROOKMAN AV LANGFORD</v>
          </cell>
          <cell r="H812" t="str">
            <v>S0034223</v>
          </cell>
          <cell r="I812" t="str">
            <v>3 BROOKMAN AVE</v>
          </cell>
          <cell r="J812" t="str">
            <v>LANGFORD WA 6147</v>
          </cell>
          <cell r="K812" t="str">
            <v>0148001619</v>
          </cell>
        </row>
        <row r="813">
          <cell r="G813" t="str">
            <v>SPS IVANKOVICH AV BEELIAR</v>
          </cell>
          <cell r="H813" t="str">
            <v>S0032858</v>
          </cell>
          <cell r="I813" t="str">
            <v>WATSON RD</v>
          </cell>
          <cell r="J813" t="str">
            <v>BEELIAR WA 6164</v>
          </cell>
          <cell r="K813" t="str">
            <v>410M175689</v>
          </cell>
        </row>
        <row r="814">
          <cell r="G814" t="str">
            <v>BORE SITE J270</v>
          </cell>
          <cell r="H814" t="str">
            <v>W1001471</v>
          </cell>
          <cell r="I814" t="str">
            <v>LOT 270J BRENCHLEY DR</v>
          </cell>
          <cell r="J814" t="str">
            <v>ATWELL WA 6164</v>
          </cell>
          <cell r="K814" t="str">
            <v>0148005723</v>
          </cell>
        </row>
        <row r="815">
          <cell r="G815" t="str">
            <v>WEIR 1144 CATCHMENT VASSE ESTUARY</v>
          </cell>
          <cell r="H815" t="str">
            <v>D8000027</v>
          </cell>
          <cell r="I815" t="str">
            <v>LAYMAN RD</v>
          </cell>
          <cell r="J815" t="str">
            <v>BUSSELTON WA 6280</v>
          </cell>
          <cell r="K815" t="str">
            <v>15D082179</v>
          </cell>
        </row>
        <row r="816">
          <cell r="G816" t="str">
            <v>DPS YANGEBUP RD YANGEBUP</v>
          </cell>
          <cell r="H816" t="str">
            <v>D0036743</v>
          </cell>
          <cell r="I816" t="str">
            <v>LOT 1 BEELIAR DR</v>
          </cell>
          <cell r="J816" t="str">
            <v>YANGEBUP WA 6164</v>
          </cell>
          <cell r="K816" t="str">
            <v>01400000259</v>
          </cell>
        </row>
        <row r="817">
          <cell r="G817" t="str">
            <v>SPS IBIS ST STIRLING</v>
          </cell>
          <cell r="H817" t="str">
            <v>S0028489</v>
          </cell>
          <cell r="I817" t="str">
            <v>5 IBIS ST</v>
          </cell>
          <cell r="J817" t="str">
            <v>STIRLING WA 6021</v>
          </cell>
          <cell r="K817" t="str">
            <v>0148006377</v>
          </cell>
        </row>
        <row r="818">
          <cell r="G818" t="str">
            <v>BOREFIELD DATHAGNOORARA</v>
          </cell>
          <cell r="H818" t="str">
            <v>W0040210</v>
          </cell>
          <cell r="I818" t="str">
            <v>LOCN 9920 CARNAMAH-ENEABBA RD</v>
          </cell>
          <cell r="J818" t="str">
            <v>CARNAMAH WA 6517</v>
          </cell>
          <cell r="K818" t="str">
            <v>0136001809</v>
          </cell>
        </row>
        <row r="819">
          <cell r="G819" t="str">
            <v>BORE SITE M510</v>
          </cell>
          <cell r="H819" t="str">
            <v>W1006274</v>
          </cell>
          <cell r="I819" t="str">
            <v>LOT 10727 MACALISTER GDNS</v>
          </cell>
          <cell r="J819" t="str">
            <v>MIRRABOOKA WA 6061</v>
          </cell>
          <cell r="K819" t="str">
            <v>0148002516</v>
          </cell>
        </row>
        <row r="820">
          <cell r="G820" t="str">
            <v>SPS HASTINGS ST SCARBOROUGH</v>
          </cell>
          <cell r="H820" t="str">
            <v>S0028474</v>
          </cell>
          <cell r="I820" t="str">
            <v>HASTINGS ST</v>
          </cell>
          <cell r="J820" t="str">
            <v>SCARBOROUGH WA 6019</v>
          </cell>
          <cell r="K820" t="str">
            <v>0081000875</v>
          </cell>
        </row>
        <row r="821">
          <cell r="G821" t="str">
            <v>VPS PORT KENNEDY DR PORT KENNEDY</v>
          </cell>
          <cell r="H821" t="str">
            <v>S0030538</v>
          </cell>
          <cell r="I821" t="str">
            <v>LOT 200 PORT KENNEDY DR</v>
          </cell>
          <cell r="J821" t="str">
            <v>PORT KENNEDY WA 6172</v>
          </cell>
          <cell r="K821" t="str">
            <v>450M21545</v>
          </cell>
        </row>
        <row r="822">
          <cell r="G822" t="str">
            <v>BORE SITE L400</v>
          </cell>
          <cell r="H822" t="str">
            <v>W1001387</v>
          </cell>
          <cell r="I822" t="str">
            <v>LOT 400L TRAINOR RD</v>
          </cell>
          <cell r="J822" t="str">
            <v>LEXIA WA 6065</v>
          </cell>
          <cell r="K822" t="str">
            <v>0136006097</v>
          </cell>
        </row>
        <row r="823">
          <cell r="G823" t="str">
            <v>OBS BORE 76-77 RACECOURSE</v>
          </cell>
          <cell r="H823" t="str">
            <v>W0023532</v>
          </cell>
          <cell r="I823" t="str">
            <v>P56 LOT 76R ROBERTS RD</v>
          </cell>
          <cell r="J823" t="str">
            <v>ROBINSON WA 6330</v>
          </cell>
          <cell r="K823" t="str">
            <v>002100719</v>
          </cell>
        </row>
        <row r="824">
          <cell r="G824" t="str">
            <v>SPS SWANSON WY SECRET HARBOUR</v>
          </cell>
          <cell r="H824" t="str">
            <v>S0030561</v>
          </cell>
          <cell r="I824" t="str">
            <v>2 SWANSON WAY</v>
          </cell>
          <cell r="J824" t="str">
            <v>SECRET HARBOUR WA 6173</v>
          </cell>
          <cell r="K824" t="str">
            <v>0148006347</v>
          </cell>
        </row>
        <row r="825">
          <cell r="G825" t="str">
            <v>BORE SITE J400</v>
          </cell>
          <cell r="H825" t="str">
            <v>W1001483</v>
          </cell>
          <cell r="I825" t="str">
            <v>LOT 400 LAKES WAY</v>
          </cell>
          <cell r="J825" t="str">
            <v>JANDAKOT WA 6164</v>
          </cell>
          <cell r="K825" t="str">
            <v>0248000157</v>
          </cell>
        </row>
        <row r="826">
          <cell r="G826" t="str">
            <v>ANODE 3ANA MAIN SPS ANACONDA DR GOSNELLS</v>
          </cell>
          <cell r="H826" t="str">
            <v>S2019362</v>
          </cell>
          <cell r="I826" t="str">
            <v>LOT 1008 RANFORD RD</v>
          </cell>
          <cell r="J826" t="str">
            <v>CANNING VALE WA 6155</v>
          </cell>
          <cell r="K826" t="str">
            <v>0181058012</v>
          </cell>
        </row>
        <row r="827">
          <cell r="G827" t="str">
            <v>DPS MERRICK WY DUNCRAIG</v>
          </cell>
          <cell r="H827" t="str">
            <v>D0036159</v>
          </cell>
          <cell r="I827" t="str">
            <v>MERRICK WAY</v>
          </cell>
          <cell r="J827" t="str">
            <v>DUNCRAIG WA 6023</v>
          </cell>
          <cell r="K827" t="str">
            <v>001401695</v>
          </cell>
        </row>
        <row r="828">
          <cell r="G828" t="str">
            <v>DPS MILLER ST EAST VIC PARK</v>
          </cell>
          <cell r="H828" t="str">
            <v>D0036467</v>
          </cell>
          <cell r="I828" t="str">
            <v>BEATTY AVE</v>
          </cell>
          <cell r="J828" t="str">
            <v>EAST VICTORIA PARK WA 6101</v>
          </cell>
          <cell r="K828" t="str">
            <v>410M140583</v>
          </cell>
        </row>
        <row r="829">
          <cell r="G829" t="str">
            <v>BORE SITE W120</v>
          </cell>
          <cell r="H829" t="str">
            <v>W1001567</v>
          </cell>
          <cell r="I829" t="str">
            <v>HSE 12 LOT 120W WANDOO RD</v>
          </cell>
          <cell r="J829" t="str">
            <v>PINJAR WA 6065</v>
          </cell>
          <cell r="K829" t="str">
            <v xml:space="preserve">0148002577     </v>
          </cell>
        </row>
        <row r="830">
          <cell r="G830" t="str">
            <v>SPS WYATT RD BAYSWATER</v>
          </cell>
          <cell r="H830" t="str">
            <v>S2002461</v>
          </cell>
          <cell r="I830" t="str">
            <v>LOT 50 WRIGHT CR</v>
          </cell>
          <cell r="J830" t="str">
            <v>BAYSWATER WA 6053</v>
          </cell>
          <cell r="K830" t="str">
            <v>0148003378</v>
          </cell>
        </row>
        <row r="831">
          <cell r="G831" t="str">
            <v>CATHODIC SITE, BOUNDARY RD (2BG)</v>
          </cell>
          <cell r="H831" t="str">
            <v>W0011596</v>
          </cell>
          <cell r="I831" t="str">
            <v>BOUNDARY RD</v>
          </cell>
          <cell r="J831" t="str">
            <v>WATTLE GROVE 6107</v>
          </cell>
          <cell r="K831" t="str">
            <v>15M226166</v>
          </cell>
        </row>
        <row r="832">
          <cell r="G832" t="str">
            <v>SPS ESSEX ST FREMANTLE</v>
          </cell>
          <cell r="H832" t="str">
            <v>S0033210</v>
          </cell>
          <cell r="I832" t="str">
            <v>U43 LOT 1589 ESSEX ST</v>
          </cell>
          <cell r="J832" t="str">
            <v>FREMANTLE WA 6160</v>
          </cell>
          <cell r="K832" t="str">
            <v>002101465</v>
          </cell>
        </row>
        <row r="833">
          <cell r="G833" t="str">
            <v>TANK EL 500M3 WSC NEWMAN WY BINNINGUP</v>
          </cell>
          <cell r="H833" t="str">
            <v>W0045338</v>
          </cell>
          <cell r="I833" t="str">
            <v>LOT 411 NEWMAN WAY</v>
          </cell>
          <cell r="J833" t="str">
            <v>BINNINGUP WA 6233</v>
          </cell>
          <cell r="K833" t="str">
            <v>15M51371</v>
          </cell>
        </row>
        <row r="834">
          <cell r="G834" t="str">
            <v>SPS THE ESPLANADE SCARBOROUGH</v>
          </cell>
          <cell r="H834" t="str">
            <v>S2018423</v>
          </cell>
          <cell r="I834" t="str">
            <v>THE ESPLANADE</v>
          </cell>
          <cell r="J834" t="str">
            <v>SCARBOROUGH WA 6019</v>
          </cell>
          <cell r="K834" t="str">
            <v>0280003135</v>
          </cell>
        </row>
        <row r="835">
          <cell r="G835" t="str">
            <v>WPS DAM 2 RAVENSTHORPE</v>
          </cell>
          <cell r="H835" t="str">
            <v>W0023874</v>
          </cell>
          <cell r="I835" t="str">
            <v>22 JAMIESON ST</v>
          </cell>
          <cell r="J835" t="str">
            <v>RAVENSTHORPE WA 6346</v>
          </cell>
          <cell r="K835" t="str">
            <v>0148002632</v>
          </cell>
        </row>
        <row r="836">
          <cell r="G836" t="str">
            <v>BORE SITE W110</v>
          </cell>
          <cell r="H836" t="str">
            <v>W1001565</v>
          </cell>
          <cell r="I836" t="str">
            <v>11 WANDOO RD</v>
          </cell>
          <cell r="J836" t="str">
            <v>PINJAR WA 6065</v>
          </cell>
          <cell r="K836" t="str">
            <v>0148002374</v>
          </cell>
        </row>
        <row r="837">
          <cell r="G837" t="str">
            <v>WPS DOWER ST MANDURAH</v>
          </cell>
          <cell r="H837" t="str">
            <v>W0045915</v>
          </cell>
          <cell r="I837" t="str">
            <v>75 DOWER ST</v>
          </cell>
          <cell r="J837" t="str">
            <v>MANDURAH  WA  6210</v>
          </cell>
          <cell r="K837" t="str">
            <v>0213001162</v>
          </cell>
        </row>
        <row r="838">
          <cell r="G838" t="str">
            <v>SPS WETHERED ST LEEMING</v>
          </cell>
          <cell r="H838" t="str">
            <v>S0033873</v>
          </cell>
          <cell r="I838" t="str">
            <v>LOT 116 WETHERED ST</v>
          </cell>
          <cell r="J838" t="str">
            <v>LEEMING WA 6149</v>
          </cell>
          <cell r="K838" t="str">
            <v>002101281</v>
          </cell>
        </row>
        <row r="839">
          <cell r="G839" t="str">
            <v>BORE 05-86 MINGENEW</v>
          </cell>
          <cell r="H839" t="str">
            <v>W0042145</v>
          </cell>
          <cell r="I839" t="str">
            <v>VICTORIA ST</v>
          </cell>
          <cell r="J839" t="str">
            <v>MINGENEW WA 6522</v>
          </cell>
          <cell r="K839" t="str">
            <v>410M121422</v>
          </cell>
        </row>
        <row r="840">
          <cell r="G840" t="str">
            <v>SPS GAINSBOROUGH WY MULLALOO</v>
          </cell>
          <cell r="H840" t="str">
            <v>S0027277</v>
          </cell>
          <cell r="I840" t="str">
            <v>LOT 412 GAINSBOROUGH WAY</v>
          </cell>
          <cell r="J840" t="str">
            <v>MULLALOO WA 6027</v>
          </cell>
          <cell r="K840" t="str">
            <v>0148005342</v>
          </cell>
        </row>
        <row r="841">
          <cell r="G841" t="str">
            <v>SPS LARISSA RD WILLETTON</v>
          </cell>
          <cell r="H841" t="str">
            <v>S0034327</v>
          </cell>
          <cell r="I841" t="str">
            <v>U53 LOT 1057 LARISSA RD</v>
          </cell>
          <cell r="J841" t="str">
            <v>WILLETTON WA 6155</v>
          </cell>
          <cell r="K841" t="str">
            <v>0081000141</v>
          </cell>
        </row>
        <row r="842">
          <cell r="G842" t="str">
            <v>SPS 2 HILTON WAY NAREMBEEN</v>
          </cell>
          <cell r="H842" t="str">
            <v>S0016625</v>
          </cell>
          <cell r="I842" t="str">
            <v>12 HILTON WAY</v>
          </cell>
          <cell r="J842" t="str">
            <v>NAREMBEEN WA 6369</v>
          </cell>
          <cell r="K842" t="str">
            <v>410M76638</v>
          </cell>
        </row>
        <row r="843">
          <cell r="G843" t="str">
            <v>SPS BUSSELL HWY COWARAMUP</v>
          </cell>
          <cell r="H843" t="str">
            <v>S8000427</v>
          </cell>
          <cell r="I843" t="str">
            <v>LOT 16 BUSSELL HWY</v>
          </cell>
          <cell r="J843" t="str">
            <v>COWARAMUP WA 6284</v>
          </cell>
          <cell r="K843" t="str">
            <v>450M22119</v>
          </cell>
        </row>
        <row r="844">
          <cell r="G844" t="str">
            <v>SPS O'MALLEY ST OSBORNE PARK</v>
          </cell>
          <cell r="H844" t="str">
            <v>S2015120</v>
          </cell>
          <cell r="I844" t="str">
            <v>44 O'MALLEY ST</v>
          </cell>
          <cell r="J844" t="str">
            <v>OSBORNE PARK WA 6017</v>
          </cell>
          <cell r="K844" t="str">
            <v>0180010292</v>
          </cell>
        </row>
        <row r="845">
          <cell r="G845" t="str">
            <v>WPS NK10 NYABING</v>
          </cell>
          <cell r="H845" t="str">
            <v>W0022963</v>
          </cell>
          <cell r="I845" t="str">
            <v>LOCN 7531 KATANNING-NYABING RD</v>
          </cell>
          <cell r="J845" t="str">
            <v>KATANNING WA 6317</v>
          </cell>
          <cell r="K845" t="str">
            <v>0148005272</v>
          </cell>
        </row>
        <row r="846">
          <cell r="G846" t="str">
            <v>THOM COURT CMS</v>
          </cell>
          <cell r="H846" t="str">
            <v>W0013171</v>
          </cell>
          <cell r="I846" t="str">
            <v>LOT 1002 BAILE RD</v>
          </cell>
          <cell r="J846" t="str">
            <v>CANNING VALE WA 6155</v>
          </cell>
          <cell r="K846" t="str">
            <v>10AM4145</v>
          </cell>
        </row>
        <row r="847">
          <cell r="G847" t="str">
            <v>BORE 40-74 PRISON</v>
          </cell>
          <cell r="H847" t="str">
            <v>W0023323</v>
          </cell>
          <cell r="I847" t="str">
            <v>LOT 40P SAND PATCH RD</v>
          </cell>
          <cell r="J847" t="str">
            <v>ALBANY WA 6330</v>
          </cell>
          <cell r="K847" t="str">
            <v>0148006436</v>
          </cell>
        </row>
        <row r="848">
          <cell r="G848" t="str">
            <v>SPS ULSTER RD YAKAMIA</v>
          </cell>
          <cell r="H848" t="str">
            <v>S7001186</v>
          </cell>
          <cell r="I848" t="str">
            <v>ULSTER RD</v>
          </cell>
          <cell r="J848" t="str">
            <v>YAKAMIA WA 6330</v>
          </cell>
          <cell r="K848" t="str">
            <v>0148006268</v>
          </cell>
        </row>
        <row r="849">
          <cell r="G849" t="str">
            <v>SPS CROMPTON RD ROCKINGHAM</v>
          </cell>
          <cell r="H849" t="str">
            <v>S0030355</v>
          </cell>
          <cell r="I849" t="str">
            <v>LOT 94 CROMPTON RD</v>
          </cell>
          <cell r="J849" t="str">
            <v>ROCKINGHAM WA 6168</v>
          </cell>
          <cell r="K849" t="str">
            <v>410M150949</v>
          </cell>
        </row>
        <row r="850">
          <cell r="G850" t="str">
            <v>SPS DOUGLAS ST SOUTH BUNBURY</v>
          </cell>
          <cell r="H850" t="str">
            <v>S0044042</v>
          </cell>
          <cell r="I850" t="str">
            <v>5 DOUGLAS ST</v>
          </cell>
          <cell r="J850" t="str">
            <v>SOUTH BUNBURY WA 6230</v>
          </cell>
          <cell r="K850" t="str">
            <v>410M54332</v>
          </cell>
        </row>
        <row r="851">
          <cell r="G851" t="str">
            <v>SPS QUARRY WY GREENFIELDS</v>
          </cell>
          <cell r="H851" t="str">
            <v>S0044760</v>
          </cell>
          <cell r="I851" t="str">
            <v>10 QUARRY WAY</v>
          </cell>
          <cell r="J851" t="str">
            <v>GREENFIELDS WA 6210</v>
          </cell>
          <cell r="K851" t="str">
            <v>410AM500801</v>
          </cell>
        </row>
        <row r="852">
          <cell r="G852" t="str">
            <v>WPS RAILWAY DAM NEWDEGATE</v>
          </cell>
          <cell r="H852" t="str">
            <v>W0022894</v>
          </cell>
          <cell r="I852" t="str">
            <v>LOT 01181 LAKE BIDDY RD</v>
          </cell>
          <cell r="J852" t="str">
            <v>NEWDEGATE WA 6355</v>
          </cell>
          <cell r="K852" t="str">
            <v>450M9575</v>
          </cell>
        </row>
        <row r="853">
          <cell r="G853" t="str">
            <v>WSC BOOTENAL RUDDS GULLY</v>
          </cell>
          <cell r="H853" t="str">
            <v>W0039716</v>
          </cell>
          <cell r="I853" t="str">
            <v>LOT 14 VERITA RD</v>
          </cell>
          <cell r="J853" t="str">
            <v>WANDINA WA 6530</v>
          </cell>
          <cell r="K853" t="str">
            <v>15M137234</v>
          </cell>
        </row>
        <row r="854">
          <cell r="G854" t="str">
            <v>SPS SWANBOURNE MAIN SWANBOURNE</v>
          </cell>
          <cell r="H854" t="str">
            <v>S0032687</v>
          </cell>
          <cell r="I854" t="str">
            <v>LOT 340 ALFRED RD</v>
          </cell>
          <cell r="J854" t="str">
            <v>SWANBOURNE WA 6010</v>
          </cell>
          <cell r="K854" t="str">
            <v>0211000228</v>
          </cell>
        </row>
        <row r="855">
          <cell r="G855" t="str">
            <v>SPS COOLGARDIE AV ASCOT</v>
          </cell>
          <cell r="H855" t="str">
            <v>S0034024</v>
          </cell>
          <cell r="I855" t="str">
            <v>LOT 43 COOLGARDIE AVE</v>
          </cell>
          <cell r="J855" t="str">
            <v>ASCOT WA 6104</v>
          </cell>
          <cell r="K855" t="str">
            <v>0348000639</v>
          </cell>
        </row>
        <row r="856">
          <cell r="G856" t="str">
            <v>SPS THE EMBANKMENT HAZELMERE</v>
          </cell>
          <cell r="H856" t="str">
            <v>S2019810</v>
          </cell>
          <cell r="I856" t="str">
            <v>LOT 701 THE EMBANKMENT</v>
          </cell>
          <cell r="J856" t="str">
            <v>SOUTH GUILDFORD WA 6055</v>
          </cell>
          <cell r="K856" t="str">
            <v>0350016188</v>
          </cell>
        </row>
        <row r="857">
          <cell r="G857" t="str">
            <v>KEWDALE ROAD CMS</v>
          </cell>
          <cell r="H857" t="str">
            <v>W0011820</v>
          </cell>
          <cell r="I857" t="str">
            <v>HORRIE MILLER DR</v>
          </cell>
          <cell r="J857" t="str">
            <v>PERTH AIRPORT WA 6105</v>
          </cell>
          <cell r="K857" t="str">
            <v>410M129979</v>
          </cell>
        </row>
        <row r="858">
          <cell r="G858" t="str">
            <v>SPS 3 LONGHURST ST NAREMBEEN</v>
          </cell>
          <cell r="H858" t="str">
            <v>S0016631</v>
          </cell>
          <cell r="I858" t="str">
            <v>30 LONGHURST ST</v>
          </cell>
          <cell r="J858" t="str">
            <v>NAREMBEEN WA 6369</v>
          </cell>
          <cell r="K858" t="str">
            <v>410M82243</v>
          </cell>
        </row>
        <row r="859">
          <cell r="G859" t="str">
            <v>CATHODIC SITE LAKE ROAD OXY/STN</v>
          </cell>
          <cell r="H859" t="str">
            <v>S0003261</v>
          </cell>
          <cell r="I859" t="str">
            <v>U43 LAKE ST</v>
          </cell>
          <cell r="J859" t="str">
            <v>ROCKINGHAM WA 6168</v>
          </cell>
          <cell r="K859" t="str">
            <v>0148001104</v>
          </cell>
        </row>
        <row r="860">
          <cell r="G860"/>
          <cell r="H860" t="e">
            <v>#N/A</v>
          </cell>
          <cell r="I860" t="str">
            <v>HSE NO 227 LOT 1017 LOWER STIRLING TCE</v>
          </cell>
          <cell r="J860" t="str">
            <v>ALBANY WA 6330</v>
          </cell>
          <cell r="K860" t="str">
            <v>0148006248</v>
          </cell>
        </row>
        <row r="861">
          <cell r="G861" t="str">
            <v>WPS BARTRAM RD DUMBLEYUNG</v>
          </cell>
          <cell r="H861" t="str">
            <v>W049-003-003-002-001</v>
          </cell>
          <cell r="I861" t="str">
            <v>BENNETT ST</v>
          </cell>
          <cell r="J861" t="str">
            <v>DUMBLEYUNG WA 6350</v>
          </cell>
          <cell r="K861" t="str">
            <v>410M2006058</v>
          </cell>
        </row>
        <row r="862">
          <cell r="G862" t="str">
            <v>DEPOT BARLEE ST GINGIN</v>
          </cell>
          <cell r="H862" t="str">
            <v>C0036870</v>
          </cell>
          <cell r="I862" t="str">
            <v>LOT 55 BARLEE ST</v>
          </cell>
          <cell r="J862" t="str">
            <v>GINGIN WA 6503</v>
          </cell>
          <cell r="K862" t="str">
            <v>410L14259</v>
          </cell>
        </row>
        <row r="863">
          <cell r="G863" t="str">
            <v>SPS VIKING RD DALKEITH</v>
          </cell>
          <cell r="H863" t="str">
            <v>S0032702</v>
          </cell>
          <cell r="I863" t="str">
            <v>VIKING RD</v>
          </cell>
          <cell r="J863" t="str">
            <v>DALKEITH WA 6009</v>
          </cell>
          <cell r="K863" t="str">
            <v>450M22311</v>
          </cell>
        </row>
        <row r="864">
          <cell r="G864" t="str">
            <v>SPS 5 RIVERSIDE OUTLOOK NORTHAM</v>
          </cell>
          <cell r="H864" t="str">
            <v>S5010322</v>
          </cell>
          <cell r="I864" t="str">
            <v>LOT 45 RIVERSIDE OTLK</v>
          </cell>
          <cell r="J864" t="str">
            <v>NORTHAM WA 6401</v>
          </cell>
          <cell r="K864" t="str">
            <v>0350022191</v>
          </cell>
        </row>
        <row r="865">
          <cell r="G865" t="str">
            <v>BORE SITE M550</v>
          </cell>
          <cell r="H865" t="str">
            <v>W1006282</v>
          </cell>
          <cell r="I865" t="str">
            <v>BEACH RD</v>
          </cell>
          <cell r="J865" t="str">
            <v>GIRRAWHEEN WA 6064</v>
          </cell>
          <cell r="K865" t="str">
            <v>0148002520</v>
          </cell>
        </row>
        <row r="866">
          <cell r="G866" t="str">
            <v>SPS PARKWAY ST CRAWLEY</v>
          </cell>
          <cell r="H866" t="str">
            <v>S0032284</v>
          </cell>
          <cell r="I866" t="str">
            <v>LOT 8178 PARKWAY</v>
          </cell>
          <cell r="J866" t="str">
            <v>CRAWLEY WA 6009</v>
          </cell>
          <cell r="K866" t="str">
            <v>0148004042</v>
          </cell>
        </row>
        <row r="867">
          <cell r="G867" t="str">
            <v>SPS NAIRN RD COODANUP</v>
          </cell>
          <cell r="H867" t="str">
            <v>S0044746</v>
          </cell>
          <cell r="I867" t="str">
            <v>NAIRN RD</v>
          </cell>
          <cell r="J867" t="str">
            <v>COODANUP WA 6210</v>
          </cell>
          <cell r="K867" t="str">
            <v>410M138497</v>
          </cell>
        </row>
        <row r="868">
          <cell r="G868" t="str">
            <v>SPS O'CONNELL ST LITTLE GROVE</v>
          </cell>
          <cell r="H868" t="str">
            <v>S7010420</v>
          </cell>
          <cell r="I868" t="str">
            <v>LOT 4 O'CONNELL ST</v>
          </cell>
          <cell r="J868" t="str">
            <v>LITTLE GROVE WA 6330</v>
          </cell>
          <cell r="K868" t="str">
            <v>000000000211000586</v>
          </cell>
        </row>
        <row r="869">
          <cell r="G869" t="str">
            <v>CDP CARSTAIRS RD VARLEY</v>
          </cell>
          <cell r="H869" t="str">
            <v>W061-001</v>
          </cell>
          <cell r="I869" t="str">
            <v>U52/1 PITT ST</v>
          </cell>
          <cell r="J869" t="str">
            <v>VARLEY WA 6355</v>
          </cell>
          <cell r="K869" t="str">
            <v>15M276477</v>
          </cell>
        </row>
        <row r="870">
          <cell r="G870" t="str">
            <v>WPS HANNANS</v>
          </cell>
          <cell r="H870" t="str">
            <v>W0020899</v>
          </cell>
          <cell r="I870" t="str">
            <v>LOT 35227 NANKIVILLE RD</v>
          </cell>
          <cell r="J870" t="str">
            <v>KALGOORLIE WA 6430</v>
          </cell>
          <cell r="K870" t="str">
            <v>0180029307</v>
          </cell>
        </row>
        <row r="871">
          <cell r="G871" t="str">
            <v>#SPS BARRACK ST JETTY PERTH</v>
          </cell>
          <cell r="H871" t="str">
            <v>S0030869</v>
          </cell>
          <cell r="I871" t="str">
            <v>LOT 1 BARRACK SQ</v>
          </cell>
          <cell r="J871" t="str">
            <v>PERTH WA 6000</v>
          </cell>
          <cell r="K871" t="str">
            <v>450M22355</v>
          </cell>
        </row>
        <row r="872">
          <cell r="G872" t="str">
            <v>BORE SITE P110</v>
          </cell>
          <cell r="H872" t="str">
            <v>W1001512</v>
          </cell>
          <cell r="I872" t="str">
            <v>LOT 110P PERRY RD</v>
          </cell>
          <cell r="J872" t="str">
            <v>PINJAR WA 6065</v>
          </cell>
          <cell r="K872" t="str">
            <v>0211001227</v>
          </cell>
        </row>
        <row r="873">
          <cell r="G873" t="str">
            <v>SPS NANCARROW WY RAVENSWOOD</v>
          </cell>
          <cell r="H873" t="str">
            <v>S8000835</v>
          </cell>
          <cell r="I873" t="str">
            <v>NANCARROW WAY</v>
          </cell>
          <cell r="J873" t="str">
            <v>RAVENSWOOD WA 6208</v>
          </cell>
          <cell r="K873" t="str">
            <v>0148006274</v>
          </cell>
        </row>
        <row r="874">
          <cell r="G874" t="str">
            <v>SPS CAMPBELL RD CANNING VALE</v>
          </cell>
          <cell r="H874" t="str">
            <v>S0034237</v>
          </cell>
          <cell r="I874" t="str">
            <v>LOT 7/120 CAMPBELL RD</v>
          </cell>
          <cell r="J874" t="str">
            <v>CANNINGVALE  WA  6155</v>
          </cell>
          <cell r="K874" t="str">
            <v>0148006283</v>
          </cell>
        </row>
        <row r="875">
          <cell r="G875" t="str">
            <v>SPS CHRISTIAN CIR QUINNS ROCKS</v>
          </cell>
          <cell r="H875" t="str">
            <v>S0029114</v>
          </cell>
          <cell r="I875" t="str">
            <v>LOT 684 CHRISTIAN CIR</v>
          </cell>
          <cell r="J875" t="str">
            <v>QUINNS ROCKS WA 6030</v>
          </cell>
          <cell r="K875" t="str">
            <v>410M2005629</v>
          </cell>
        </row>
        <row r="876">
          <cell r="G876" t="str">
            <v>SPS ESTUARY DR PELICAN POINT</v>
          </cell>
          <cell r="H876" t="str">
            <v>S0044509</v>
          </cell>
          <cell r="I876" t="str">
            <v>ESTUARY DR</v>
          </cell>
          <cell r="J876" t="str">
            <v>PELICAN POINT WA 6230</v>
          </cell>
          <cell r="K876" t="str">
            <v>0148006545</v>
          </cell>
        </row>
        <row r="877">
          <cell r="G877" t="str">
            <v>BORE SITE LEEDERVILLE BORE NO.5</v>
          </cell>
          <cell r="H877" t="str">
            <v>W1001629</v>
          </cell>
          <cell r="I877" t="str">
            <v>LOT 849 RAILWAY PDE</v>
          </cell>
          <cell r="J877" t="str">
            <v>WEST PERTH WA 6005</v>
          </cell>
          <cell r="K877" t="str">
            <v>0136005106</v>
          </cell>
        </row>
        <row r="878">
          <cell r="G878"/>
          <cell r="H878" t="e">
            <v>#N/A</v>
          </cell>
          <cell r="I878" t="str">
            <v>LOC 17838 MILLS RD</v>
          </cell>
          <cell r="J878" t="str">
            <v>CUNDERDIN WA 6407</v>
          </cell>
          <cell r="K878" t="str">
            <v>15M86669</v>
          </cell>
        </row>
        <row r="879">
          <cell r="G879" t="str">
            <v>SPS ESPLANADE LOWER KING</v>
          </cell>
          <cell r="H879" t="str">
            <v>S0022226</v>
          </cell>
          <cell r="I879" t="str">
            <v>LOT 7609 THE ESPLANADE</v>
          </cell>
          <cell r="J879" t="str">
            <v>LOWER KING WA 6330</v>
          </cell>
          <cell r="K879" t="str">
            <v>410M167495</v>
          </cell>
        </row>
        <row r="880">
          <cell r="G880" t="str">
            <v>TANK WSC CADDADUP DAWESVILLE</v>
          </cell>
          <cell r="H880" t="str">
            <v>W0045935</v>
          </cell>
          <cell r="I880" t="str">
            <v>945 OLD COAST RD</v>
          </cell>
          <cell r="J880" t="str">
            <v>DAWESVILLE WA 6211</v>
          </cell>
          <cell r="K880" t="str">
            <v>15M90375</v>
          </cell>
        </row>
        <row r="881">
          <cell r="G881" t="str">
            <v>WPS DUDAWA WEST BOWGADA</v>
          </cell>
          <cell r="H881" t="str">
            <v>W4001391</v>
          </cell>
          <cell r="I881" t="str">
            <v>2890 MORAWA THREE SPRINGS RD</v>
          </cell>
          <cell r="J881" t="str">
            <v>DUDAWA WA 6519</v>
          </cell>
          <cell r="K881" t="str">
            <v>0136001563</v>
          </cell>
        </row>
        <row r="882">
          <cell r="G882" t="str">
            <v>SPS TOMLINSON ST WELSHPOOL</v>
          </cell>
          <cell r="H882" t="str">
            <v>S0033116</v>
          </cell>
          <cell r="I882" t="str">
            <v>TOMLINSON ST</v>
          </cell>
          <cell r="J882" t="str">
            <v>WELSHPOOL WA 6106</v>
          </cell>
          <cell r="K882" t="str">
            <v>410M3095</v>
          </cell>
        </row>
        <row r="883">
          <cell r="G883" t="str">
            <v>PSU WSC ALLEN RD WALPOLE</v>
          </cell>
          <cell r="H883" t="str">
            <v>W8006247</v>
          </cell>
          <cell r="I883" t="str">
            <v>LOT 10184 ALLEN RD</v>
          </cell>
          <cell r="J883" t="str">
            <v>WALPOLE</v>
          </cell>
          <cell r="K883" t="str">
            <v>000000000510003013</v>
          </cell>
        </row>
        <row r="884">
          <cell r="G884" t="str">
            <v>SPS TWO ROCKS RD YANCHEP</v>
          </cell>
          <cell r="H884" t="str">
            <v>S2020124</v>
          </cell>
          <cell r="I884" t="str">
            <v>LOT 9014 TWO ROCKS RD</v>
          </cell>
          <cell r="J884" t="str">
            <v>YANCHEP WA 6035</v>
          </cell>
          <cell r="K884" t="str">
            <v>0350031209</v>
          </cell>
        </row>
        <row r="885">
          <cell r="G885" t="str">
            <v>OBS BORE 37-73 PRISON</v>
          </cell>
          <cell r="H885" t="str">
            <v>W0023285</v>
          </cell>
          <cell r="I885" t="str">
            <v>U56 LOT 37 SAND PIT RD</v>
          </cell>
          <cell r="J885" t="str">
            <v>CUTHBERT WA 6330</v>
          </cell>
          <cell r="K885" t="str">
            <v>410M67691</v>
          </cell>
        </row>
        <row r="886">
          <cell r="G886" t="str">
            <v>CHL SYS WEST NAREMBEEN</v>
          </cell>
          <cell r="H886" t="str">
            <v>W5017040</v>
          </cell>
          <cell r="I886" t="str">
            <v>ROACH RD</v>
          </cell>
          <cell r="J886" t="str">
            <v>WADDERIN WA 6369</v>
          </cell>
          <cell r="K886" t="str">
            <v>0200055970</v>
          </cell>
        </row>
        <row r="887">
          <cell r="G887" t="str">
            <v>SPS PRINCESS ROYAL DR ALBANY</v>
          </cell>
          <cell r="H887" t="str">
            <v>S7000137</v>
          </cell>
          <cell r="I887" t="str">
            <v>LOT 1584 PRINCESS ROYAL DR</v>
          </cell>
          <cell r="J887" t="str">
            <v>ALBANY WA 6330</v>
          </cell>
          <cell r="K887" t="str">
            <v>410M197568</v>
          </cell>
        </row>
        <row r="888">
          <cell r="G888" t="str">
            <v>#SPS PILBARA ST WELSHPOOL</v>
          </cell>
          <cell r="H888" t="str">
            <v>S0033073</v>
          </cell>
          <cell r="I888" t="str">
            <v>PILBARA ST</v>
          </cell>
          <cell r="J888" t="str">
            <v>WELSHPOOL WA 6106</v>
          </cell>
          <cell r="K888" t="str">
            <v>0148006115</v>
          </cell>
        </row>
        <row r="889">
          <cell r="G889" t="str">
            <v>WPS MC WILLIAMS ST WILLIAMS</v>
          </cell>
          <cell r="H889" t="str">
            <v>W049-003-004-026</v>
          </cell>
          <cell r="I889" t="str">
            <v>LOT 222 NARROGIN RD</v>
          </cell>
          <cell r="J889" t="str">
            <v>WILLIAMS WA 6391</v>
          </cell>
          <cell r="K889" t="str">
            <v>001401745</v>
          </cell>
        </row>
        <row r="890">
          <cell r="G890" t="str">
            <v>SPS GLENGARRY CRT MT TARCOOLA</v>
          </cell>
          <cell r="H890" t="str">
            <v>S0037762</v>
          </cell>
          <cell r="I890" t="str">
            <v>LOT 3089 ACACIA ST</v>
          </cell>
          <cell r="J890" t="str">
            <v>MT TARCOOLA</v>
          </cell>
          <cell r="K890" t="str">
            <v>0180021875</v>
          </cell>
        </row>
        <row r="891">
          <cell r="G891" t="str">
            <v>SAWYERS VALLEY CMS</v>
          </cell>
          <cell r="H891" t="str">
            <v>W0010790</v>
          </cell>
          <cell r="I891" t="str">
            <v>HELENA TCE</v>
          </cell>
          <cell r="J891" t="str">
            <v>SAWYERS VALLEY WA 6074</v>
          </cell>
          <cell r="K891" t="str">
            <v>410M189253</v>
          </cell>
        </row>
        <row r="892">
          <cell r="G892" t="str">
            <v>BORE SITE L700</v>
          </cell>
          <cell r="H892" t="str">
            <v>W1001416</v>
          </cell>
          <cell r="I892" t="str">
            <v>LOT 700 KRAKE RD</v>
          </cell>
          <cell r="J892" t="str">
            <v>BULLSBROOK WA 6084</v>
          </cell>
          <cell r="K892" t="str">
            <v>0136003733</v>
          </cell>
        </row>
        <row r="893">
          <cell r="G893" t="str">
            <v>SPS STH WEST HWY NTH BRIDGETOWN</v>
          </cell>
          <cell r="H893" t="str">
            <v>S8000516</v>
          </cell>
          <cell r="I893" t="str">
            <v>LOT 5 SOUTH WESTERN HWY</v>
          </cell>
          <cell r="J893" t="str">
            <v>BRIDGETOWN WA 6255</v>
          </cell>
          <cell r="K893" t="str">
            <v>0136000381</v>
          </cell>
        </row>
        <row r="894">
          <cell r="G894" t="str">
            <v>SPS PLEASANT GROVE CIR FALCON</v>
          </cell>
          <cell r="H894" t="str">
            <v>S8009263</v>
          </cell>
          <cell r="I894" t="str">
            <v>1 PLEASANT GROVE CIR</v>
          </cell>
          <cell r="J894" t="str">
            <v>FALCON WA 6210</v>
          </cell>
          <cell r="K894" t="str">
            <v>0350001405</v>
          </cell>
        </row>
        <row r="895">
          <cell r="G895" t="str">
            <v>SPS RECREATION DR EATON</v>
          </cell>
          <cell r="H895" t="str">
            <v>S0044528</v>
          </cell>
          <cell r="I895" t="str">
            <v>RECREATION DR</v>
          </cell>
          <cell r="J895" t="str">
            <v>EATON WA 6232</v>
          </cell>
          <cell r="K895" t="str">
            <v>410M2006012</v>
          </cell>
        </row>
        <row r="896">
          <cell r="G896" t="str">
            <v>WPS SOUTH KUNUNOPPIN</v>
          </cell>
          <cell r="H896" t="str">
            <v>W0019950</v>
          </cell>
          <cell r="I896" t="str">
            <v>LOC 11915 BARNES RD</v>
          </cell>
          <cell r="J896" t="str">
            <v>TRAYNING WA 6488</v>
          </cell>
          <cell r="K896" t="str">
            <v>002101513</v>
          </cell>
        </row>
        <row r="897">
          <cell r="G897" t="str">
            <v>TANK WSC UNWIN AV WEMBLEY DOWNS</v>
          </cell>
          <cell r="H897" t="str">
            <v>W0034544</v>
          </cell>
          <cell r="I897" t="str">
            <v>UNWIN AVE</v>
          </cell>
          <cell r="J897" t="str">
            <v>WEMBLEY DOWNS WA 6019</v>
          </cell>
          <cell r="K897" t="str">
            <v>0200027980</v>
          </cell>
        </row>
        <row r="898">
          <cell r="G898" t="str">
            <v>SPS LAPWING WY WANDINA</v>
          </cell>
          <cell r="H898" t="str">
            <v>S4001071</v>
          </cell>
          <cell r="I898" t="str">
            <v>LOT 780 LAPWING WAY</v>
          </cell>
          <cell r="J898" t="str">
            <v>WANDINA WA 6530</v>
          </cell>
          <cell r="K898" t="str">
            <v>0180036740</v>
          </cell>
        </row>
        <row r="899">
          <cell r="G899" t="str">
            <v>SPS ABERNETHY RD EAST PERTH AIRPORT</v>
          </cell>
          <cell r="H899" t="str">
            <v>S2003482</v>
          </cell>
          <cell r="I899" t="str">
            <v>LOT 13575 ABERNETHY RD</v>
          </cell>
          <cell r="J899" t="str">
            <v>FORRESTFIELD WA 6058</v>
          </cell>
          <cell r="K899" t="str">
            <v>0180000964</v>
          </cell>
        </row>
        <row r="900">
          <cell r="G900" t="str">
            <v>WPS MERREDIN</v>
          </cell>
          <cell r="H900" t="str">
            <v>W5004967</v>
          </cell>
          <cell r="I900" t="str">
            <v>LOT 1361 BARRACK ST</v>
          </cell>
          <cell r="J900" t="str">
            <v>MERREDIN WA 6415</v>
          </cell>
          <cell r="K900" t="str">
            <v>0214000190</v>
          </cell>
        </row>
        <row r="901">
          <cell r="G901" t="str">
            <v>BORE SITE M330</v>
          </cell>
          <cell r="H901" t="str">
            <v>W1001353</v>
          </cell>
          <cell r="I901" t="str">
            <v>LOT 330M GNANGARA RD</v>
          </cell>
          <cell r="J901" t="str">
            <v>CULLACABARDEE WA 6067</v>
          </cell>
          <cell r="K901" t="str">
            <v>0148006230</v>
          </cell>
        </row>
        <row r="902">
          <cell r="G902"/>
          <cell r="H902" t="e">
            <v>#N/A</v>
          </cell>
          <cell r="I902" t="str">
            <v>240 BALCATTA RD</v>
          </cell>
          <cell r="J902" t="str">
            <v>BALCATTA WA 6021</v>
          </cell>
          <cell r="K902" t="str">
            <v>0211000063 
0214002332</v>
          </cell>
        </row>
        <row r="903">
          <cell r="G903" t="str">
            <v>BORE SITE M300</v>
          </cell>
          <cell r="H903" t="str">
            <v>W1001337</v>
          </cell>
          <cell r="I903" t="str">
            <v>LOT 300M GNANGARA RD</v>
          </cell>
          <cell r="J903" t="str">
            <v>LANDSDALE WA 6065</v>
          </cell>
          <cell r="K903" t="str">
            <v>0211000937</v>
          </cell>
        </row>
        <row r="904">
          <cell r="G904" t="str">
            <v>SPS NORTH RD YAKAMIA</v>
          </cell>
          <cell r="H904" t="str">
            <v>S0022311</v>
          </cell>
          <cell r="I904" t="str">
            <v>LOT 100 NORTH RD</v>
          </cell>
          <cell r="J904" t="str">
            <v>YAKAMIA WA 6330</v>
          </cell>
          <cell r="K904" t="str">
            <v>0211000661</v>
          </cell>
        </row>
        <row r="905">
          <cell r="G905" t="str">
            <v>SPS MARTIN ST MT BARKER</v>
          </cell>
          <cell r="H905" t="str">
            <v>S027-002-003</v>
          </cell>
          <cell r="I905" t="str">
            <v>UA LOT 337 MARTIN ST</v>
          </cell>
          <cell r="J905" t="str">
            <v>MOUNT BARKER WA 6324</v>
          </cell>
          <cell r="K905" t="str">
            <v>410M227108</v>
          </cell>
        </row>
        <row r="906">
          <cell r="G906" t="str">
            <v>TANK WSC WANDEARA CR MUNDARING</v>
          </cell>
          <cell r="H906" t="str">
            <v>W0035548</v>
          </cell>
          <cell r="I906" t="str">
            <v>38 WANDEARA CRES</v>
          </cell>
          <cell r="J906" t="str">
            <v>MUNDARING WA 6073</v>
          </cell>
          <cell r="K906" t="str">
            <v>15M211479</v>
          </cell>
        </row>
        <row r="907">
          <cell r="G907" t="str">
            <v>WUNGONG DAM</v>
          </cell>
          <cell r="H907" t="str">
            <v>W0008978</v>
          </cell>
          <cell r="I907" t="str">
            <v>41 ADMIRAL RD</v>
          </cell>
          <cell r="J907" t="str">
            <v>BEDFORDALE WA 6112</v>
          </cell>
          <cell r="K907" t="str">
            <v>410M136317</v>
          </cell>
        </row>
        <row r="908">
          <cell r="G908" t="str">
            <v>SPS ECCLESBORNE ST MOSMAN PARK</v>
          </cell>
          <cell r="H908" t="str">
            <v>S0032608</v>
          </cell>
          <cell r="I908" t="str">
            <v>DOVER CT</v>
          </cell>
          <cell r="J908" t="str">
            <v>MOSMAN PARK WA 6012</v>
          </cell>
          <cell r="K908" t="str">
            <v>410M103952</v>
          </cell>
        </row>
        <row r="909">
          <cell r="G909" t="str">
            <v>TANK GL 1 WSC VIDLER RD NATURALISTE</v>
          </cell>
          <cell r="H909" t="str">
            <v>W0045689</v>
          </cell>
          <cell r="I909" t="str">
            <v>144 GIFFORD RD</v>
          </cell>
          <cell r="J909" t="str">
            <v>DUNSBOROUGH WA 6281</v>
          </cell>
          <cell r="K909" t="str">
            <v>0248001605</v>
          </cell>
        </row>
        <row r="910">
          <cell r="G910" t="str">
            <v>BOREFIELD SEAVIEW PARK</v>
          </cell>
          <cell r="H910" t="str">
            <v>W0042698</v>
          </cell>
          <cell r="I910" t="str">
            <v>LOT 750 SEAVIEW DR</v>
          </cell>
          <cell r="J910" t="str">
            <v>KARAKIN WA 6044</v>
          </cell>
          <cell r="K910" t="str">
            <v>0136006465</v>
          </cell>
        </row>
        <row r="911">
          <cell r="G911" t="str">
            <v>CHL SYS HYPO BALLIDU</v>
          </cell>
          <cell r="H911" t="str">
            <v>W5022523</v>
          </cell>
          <cell r="I911" t="str">
            <v>LOT 500 FEDERATION ST</v>
          </cell>
          <cell r="J911" t="str">
            <v>BALLIDU WA 6606</v>
          </cell>
          <cell r="K911" t="str">
            <v>0249000090</v>
          </cell>
        </row>
        <row r="912">
          <cell r="G912" t="str">
            <v>SPS STONE ST QUINDALUP</v>
          </cell>
          <cell r="H912" t="str">
            <v>S8000002</v>
          </cell>
          <cell r="I912" t="str">
            <v>LOT 111 STONE ST</v>
          </cell>
          <cell r="J912" t="str">
            <v>QUINDALUP WA 6281</v>
          </cell>
          <cell r="K912" t="str">
            <v>410M192615</v>
          </cell>
        </row>
        <row r="913">
          <cell r="G913" t="str">
            <v>#AUTO MBV CADDADUP TANK FLOWS MANDURAH W</v>
          </cell>
          <cell r="H913" t="str">
            <v>W0045861</v>
          </cell>
          <cell r="I913" t="str">
            <v>310 PINJARRA RD</v>
          </cell>
          <cell r="J913" t="str">
            <v>MANDURAH WA 6210</v>
          </cell>
          <cell r="K913" t="str">
            <v>410M140406</v>
          </cell>
        </row>
        <row r="914">
          <cell r="G914" t="str">
            <v>WWTP DENMARK</v>
          </cell>
          <cell r="H914" t="str">
            <v>S023-003-001</v>
          </cell>
          <cell r="I914" t="str">
            <v>HSE NO 5 LOT 1 ZIMMERMAN ST</v>
          </cell>
          <cell r="J914" t="str">
            <v>DENMARK WA 6333</v>
          </cell>
          <cell r="K914" t="str">
            <v xml:space="preserve">0211001218     </v>
          </cell>
        </row>
        <row r="915">
          <cell r="G915" t="str">
            <v>ELECT INSTALL WPS PARIS RD AUSTRALIND</v>
          </cell>
          <cell r="H915" t="str">
            <v>W8004430</v>
          </cell>
          <cell r="I915" t="str">
            <v>LOT 5883 PARIS RD</v>
          </cell>
          <cell r="J915" t="str">
            <v>AUSTRALIND WA 6233</v>
          </cell>
          <cell r="K915" t="str">
            <v>0148006352</v>
          </cell>
        </row>
        <row r="916">
          <cell r="G916" t="str">
            <v>SPS RANGE RD YAKAMIA</v>
          </cell>
          <cell r="H916" t="str">
            <v>S7001165</v>
          </cell>
          <cell r="I916" t="str">
            <v>LOT 157 RANGE RD</v>
          </cell>
          <cell r="J916" t="str">
            <v>YAKAMIA WA 6330</v>
          </cell>
          <cell r="K916" t="str">
            <v>0180009595</v>
          </cell>
        </row>
        <row r="917">
          <cell r="G917" t="str">
            <v>TANK WSC PHILLIPS RD MUNDARING</v>
          </cell>
          <cell r="H917" t="str">
            <v>W0035550</v>
          </cell>
          <cell r="I917" t="str">
            <v>PHILLIPS RD</v>
          </cell>
          <cell r="J917" t="str">
            <v>MUNDARING WA 6073</v>
          </cell>
          <cell r="K917" t="str">
            <v>0350029317</v>
          </cell>
        </row>
        <row r="918">
          <cell r="G918" t="str">
            <v>SPS KILKENNY CIR WATERFORD</v>
          </cell>
          <cell r="H918" t="str">
            <v>S0033016</v>
          </cell>
          <cell r="I918" t="str">
            <v>KILKENNY CIR</v>
          </cell>
          <cell r="J918" t="str">
            <v>WATERFORD WA 6152</v>
          </cell>
          <cell r="K918" t="str">
            <v>450M22348</v>
          </cell>
        </row>
        <row r="919">
          <cell r="G919" t="str">
            <v>SPS BENNETT AV HAMILTON HILL</v>
          </cell>
          <cell r="H919" t="str">
            <v>S2000016</v>
          </cell>
          <cell r="I919" t="str">
            <v>LOT 126 BENNETT AVE</v>
          </cell>
          <cell r="J919" t="str">
            <v>HAMILTON HILL WA 6163</v>
          </cell>
          <cell r="K919" t="str">
            <v>0136004410</v>
          </cell>
        </row>
        <row r="920">
          <cell r="G920" t="str">
            <v>SPS CARRINGTON ST NEDLANDS</v>
          </cell>
          <cell r="H920" t="str">
            <v>S0032613</v>
          </cell>
          <cell r="I920" t="str">
            <v>21 CARRINGTON ST</v>
          </cell>
          <cell r="J920" t="str">
            <v>NEDLANDS WA 6009</v>
          </cell>
          <cell r="K920" t="str">
            <v>410M102701</v>
          </cell>
        </row>
        <row r="921">
          <cell r="G921" t="str">
            <v>BORE 01-91 QUINDALUP SIDING RD</v>
          </cell>
          <cell r="H921" t="str">
            <v>W0045705</v>
          </cell>
          <cell r="I921" t="str">
            <v>UA 103 QUINDALUP SIDING RD</v>
          </cell>
          <cell r="J921" t="str">
            <v>QUINDALUP WA 6281</v>
          </cell>
          <cell r="K921" t="str">
            <v>000000000148003324</v>
          </cell>
        </row>
        <row r="922">
          <cell r="G922" t="str">
            <v>SPS CLIFTON ST MADDINGTON</v>
          </cell>
          <cell r="H922" t="str">
            <v>S0033388</v>
          </cell>
          <cell r="I922" t="str">
            <v>U43 LOT 36 CLIFTON ST</v>
          </cell>
          <cell r="J922" t="str">
            <v>MADDINGTON WA 6109</v>
          </cell>
          <cell r="K922" t="str">
            <v>0148001617</v>
          </cell>
        </row>
        <row r="923">
          <cell r="G923" t="str">
            <v>BORE SITE M570</v>
          </cell>
          <cell r="H923" t="str">
            <v>W1006286</v>
          </cell>
          <cell r="I923" t="str">
            <v>DERRINGTON CR</v>
          </cell>
          <cell r="J923" t="str">
            <v>BALGA WA 6061</v>
          </cell>
          <cell r="K923" t="str">
            <v>0148002522</v>
          </cell>
        </row>
        <row r="924">
          <cell r="G924" t="str">
            <v>SPS CORFIELD ST GOSNELLS</v>
          </cell>
          <cell r="H924" t="str">
            <v>S0033402</v>
          </cell>
          <cell r="I924" t="str">
            <v>BELLA CT</v>
          </cell>
          <cell r="J924" t="str">
            <v>GOSNELLS WA 6110</v>
          </cell>
          <cell r="K924" t="str">
            <v>450M22316</v>
          </cell>
        </row>
        <row r="925">
          <cell r="G925" t="str">
            <v>BORE 11-99 WERILLUP</v>
          </cell>
          <cell r="H925" t="str">
            <v>W7000394</v>
          </cell>
          <cell r="I925" t="str">
            <v>LOCN 2480 SAND PIT RD</v>
          </cell>
          <cell r="J925" t="str">
            <v>ROBINSON WA 6330</v>
          </cell>
          <cell r="K925" t="str">
            <v>0148004877</v>
          </cell>
        </row>
        <row r="926">
          <cell r="G926" t="str">
            <v>SPS ROCKFORD ST MANDURAH</v>
          </cell>
          <cell r="H926" t="str">
            <v>S0044763</v>
          </cell>
          <cell r="I926" t="str">
            <v>ROCKFORD ST</v>
          </cell>
          <cell r="J926" t="str">
            <v>MANDURAH WA 6210</v>
          </cell>
          <cell r="K926" t="str">
            <v>410AM43019</v>
          </cell>
        </row>
        <row r="927">
          <cell r="G927" t="str">
            <v>WPS STEERE ST DONNYBROOK</v>
          </cell>
          <cell r="H927" t="str">
            <v>W0045589</v>
          </cell>
          <cell r="I927" t="str">
            <v>STEERE ST</v>
          </cell>
          <cell r="J927" t="str">
            <v>DONNYBROOK WA 6239</v>
          </cell>
          <cell r="K927" t="str">
            <v>410M2005510</v>
          </cell>
        </row>
        <row r="928">
          <cell r="G928" t="str">
            <v>SPS CAPORN ST MOSMAN PARK</v>
          </cell>
          <cell r="H928" t="str">
            <v>S2018322</v>
          </cell>
          <cell r="I928" t="str">
            <v>LOT 81 CAPORN ST</v>
          </cell>
          <cell r="J928" t="str">
            <v>MOSMAN PARK WA 6012</v>
          </cell>
          <cell r="K928" t="str">
            <v>0280001807</v>
          </cell>
        </row>
        <row r="929">
          <cell r="G929" t="str">
            <v>REPEATER SITE MT MELVILLE</v>
          </cell>
          <cell r="H929" t="str">
            <v>C7000265</v>
          </cell>
          <cell r="I929" t="str">
            <v>LOT 1199 MELVILLE DR</v>
          </cell>
          <cell r="J929" t="str">
            <v>MOUNT MELVILLE WA 6330</v>
          </cell>
          <cell r="K929" t="str">
            <v>15M253658</v>
          </cell>
        </row>
        <row r="930">
          <cell r="G930" t="str">
            <v>WPS RAILWAY WYENING  CALINGERI BOOSTER</v>
          </cell>
          <cell r="H930" t="str">
            <v>W0040535</v>
          </cell>
          <cell r="I930" t="str">
            <v>BINDI BINDI-TOODYAY RD</v>
          </cell>
          <cell r="J930" t="str">
            <v>CALINGIRI WA 6569</v>
          </cell>
          <cell r="K930" t="str">
            <v>0200393315</v>
          </cell>
        </row>
        <row r="931">
          <cell r="G931" t="str">
            <v>DPS PROGRESS DR BIBRA LAKE</v>
          </cell>
          <cell r="H931" t="str">
            <v>D0036711</v>
          </cell>
          <cell r="I931" t="str">
            <v>PROGRESS DR</v>
          </cell>
          <cell r="J931" t="str">
            <v>BIBRA LAKE WA 6163</v>
          </cell>
          <cell r="K931" t="str">
            <v>002101462</v>
          </cell>
        </row>
        <row r="932">
          <cell r="G932" t="str">
            <v>EFFLUENT DISPOSAL WWTP KOJONUP</v>
          </cell>
          <cell r="H932" t="str">
            <v>S026-002-002</v>
          </cell>
          <cell r="I932" t="str">
            <v>LOT 302A SOLDIER RD</v>
          </cell>
          <cell r="J932" t="str">
            <v>KOJONUP WA 6395</v>
          </cell>
          <cell r="K932" t="str">
            <v>210M36379</v>
          </cell>
        </row>
        <row r="933">
          <cell r="G933" t="str">
            <v>SPS SLAUGHTER ST THREE SPRINGS</v>
          </cell>
          <cell r="H933" t="str">
            <v>S0038041</v>
          </cell>
          <cell r="I933" t="str">
            <v>SLAUGHTER ST</v>
          </cell>
          <cell r="J933" t="str">
            <v>THREE SPRINGS WA 6519</v>
          </cell>
          <cell r="K933" t="str">
            <v>410M8307</v>
          </cell>
        </row>
        <row r="934">
          <cell r="G934" t="str">
            <v>SPS DORCAS WY COOLBELLUP</v>
          </cell>
          <cell r="H934" t="str">
            <v>S2003676</v>
          </cell>
          <cell r="I934" t="str">
            <v>LOT 2141 DORCAS WAY</v>
          </cell>
          <cell r="J934" t="str">
            <v>COOLBELLUP WA 6163</v>
          </cell>
          <cell r="K934" t="str">
            <v>0180001410</v>
          </cell>
        </row>
        <row r="935">
          <cell r="G935" t="str">
            <v>FITZGERALD COURT CMS</v>
          </cell>
          <cell r="H935" t="str">
            <v>W0010362</v>
          </cell>
          <cell r="I935" t="str">
            <v>FITZGERALD CT</v>
          </cell>
          <cell r="J935" t="str">
            <v>KINGSLEY WA 6026</v>
          </cell>
          <cell r="K935" t="str">
            <v>410M111504</v>
          </cell>
        </row>
        <row r="936">
          <cell r="G936" t="str">
            <v>MAIN NK PINWERNING PEMBLE ST</v>
          </cell>
          <cell r="H936" t="str">
            <v>W049-005-009</v>
          </cell>
          <cell r="I936" t="str">
            <v>PEMBLE ST</v>
          </cell>
          <cell r="J936" t="str">
            <v>KATANNING WA 6317</v>
          </cell>
          <cell r="K936" t="str">
            <v>0211001153</v>
          </cell>
        </row>
        <row r="937">
          <cell r="G937" t="str">
            <v>CDP NORTHAMPTON</v>
          </cell>
          <cell r="H937" t="str">
            <v>W0042615</v>
          </cell>
          <cell r="I937" t="str">
            <v>WANNERENOOKA RD</v>
          </cell>
          <cell r="J937" t="str">
            <v>NORTHAMPTON WA 6535</v>
          </cell>
          <cell r="K937" t="str">
            <v>0134000278</v>
          </cell>
        </row>
        <row r="938">
          <cell r="G938" t="str">
            <v>SPS PARKLAND TRL CANNING VALE</v>
          </cell>
          <cell r="H938" t="str">
            <v>S0034346</v>
          </cell>
          <cell r="I938" t="str">
            <v>PARKLAND TOR</v>
          </cell>
          <cell r="J938" t="str">
            <v>CANNING VALE WA 6155</v>
          </cell>
          <cell r="K938" t="str">
            <v>410M158248</v>
          </cell>
        </row>
        <row r="939">
          <cell r="G939" t="str">
            <v>CP ZONE 1T MAIN SAFETY BAY RD WARNBRO</v>
          </cell>
          <cell r="H939" t="str">
            <v>W2000087</v>
          </cell>
          <cell r="I939" t="str">
            <v>LOT 1 SAFETY BAY RD</v>
          </cell>
          <cell r="J939" t="str">
            <v>WAIKIKI  WA 6169</v>
          </cell>
          <cell r="K939" t="str">
            <v>0350016925</v>
          </cell>
        </row>
        <row r="940">
          <cell r="G940" t="str">
            <v>CONJURUNUP CREEK</v>
          </cell>
          <cell r="H940" t="str">
            <v>W0006804</v>
          </cell>
          <cell r="I940" t="str">
            <v>LOT 14 DEL PARK RD</v>
          </cell>
          <cell r="J940" t="str">
            <v>NORTH DANDALUP WA 6207</v>
          </cell>
          <cell r="K940" t="str">
            <v>001900319</v>
          </cell>
        </row>
        <row r="941">
          <cell r="G941" t="str">
            <v>SPS SOUTH WEST HWY GLEN IRIS</v>
          </cell>
          <cell r="H941" t="str">
            <v>S8000973</v>
          </cell>
          <cell r="I941" t="str">
            <v>LOT 7 SOUTH WESTERN HIGHWAY</v>
          </cell>
          <cell r="J941" t="str">
            <v>GLEN IRIS</v>
          </cell>
          <cell r="K941" t="str">
            <v>0180001052</v>
          </cell>
        </row>
        <row r="942">
          <cell r="G942" t="str">
            <v>BORE SITE P80</v>
          </cell>
          <cell r="H942" t="str">
            <v>W1001506</v>
          </cell>
          <cell r="I942" t="str">
            <v>LOT 80P PERRY RD</v>
          </cell>
          <cell r="J942" t="str">
            <v>PINJAR WA 6065</v>
          </cell>
          <cell r="K942" t="str">
            <v>0148003879</v>
          </cell>
        </row>
        <row r="943">
          <cell r="G943" t="str">
            <v>WTP BOBIN ST EATON</v>
          </cell>
          <cell r="H943" t="str">
            <v>W0045236</v>
          </cell>
          <cell r="I943" t="str">
            <v>BOBIN ST</v>
          </cell>
          <cell r="J943" t="str">
            <v>EATON  WA  6232</v>
          </cell>
          <cell r="K943" t="str">
            <v>0143000010</v>
          </cell>
        </row>
        <row r="944">
          <cell r="G944" t="str">
            <v>WPS HESTER DAM HESTER TRANSFER</v>
          </cell>
          <cell r="H944" t="str">
            <v>W0045828</v>
          </cell>
          <cell r="I944" t="str">
            <v>LOCN 2730 HESTER SIDING RD</v>
          </cell>
          <cell r="J944" t="str">
            <v>HESTER WA 6255</v>
          </cell>
          <cell r="K944" t="str">
            <v>0148006455</v>
          </cell>
        </row>
        <row r="945">
          <cell r="G945" t="str">
            <v>SPS CALEDONIAN AV MAYLANDS</v>
          </cell>
          <cell r="H945" t="str">
            <v>S0031661</v>
          </cell>
          <cell r="I945" t="str">
            <v>CALEDONIAN AVE</v>
          </cell>
          <cell r="J945" t="str">
            <v>MAYLANDS WA 6051</v>
          </cell>
          <cell r="K945" t="str">
            <v>410M96868</v>
          </cell>
        </row>
        <row r="946">
          <cell r="G946" t="str">
            <v>WTP KIRUP DAM KIRUP</v>
          </cell>
          <cell r="H946" t="str">
            <v>W0045848</v>
          </cell>
          <cell r="I946" t="str">
            <v>LOT 4925 CASTLE ST</v>
          </cell>
          <cell r="J946" t="str">
            <v>KIRUP WA 6251</v>
          </cell>
          <cell r="K946" t="str">
            <v>0350309920</v>
          </cell>
        </row>
        <row r="947">
          <cell r="G947" t="str">
            <v>REPEATER SITE FAIRFIELD RD KATANNING</v>
          </cell>
          <cell r="H947" t="str">
            <v>C0022136</v>
          </cell>
          <cell r="I947" t="str">
            <v>LOT 10E FAIRFIELD RD</v>
          </cell>
          <cell r="J947" t="str">
            <v>KATANNING WA 6317</v>
          </cell>
          <cell r="K947" t="str">
            <v>15M107461</v>
          </cell>
        </row>
        <row r="948">
          <cell r="G948" t="str">
            <v>CHURCHMANS BROOK</v>
          </cell>
          <cell r="H948" t="str">
            <v>W0006674</v>
          </cell>
          <cell r="I948" t="str">
            <v>U41 SOLDIERS RD</v>
          </cell>
          <cell r="J948" t="str">
            <v>ROLEYSTONE WA 6111</v>
          </cell>
          <cell r="K948" t="str">
            <v>002100110</v>
          </cell>
        </row>
        <row r="949">
          <cell r="G949" t="str">
            <v>SPS PRESTON POINT RD EAST FREMANTLE</v>
          </cell>
          <cell r="H949" t="str">
            <v>S0033305</v>
          </cell>
          <cell r="I949" t="str">
            <v>PRESTON POINT RD</v>
          </cell>
          <cell r="J949" t="str">
            <v>EAST FREMANTLE WA 6158</v>
          </cell>
          <cell r="K949" t="str">
            <v>410AM40926</v>
          </cell>
        </row>
        <row r="950">
          <cell r="G950" t="str">
            <v>SPS BUTTERCUP PWY HALLS HEAD</v>
          </cell>
          <cell r="H950" t="str">
            <v>S8006155</v>
          </cell>
          <cell r="I950" t="str">
            <v>BUTTERCUP PWY</v>
          </cell>
          <cell r="J950" t="str">
            <v>HALLS HEAD WA 6210</v>
          </cell>
          <cell r="K950" t="str">
            <v>0180016180</v>
          </cell>
        </row>
        <row r="951">
          <cell r="G951"/>
          <cell r="H951" t="e">
            <v>#N/A</v>
          </cell>
          <cell r="I951" t="str">
            <v>LOC 1 SAUMAREZ ST</v>
          </cell>
          <cell r="J951" t="str">
            <v>COOLGARDIE WA 6429</v>
          </cell>
          <cell r="K951" t="str">
            <v>DUP40593853</v>
          </cell>
        </row>
        <row r="952">
          <cell r="G952" t="str">
            <v>SPS MCDONALD RD BALDIVIS</v>
          </cell>
          <cell r="H952" t="str">
            <v>S2019806</v>
          </cell>
          <cell r="I952" t="str">
            <v>LOT 55 MCDONALD RD</v>
          </cell>
          <cell r="J952" t="str">
            <v>BALDIVIS WA 6171</v>
          </cell>
          <cell r="K952" t="str">
            <v>0350024460</v>
          </cell>
        </row>
        <row r="953">
          <cell r="G953" t="str">
            <v>TANK GL1 WSC WOMARDEN</v>
          </cell>
          <cell r="H953" t="str">
            <v>W0040387</v>
          </cell>
          <cell r="I953" t="str">
            <v>LOC 848 THREE SPRINGS</v>
          </cell>
          <cell r="J953" t="str">
            <v>THREE SPRINGS WA 6519</v>
          </cell>
          <cell r="K953" t="str">
            <v>0200355882</v>
          </cell>
        </row>
        <row r="954">
          <cell r="G954" t="str">
            <v>WPS LADY EVELYN RTT JOONDALUP</v>
          </cell>
          <cell r="H954" t="str">
            <v>W0035689</v>
          </cell>
          <cell r="I954" t="str">
            <v>LOT 961 MOORE DR</v>
          </cell>
          <cell r="J954" t="str">
            <v>JOONDALUP WA 6027</v>
          </cell>
          <cell r="K954" t="str">
            <v>0136001872</v>
          </cell>
        </row>
        <row r="955">
          <cell r="G955"/>
          <cell r="H955" t="e">
            <v>#N/A</v>
          </cell>
          <cell r="I955" t="str">
            <v>ANTARES ST</v>
          </cell>
          <cell r="J955" t="str">
            <v>SOUTHERN CROSS WA 6426</v>
          </cell>
          <cell r="K955" t="str">
            <v>15M123847</v>
          </cell>
        </row>
        <row r="956">
          <cell r="G956" t="str">
            <v>CONTROL ROOM BORE Q140/Q145</v>
          </cell>
          <cell r="H956" t="str">
            <v>W1000934</v>
          </cell>
          <cell r="I956" t="str">
            <v>HSE NO 3 LOT 12920 GREYHOUND DR</v>
          </cell>
          <cell r="J956" t="str">
            <v>MERRIWA WA 6030</v>
          </cell>
          <cell r="K956" t="str">
            <v xml:space="preserve">0211001245     </v>
          </cell>
        </row>
        <row r="957">
          <cell r="G957" t="str">
            <v>SPS SPENCER ST BUNBURY</v>
          </cell>
          <cell r="H957" t="str">
            <v>S0044135</v>
          </cell>
          <cell r="I957" t="str">
            <v>SPENCER ST</v>
          </cell>
          <cell r="J957" t="str">
            <v>BUNBURY WA 6230</v>
          </cell>
          <cell r="K957" t="str">
            <v>410M124274</v>
          </cell>
        </row>
        <row r="958">
          <cell r="G958" t="str">
            <v>SPS SWEETMAN ST ARDROSS</v>
          </cell>
          <cell r="H958" t="str">
            <v>S0033851</v>
          </cell>
          <cell r="I958" t="str">
            <v>U43 1 SWEETMAN ST</v>
          </cell>
          <cell r="J958" t="str">
            <v>ARDROSS WA 6153</v>
          </cell>
          <cell r="K958" t="str">
            <v>0148001653</v>
          </cell>
        </row>
        <row r="959">
          <cell r="G959" t="str">
            <v>WPS MODULE YUNA</v>
          </cell>
          <cell r="H959" t="str">
            <v>W0042973</v>
          </cell>
          <cell r="I959" t="str">
            <v>LOT 1000 CHAPMAN VALLEY RD</v>
          </cell>
          <cell r="J959" t="str">
            <v>YUNA WA 6532</v>
          </cell>
          <cell r="K959" t="str">
            <v>410M129829</v>
          </cell>
        </row>
        <row r="960">
          <cell r="G960" t="str">
            <v>BORE SITE M350</v>
          </cell>
          <cell r="H960" t="str">
            <v>W1001365</v>
          </cell>
          <cell r="I960" t="str">
            <v>LOT 350M GNANGARA RD</v>
          </cell>
          <cell r="J960" t="str">
            <v>WHITEMAN WA 6068</v>
          </cell>
          <cell r="K960" t="str">
            <v>002100188</v>
          </cell>
        </row>
        <row r="961">
          <cell r="G961" t="str">
            <v>VPS FORD RD GEOGRAPHE</v>
          </cell>
          <cell r="H961" t="str">
            <v>S0044309</v>
          </cell>
          <cell r="I961" t="str">
            <v>LOT 6 FORD RD</v>
          </cell>
          <cell r="J961" t="str">
            <v>BUSSELTON  WA  6280</v>
          </cell>
          <cell r="K961" t="str">
            <v>0148003328</v>
          </cell>
        </row>
        <row r="962">
          <cell r="G962" t="str">
            <v>CDP ALLNUTT ST RESERVIOR BRIDGETOWN</v>
          </cell>
          <cell r="H962" t="str">
            <v>W8005086</v>
          </cell>
          <cell r="I962" t="str">
            <v>LOT 852 STEWART ST</v>
          </cell>
          <cell r="J962" t="str">
            <v>BRIDGETOWN WA 6255</v>
          </cell>
          <cell r="K962" t="str">
            <v>0148005805</v>
          </cell>
        </row>
        <row r="963">
          <cell r="G963" t="str">
            <v>CP ZONE MAIN DPS YANGEBUP RD YANGEBUP</v>
          </cell>
          <cell r="H963" t="str">
            <v>D2000372</v>
          </cell>
          <cell r="I963" t="str">
            <v>LOT 255 FAWCETT RD</v>
          </cell>
          <cell r="J963" t="str">
            <v>MUNSTER WA 6166</v>
          </cell>
          <cell r="K963" t="str">
            <v>15M172812</v>
          </cell>
        </row>
        <row r="964">
          <cell r="G964" t="str">
            <v>SPS SMOKEBUSH CT COWARAMUP</v>
          </cell>
          <cell r="H964" t="str">
            <v>S8009320</v>
          </cell>
          <cell r="I964" t="str">
            <v>LOT 543 SMOKEBUSH CT</v>
          </cell>
          <cell r="J964" t="str">
            <v>COWARAMUP WA 6284</v>
          </cell>
          <cell r="K964" t="str">
            <v>0380015049</v>
          </cell>
        </row>
        <row r="965">
          <cell r="G965" t="str">
            <v>BORE SITE 1/97 RAVENSWOOD BOREFIELD</v>
          </cell>
          <cell r="H965" t="str">
            <v>W8003759</v>
          </cell>
          <cell r="I965" t="str">
            <v>U51 OLD MANDURAH RD</v>
          </cell>
          <cell r="J965" t="str">
            <v>RAVENSWOOD WA 6208</v>
          </cell>
          <cell r="K965" t="str">
            <v>0137000122</v>
          </cell>
        </row>
        <row r="966">
          <cell r="G966" t="str">
            <v>BOREFIELD DANDARAGAN</v>
          </cell>
          <cell r="H966" t="str">
            <v>W0040793</v>
          </cell>
          <cell r="I966" t="str">
            <v>LOT 1A CARO RD</v>
          </cell>
          <cell r="J966" t="str">
            <v>DANDARAGAN WA 6507</v>
          </cell>
          <cell r="K966" t="str">
            <v>0148006507</v>
          </cell>
        </row>
        <row r="967">
          <cell r="G967" t="str">
            <v>SPS 1 GREY ST KALBARRI</v>
          </cell>
          <cell r="H967" t="str">
            <v>S0037932</v>
          </cell>
          <cell r="I967" t="str">
            <v>LOT 153 GREY ST</v>
          </cell>
          <cell r="J967" t="str">
            <v>KALBARRI WA 6536</v>
          </cell>
          <cell r="K967" t="str">
            <v>0148002556</v>
          </cell>
        </row>
        <row r="968">
          <cell r="G968" t="str">
            <v>SPS LANDSDALE RD LANDSDALE</v>
          </cell>
          <cell r="H968" t="str">
            <v>S2018378</v>
          </cell>
          <cell r="I968" t="str">
            <v>LOT 57 LANDSDALE RD</v>
          </cell>
          <cell r="J968" t="str">
            <v>LANDSDALE WA 6065</v>
          </cell>
          <cell r="K968" t="str">
            <v>0380005969</v>
          </cell>
        </row>
        <row r="969">
          <cell r="G969" t="str">
            <v>SPS ARGYLE CT THORNLIE</v>
          </cell>
          <cell r="H969" t="str">
            <v>S0033373</v>
          </cell>
          <cell r="I969" t="str">
            <v>LOT 38 HUME RD</v>
          </cell>
          <cell r="J969" t="str">
            <v>THORNLIE WA 6108</v>
          </cell>
          <cell r="K969" t="str">
            <v>410M128163</v>
          </cell>
        </row>
        <row r="970">
          <cell r="G970" t="str">
            <v>BORE SITE M26</v>
          </cell>
          <cell r="H970" t="str">
            <v>W1001331</v>
          </cell>
          <cell r="I970" t="str">
            <v>31 CASSOWARY DR</v>
          </cell>
          <cell r="J970" t="str">
            <v>BALLAJURA WA 6066</v>
          </cell>
          <cell r="K970" t="str">
            <v>001900276</v>
          </cell>
        </row>
        <row r="971">
          <cell r="G971" t="str">
            <v>BOREFIELD KOLBURN</v>
          </cell>
          <cell r="H971" t="str">
            <v>W0042194</v>
          </cell>
          <cell r="I971" t="str">
            <v>LOT 15539 DANDARAGAN RD</v>
          </cell>
          <cell r="J971" t="str">
            <v>DANDARAGAN WA 6507</v>
          </cell>
          <cell r="K971" t="str">
            <v>0136006141</v>
          </cell>
        </row>
        <row r="972">
          <cell r="G972" t="str">
            <v>SPS ENDEAVOUR DR PORT KENNEDY</v>
          </cell>
          <cell r="H972" t="str">
            <v>S0030514</v>
          </cell>
          <cell r="I972" t="str">
            <v>LOT 3 ENDEAVOUR DR</v>
          </cell>
          <cell r="J972" t="str">
            <v>PORT KENNEDY WA 6172</v>
          </cell>
          <cell r="K972" t="str">
            <v>0148006011</v>
          </cell>
        </row>
        <row r="973">
          <cell r="G973" t="str">
            <v>BORE SITE YB3</v>
          </cell>
          <cell r="H973" t="str">
            <v>W1001622</v>
          </cell>
          <cell r="I973" t="str">
            <v>LOT 105  4551 MITCHELL FWY</v>
          </cell>
          <cell r="J973" t="str">
            <v>YANCHEP WA 6035</v>
          </cell>
          <cell r="K973" t="str">
            <v>0136004586</v>
          </cell>
        </row>
        <row r="974">
          <cell r="G974" t="str">
            <v>BORE SITE W300</v>
          </cell>
          <cell r="H974" t="str">
            <v>W1001587</v>
          </cell>
          <cell r="I974" t="str">
            <v>U41 LOT 305W  2 BARDIE RD</v>
          </cell>
          <cell r="J974" t="str">
            <v>PINJAR WA 6078</v>
          </cell>
          <cell r="K974" t="str">
            <v>0211001426</v>
          </cell>
        </row>
        <row r="975">
          <cell r="G975" t="str">
            <v>SPS WIDGEE RD NORANDA</v>
          </cell>
          <cell r="H975" t="str">
            <v>S0030228</v>
          </cell>
          <cell r="I975" t="str">
            <v>LOT 373 WIDGEE RD</v>
          </cell>
          <cell r="J975" t="str">
            <v>NORANDA WA 6062</v>
          </cell>
          <cell r="K975" t="str">
            <v>410L38764</v>
          </cell>
        </row>
        <row r="976">
          <cell r="G976" t="str">
            <v>WPS LOGUE RD HARVEY TRANSFER</v>
          </cell>
          <cell r="H976" t="str">
            <v>W0045812</v>
          </cell>
          <cell r="I976" t="str">
            <v>LOT 4 LOGUE RD</v>
          </cell>
          <cell r="J976" t="str">
            <v>WOKALUP WA 6221</v>
          </cell>
          <cell r="K976" t="str">
            <v>410M157061</v>
          </cell>
        </row>
        <row r="977">
          <cell r="G977" t="str">
            <v>WTP MINNINUP RD DALYELLUP</v>
          </cell>
          <cell r="H977" t="str">
            <v>W8000982</v>
          </cell>
          <cell r="I977" t="str">
            <v>LOT 304 MINNINUP RD</v>
          </cell>
          <cell r="J977" t="str">
            <v>BUNBURY WA 6230</v>
          </cell>
          <cell r="K977" t="str">
            <v>0140000831</v>
          </cell>
        </row>
        <row r="978">
          <cell r="G978" t="str">
            <v>SPS WANLISS ST ROCKINGHAM</v>
          </cell>
          <cell r="H978" t="str">
            <v>S0030491</v>
          </cell>
          <cell r="I978" t="str">
            <v>WANLISS ST</v>
          </cell>
          <cell r="J978" t="str">
            <v>ROCKINGHAM WA 6168</v>
          </cell>
          <cell r="K978" t="str">
            <v>410L27929</v>
          </cell>
        </row>
        <row r="979">
          <cell r="G979" t="str">
            <v>SPS TYFORD RD DONGARA</v>
          </cell>
          <cell r="H979" t="str">
            <v>S4003450</v>
          </cell>
          <cell r="I979" t="str">
            <v>LOT 251 TYFORN RD</v>
          </cell>
          <cell r="J979" t="str">
            <v>DONGARA WA 6525</v>
          </cell>
          <cell r="K979" t="str">
            <v>0350022190</v>
          </cell>
        </row>
        <row r="980">
          <cell r="G980" t="str">
            <v>SPS ALEXANDER ST UTAKARRA</v>
          </cell>
          <cell r="H980" t="str">
            <v>S4000137</v>
          </cell>
          <cell r="I980" t="str">
            <v>LOT 1420 ALEXANDER ST</v>
          </cell>
          <cell r="J980" t="str">
            <v>UTAKARRA WA 6530</v>
          </cell>
          <cell r="K980" t="str">
            <v>410M201960</v>
          </cell>
        </row>
        <row r="981">
          <cell r="G981" t="str">
            <v>SPS HIBBERTIA CR FERNDALE</v>
          </cell>
          <cell r="H981" t="str">
            <v>S0034312</v>
          </cell>
          <cell r="I981" t="str">
            <v>U43 19 HIBBERTIA CRES</v>
          </cell>
          <cell r="J981" t="str">
            <v>RIVERTON WA 6148</v>
          </cell>
          <cell r="K981" t="str">
            <v>0148001602</v>
          </cell>
        </row>
        <row r="982">
          <cell r="G982" t="str">
            <v>SPS GROGAN RD HIGH WYCOMBE</v>
          </cell>
          <cell r="H982" t="str">
            <v>S2004873</v>
          </cell>
          <cell r="I982" t="str">
            <v>ABERNETHY RD</v>
          </cell>
          <cell r="J982" t="str">
            <v>FORRESTFIELD WA 6058</v>
          </cell>
          <cell r="K982" t="str">
            <v>0180035777</v>
          </cell>
        </row>
        <row r="983">
          <cell r="G983" t="str">
            <v>WSC MT CLARENCE ALBANY</v>
          </cell>
          <cell r="H983" t="str">
            <v>W7000601</v>
          </cell>
          <cell r="I983" t="str">
            <v>APEX DR</v>
          </cell>
          <cell r="J983" t="str">
            <v>MOUNT CLARENCE WA 6330</v>
          </cell>
          <cell r="K983" t="str">
            <v>15D080342</v>
          </cell>
        </row>
        <row r="984">
          <cell r="G984" t="str">
            <v>DPS DALY ST CLOVERDALE</v>
          </cell>
          <cell r="H984" t="str">
            <v>D0036425</v>
          </cell>
          <cell r="I984" t="str">
            <v>DALY ST</v>
          </cell>
          <cell r="J984" t="str">
            <v>CLOVERDALE WA 6105</v>
          </cell>
          <cell r="K984" t="str">
            <v>410M205822</v>
          </cell>
        </row>
        <row r="985">
          <cell r="G985" t="str">
            <v>BORE SITE W50</v>
          </cell>
          <cell r="H985" t="str">
            <v>W1001553</v>
          </cell>
          <cell r="I985" t="str">
            <v>LOT 50W SILVER RD</v>
          </cell>
          <cell r="J985" t="str">
            <v>JANDABUP WA 6065</v>
          </cell>
          <cell r="K985" t="str">
            <v>0248000101</v>
          </cell>
        </row>
        <row r="986">
          <cell r="G986" t="str">
            <v>SPS GNANGARA RD HENLEY BROOK</v>
          </cell>
          <cell r="H986" t="str">
            <v>S2008270</v>
          </cell>
          <cell r="I986" t="str">
            <v>GNANGARA RD</v>
          </cell>
          <cell r="J986" t="str">
            <v>HENLEY BROOK WA 6055</v>
          </cell>
          <cell r="K986" t="str">
            <v>410M200630</v>
          </cell>
        </row>
        <row r="987">
          <cell r="G987" t="str">
            <v>SPS 1 DARTEE ST CORRIGIN</v>
          </cell>
          <cell r="H987" t="str">
            <v>S0013940</v>
          </cell>
          <cell r="I987" t="str">
            <v>UNIT 54 GOYDER ST</v>
          </cell>
          <cell r="J987" t="str">
            <v>CORRIGIN WA 6375</v>
          </cell>
          <cell r="K987" t="str">
            <v>0116000571</v>
          </cell>
        </row>
        <row r="988">
          <cell r="G988" t="str">
            <v>SPS LESCHENAULTIA AVE MARGARET RIVER</v>
          </cell>
          <cell r="H988" t="str">
            <v>S8000568</v>
          </cell>
          <cell r="I988" t="str">
            <v>MELALEUCA BVD</v>
          </cell>
          <cell r="J988" t="str">
            <v>MARGARET RIVER WA 6285</v>
          </cell>
          <cell r="K988" t="str">
            <v>410M202551</v>
          </cell>
        </row>
        <row r="989">
          <cell r="G989" t="str">
            <v>SPS BESSELL AV COMO</v>
          </cell>
          <cell r="H989" t="str">
            <v>S0033982</v>
          </cell>
          <cell r="I989" t="str">
            <v>110 BESSELL AVE</v>
          </cell>
          <cell r="J989" t="str">
            <v>COMO WA 6152</v>
          </cell>
          <cell r="K989" t="str">
            <v>0380013465</v>
          </cell>
        </row>
        <row r="990">
          <cell r="G990" t="str">
            <v>SPS ISANDRA CL PINJARRA</v>
          </cell>
          <cell r="H990" t="str">
            <v>S0044971</v>
          </cell>
          <cell r="I990" t="str">
            <v>LOT 249 ISANDRA CL</v>
          </cell>
          <cell r="J990" t="str">
            <v>PINJARRA WA 6208</v>
          </cell>
          <cell r="K990" t="str">
            <v>0350017508</v>
          </cell>
        </row>
        <row r="991">
          <cell r="G991" t="str">
            <v>SPS MARSENGO RD BATEMAN</v>
          </cell>
          <cell r="H991" t="str">
            <v>S0033781</v>
          </cell>
          <cell r="I991" t="str">
            <v>U43 38A MARSENGO RD</v>
          </cell>
          <cell r="J991" t="str">
            <v>BATEMAN WA 6150</v>
          </cell>
          <cell r="K991" t="str">
            <v>002101286</v>
          </cell>
        </row>
        <row r="992">
          <cell r="G992" t="str">
            <v>SPS MCKIRDY WY MARMION</v>
          </cell>
          <cell r="H992" t="str">
            <v>S0028552</v>
          </cell>
          <cell r="I992" t="str">
            <v>U42 MCKIRDY WAY</v>
          </cell>
          <cell r="J992" t="str">
            <v>MARMION WA 6020</v>
          </cell>
          <cell r="K992" t="str">
            <v>0102000502</v>
          </cell>
        </row>
        <row r="993">
          <cell r="G993" t="str">
            <v>TANK WSC WELLINGTON ST MOSMAN PK</v>
          </cell>
          <cell r="H993" t="str">
            <v>W0034567</v>
          </cell>
          <cell r="I993" t="str">
            <v>LOT 607 WELLINGTON ST</v>
          </cell>
          <cell r="J993" t="str">
            <v>MOSMAN PARK WA 6012</v>
          </cell>
          <cell r="K993" t="str">
            <v>15D041707</v>
          </cell>
        </row>
        <row r="994">
          <cell r="G994" t="str">
            <v>TANK GL 1 ULSTER RD YORK</v>
          </cell>
          <cell r="H994" t="str">
            <v>W5015300</v>
          </cell>
          <cell r="I994" t="str">
            <v>ULSTER RD</v>
          </cell>
          <cell r="J994" t="str">
            <v>YORK</v>
          </cell>
          <cell r="K994" t="str">
            <v>15D096030</v>
          </cell>
        </row>
        <row r="995">
          <cell r="G995" t="str">
            <v>BORE SITE M120</v>
          </cell>
          <cell r="H995" t="str">
            <v>W1001351</v>
          </cell>
          <cell r="I995" t="str">
            <v>LOT 120M MARANGAROO DR</v>
          </cell>
          <cell r="J995" t="str">
            <v>CULLACABARDEE WA 6067</v>
          </cell>
          <cell r="K995" t="str">
            <v>0148005744</v>
          </cell>
        </row>
        <row r="996">
          <cell r="G996" t="str">
            <v>WPS MILLIGAN AV AUSTRALIND TANK TRANSFER</v>
          </cell>
          <cell r="H996" t="str">
            <v>W0045166</v>
          </cell>
          <cell r="I996" t="str">
            <v>LOCN 5345 MILLIGAN AVE</v>
          </cell>
          <cell r="J996" t="str">
            <v>AUSTRALIND WA 6233</v>
          </cell>
          <cell r="K996" t="str">
            <v>0136003075</v>
          </cell>
        </row>
        <row r="997">
          <cell r="G997" t="str">
            <v>BULK WATER TRANSFER SCHEMES</v>
          </cell>
          <cell r="H997" t="str">
            <v>W002</v>
          </cell>
          <cell r="I997" t="str">
            <v>360 HAMMOND RD</v>
          </cell>
          <cell r="J997" t="str">
            <v>SUCCESS WA 6164</v>
          </cell>
          <cell r="K997" t="str">
            <v>0200030322</v>
          </cell>
        </row>
        <row r="998">
          <cell r="G998" t="str">
            <v>SPS COCKBURN RD MUNSTER</v>
          </cell>
          <cell r="H998" t="str">
            <v>S2003404</v>
          </cell>
          <cell r="I998" t="str">
            <v>LOT 165 COCKBURN RD</v>
          </cell>
          <cell r="J998" t="str">
            <v>SPEARWOOD WA 6163</v>
          </cell>
          <cell r="K998" t="str">
            <v>410M229934</v>
          </cell>
        </row>
        <row r="999">
          <cell r="G999" t="str">
            <v>TANK WSC SCHMITT RD KALAMUNDA</v>
          </cell>
          <cell r="H999" t="str">
            <v>W0035167</v>
          </cell>
          <cell r="I999" t="str">
            <v>BENBULLEN RD</v>
          </cell>
          <cell r="J999" t="str">
            <v>KALAMUNDA WA 6076</v>
          </cell>
          <cell r="K999" t="str">
            <v>0180026080</v>
          </cell>
        </row>
        <row r="1000">
          <cell r="G1000" t="str">
            <v>SPS DUNKLEY AV APPLECROSS</v>
          </cell>
          <cell r="H1000" t="str">
            <v>S0033671</v>
          </cell>
          <cell r="I1000" t="str">
            <v>DUNKLEY AVE</v>
          </cell>
          <cell r="J1000" t="str">
            <v>APPLECROSS WA 6153</v>
          </cell>
          <cell r="K1000" t="str">
            <v>0148003973</v>
          </cell>
        </row>
        <row r="1001">
          <cell r="G1001" t="str">
            <v>SPS SAMUEL ST DONGARA</v>
          </cell>
          <cell r="H1001" t="str">
            <v>S4000797</v>
          </cell>
          <cell r="I1001" t="str">
            <v>POINT LEANDER DR</v>
          </cell>
          <cell r="J1001" t="str">
            <v>DONGARA WA 6525</v>
          </cell>
          <cell r="K1001" t="str">
            <v>410M204882</v>
          </cell>
        </row>
        <row r="1002">
          <cell r="G1002" t="str">
            <v>TANK 1 SEDIMENTATION WWTP NORTHAM</v>
          </cell>
          <cell r="H1002" t="str">
            <v>S0016691</v>
          </cell>
          <cell r="I1002" t="str">
            <v>WEST ST</v>
          </cell>
          <cell r="J1002" t="str">
            <v>NORTHAM WA 6401</v>
          </cell>
          <cell r="K1002" t="str">
            <v>002100784</v>
          </cell>
        </row>
        <row r="1003">
          <cell r="G1003" t="str">
            <v>CHL SYS HYPO KUNUNOPPIN</v>
          </cell>
          <cell r="H1003" t="str">
            <v>W5000032</v>
          </cell>
          <cell r="I1003" t="str">
            <v>THOMPSON RD</v>
          </cell>
          <cell r="J1003" t="str">
            <v>KUNUNOPPIN WA 6489</v>
          </cell>
          <cell r="K1003" t="str">
            <v>15D094377</v>
          </cell>
        </row>
        <row r="1004">
          <cell r="G1004" t="str">
            <v>SPS PEAKER CT WEST BUSSELTON</v>
          </cell>
          <cell r="H1004" t="str">
            <v>S0044343</v>
          </cell>
          <cell r="I1004" t="str">
            <v>LOT 383 PEAKER CT</v>
          </cell>
          <cell r="J1004" t="str">
            <v>BUSSELTON WA 6280</v>
          </cell>
          <cell r="K1004" t="str">
            <v>410M119487</v>
          </cell>
        </row>
        <row r="1005">
          <cell r="G1005" t="str">
            <v>SPS OLD COAST RD DAWESVILLE</v>
          </cell>
          <cell r="H1005" t="str">
            <v>S8007005</v>
          </cell>
          <cell r="I1005" t="str">
            <v>21 OLD COAST RD</v>
          </cell>
          <cell r="J1005" t="str">
            <v>DAWESVILLE WA 6211</v>
          </cell>
          <cell r="K1005" t="str">
            <v>0180023402</v>
          </cell>
        </row>
        <row r="1006">
          <cell r="G1006" t="str">
            <v>SPS ST ANDREWS DR YANCHEP</v>
          </cell>
          <cell r="H1006" t="str">
            <v>S0030331</v>
          </cell>
          <cell r="I1006" t="str">
            <v>ST ANDREWS DR</v>
          </cell>
          <cell r="J1006" t="str">
            <v>YANCHEP WA 6035</v>
          </cell>
          <cell r="K1006" t="str">
            <v>450AM60</v>
          </cell>
        </row>
        <row r="1007">
          <cell r="G1007" t="str">
            <v>TANK EL1 MATTHEW ST WSC MT TARCOOLA</v>
          </cell>
          <cell r="H1007" t="str">
            <v>W0039765</v>
          </cell>
          <cell r="I1007" t="str">
            <v>LOC 11254 MATHEW ST</v>
          </cell>
          <cell r="J1007" t="str">
            <v>MOUNT TARCOOLA WA 6530</v>
          </cell>
          <cell r="K1007" t="str">
            <v>410M2005075</v>
          </cell>
        </row>
        <row r="1008">
          <cell r="G1008" t="str">
            <v>BORE SITE W220</v>
          </cell>
          <cell r="H1008" t="str">
            <v>W1001571</v>
          </cell>
          <cell r="I1008" t="str">
            <v>LOT 220W HAWKINS RD NORTH</v>
          </cell>
          <cell r="J1008" t="str">
            <v>JANDABUP WA 6065</v>
          </cell>
          <cell r="K1008" t="str">
            <v>0248000100</v>
          </cell>
        </row>
        <row r="1009">
          <cell r="G1009" t="str">
            <v>WPS HERITAGE DR ROLEYSTONE</v>
          </cell>
          <cell r="H1009" t="str">
            <v>W0035237</v>
          </cell>
          <cell r="I1009" t="str">
            <v>230 HERITAGE DR</v>
          </cell>
          <cell r="J1009" t="str">
            <v>ROLEYSTONE WA 6111</v>
          </cell>
          <cell r="K1009" t="str">
            <v>0350036911</v>
          </cell>
        </row>
        <row r="1010">
          <cell r="G1010" t="str">
            <v>SPS GNANGARA DR WAIKIKI</v>
          </cell>
          <cell r="H1010" t="str">
            <v>S0030426</v>
          </cell>
          <cell r="I1010" t="str">
            <v>LOT 26 GNANGARA DR</v>
          </cell>
          <cell r="J1010" t="str">
            <v>WAIKIKI WA 6169</v>
          </cell>
          <cell r="K1010" t="str">
            <v>410M154920</v>
          </cell>
        </row>
        <row r="1011">
          <cell r="G1011" t="str">
            <v>WPS BRUCE ROCK</v>
          </cell>
          <cell r="H1011" t="str">
            <v>W0020474</v>
          </cell>
          <cell r="I1011" t="str">
            <v>LOT 1 BRUCE ROCK-DOODLAKINE RD</v>
          </cell>
          <cell r="J1011" t="str">
            <v>BRUCE ROCK WA 6418</v>
          </cell>
          <cell r="K1011" t="str">
            <v>0200051236</v>
          </cell>
        </row>
        <row r="1012">
          <cell r="G1012" t="str">
            <v>DAM TEN MILE BROOK MARGARET RIVER</v>
          </cell>
          <cell r="H1012" t="str">
            <v>W0046104</v>
          </cell>
          <cell r="I1012" t="str">
            <v>LOCN 2147 ROSA BROOK RD</v>
          </cell>
          <cell r="J1012" t="str">
            <v>MARGARET RIVER WA 6285</v>
          </cell>
          <cell r="K1012" t="str">
            <v>0211000767</v>
          </cell>
        </row>
        <row r="1013">
          <cell r="G1013" t="str">
            <v>SPS SITTELLA PLZA BROOKDALE</v>
          </cell>
          <cell r="H1013" t="str">
            <v>S0032781</v>
          </cell>
          <cell r="I1013" t="str">
            <v>LOT 422 NINTH RD</v>
          </cell>
          <cell r="J1013" t="str">
            <v>BROOKDALE WA 6112</v>
          </cell>
          <cell r="K1013" t="str">
            <v>410M152995</v>
          </cell>
        </row>
        <row r="1014">
          <cell r="G1014" t="str">
            <v>SPS GRANT PL BENTLEY</v>
          </cell>
          <cell r="H1014" t="str">
            <v>S0032997</v>
          </cell>
          <cell r="I1014" t="str">
            <v>LOT 37 GRANT PL</v>
          </cell>
          <cell r="J1014" t="str">
            <v>BENTLEY WA 6102</v>
          </cell>
          <cell r="K1014" t="str">
            <v>410L23785</v>
          </cell>
        </row>
        <row r="1015">
          <cell r="G1015" t="str">
            <v>SPS TEMP BENNETT ST CAVERSHAM</v>
          </cell>
          <cell r="H1015" t="str">
            <v>S0030049</v>
          </cell>
          <cell r="I1015" t="str">
            <v>LOT 102 BENNETT ST</v>
          </cell>
          <cell r="J1015" t="str">
            <v>CAVERSHAM WA 6055</v>
          </cell>
          <cell r="K1015" t="str">
            <v>0248002329</v>
          </cell>
        </row>
        <row r="1016">
          <cell r="G1016" t="str">
            <v>SPS PT LEANDER DR DONGARA</v>
          </cell>
          <cell r="H1016" t="str">
            <v>S4000796</v>
          </cell>
          <cell r="I1016" t="str">
            <v>LOT 916 POINT LEANDER DR</v>
          </cell>
          <cell r="J1016" t="str">
            <v>DONGARA WA 6525</v>
          </cell>
          <cell r="K1016" t="str">
            <v>0248000403</v>
          </cell>
        </row>
        <row r="1017">
          <cell r="G1017" t="str">
            <v>BORE SITE Q150</v>
          </cell>
          <cell r="H1017" t="str">
            <v>W1000937</v>
          </cell>
          <cell r="I1017" t="str">
            <v>LOT 16 BLIGH COVE</v>
          </cell>
          <cell r="J1017" t="str">
            <v>QUINNS ROCKS WA 6030</v>
          </cell>
          <cell r="K1017" t="str">
            <v xml:space="preserve">0148005724     </v>
          </cell>
        </row>
        <row r="1018">
          <cell r="G1018" t="str">
            <v>SPS BROOKSIDE AV KELMSCOTT</v>
          </cell>
          <cell r="H1018" t="str">
            <v>S0032736</v>
          </cell>
          <cell r="I1018" t="str">
            <v>LOT 11 BROOKSIDE AVE</v>
          </cell>
          <cell r="J1018" t="str">
            <v>KELMSCOTT</v>
          </cell>
          <cell r="K1018" t="str">
            <v>450M2000515</v>
          </cell>
        </row>
        <row r="1019">
          <cell r="G1019" t="str">
            <v>SPS JUBILEE RD GLEN IRIS</v>
          </cell>
          <cell r="H1019" t="str">
            <v>S8000969</v>
          </cell>
          <cell r="I1019" t="str">
            <v>JUBILEE RD</v>
          </cell>
          <cell r="J1019" t="str">
            <v>GLEN IRIS WA 6230</v>
          </cell>
          <cell r="K1019" t="str">
            <v>410M229274</v>
          </cell>
        </row>
        <row r="1020">
          <cell r="G1020" t="str">
            <v>SPS BOURNEMOUTH PDE TRIGG</v>
          </cell>
          <cell r="H1020" t="str">
            <v>S2012268</v>
          </cell>
          <cell r="I1020" t="str">
            <v>LOT 120 BOURNEMOUTH PDE</v>
          </cell>
          <cell r="J1020" t="str">
            <v>SCARBOROUGH 6019</v>
          </cell>
          <cell r="K1020" t="str">
            <v>0180027500</v>
          </cell>
        </row>
        <row r="1021">
          <cell r="G1021" t="str">
            <v>SPS ELLIOTT RD TRIGG</v>
          </cell>
          <cell r="H1021" t="str">
            <v>S2012269</v>
          </cell>
          <cell r="I1021" t="str">
            <v>LOT 148 ELLIOTT ST</v>
          </cell>
          <cell r="J1021" t="str">
            <v>SCARBOROUGH</v>
          </cell>
          <cell r="K1021" t="str">
            <v>0180027474</v>
          </cell>
        </row>
        <row r="1022">
          <cell r="G1022"/>
          <cell r="H1022" t="e">
            <v>#N/A</v>
          </cell>
          <cell r="I1022" t="str">
            <v>HSE NO 109 PARK RD</v>
          </cell>
          <cell r="J1022" t="str">
            <v>MANDURAH WA 6210</v>
          </cell>
          <cell r="K1022" t="str">
            <v>0136003146</v>
          </cell>
        </row>
        <row r="1023">
          <cell r="G1023" t="str">
            <v>DPS FORWARD ST WELSHPOOL</v>
          </cell>
          <cell r="H1023" t="str">
            <v>D0036650</v>
          </cell>
          <cell r="I1023" t="str">
            <v>FORWARD ST</v>
          </cell>
          <cell r="J1023" t="str">
            <v>WELSHPOOL WA 6106</v>
          </cell>
          <cell r="K1023" t="str">
            <v>410M17859</v>
          </cell>
        </row>
        <row r="1024">
          <cell r="G1024" t="str">
            <v>WPS KINGIA RD WUNDOWIE</v>
          </cell>
          <cell r="H1024" t="str">
            <v>W5010255</v>
          </cell>
          <cell r="I1024" t="str">
            <v>LOT 7016 BALGA TCE</v>
          </cell>
          <cell r="J1024" t="str">
            <v>WUNDOWIE WA 6560</v>
          </cell>
          <cell r="K1024" t="str">
            <v>0350030532</v>
          </cell>
        </row>
        <row r="1025">
          <cell r="G1025" t="str">
            <v>WPS BELKA</v>
          </cell>
          <cell r="H1025" t="str">
            <v>W0020324</v>
          </cell>
          <cell r="I1025" t="str">
            <v>TOTADGIN RD</v>
          </cell>
          <cell r="J1025" t="str">
            <v>MERREDIN WA 6415</v>
          </cell>
          <cell r="K1025" t="str">
            <v>0136004382</v>
          </cell>
        </row>
        <row r="1026">
          <cell r="G1026" t="str">
            <v>SPS 2 HAMMOND ST KELLERBERRIN</v>
          </cell>
          <cell r="H1026" t="str">
            <v>S0015428</v>
          </cell>
          <cell r="I1026" t="str">
            <v>61 HAMMOND ST</v>
          </cell>
          <cell r="J1026" t="str">
            <v>KELLERBERRIN WA 6410</v>
          </cell>
          <cell r="K1026" t="str">
            <v>0116000564</v>
          </cell>
        </row>
        <row r="1027">
          <cell r="G1027" t="str">
            <v>SPS BRAIDWOOD DR AUSTRALIND</v>
          </cell>
          <cell r="H1027" t="str">
            <v>S8000011</v>
          </cell>
          <cell r="I1027" t="str">
            <v>65 BRAIDWOOD DR</v>
          </cell>
          <cell r="J1027" t="str">
            <v>AUSTRALIND WA 6233</v>
          </cell>
          <cell r="K1027" t="str">
            <v>450M2000368</v>
          </cell>
        </row>
        <row r="1028">
          <cell r="G1028" t="str">
            <v>SITE INFRA WWTP MERREDIN</v>
          </cell>
          <cell r="H1028" t="str">
            <v>S5010910</v>
          </cell>
          <cell r="I1028" t="str">
            <v>LOT 501 GAMENYA AVE</v>
          </cell>
          <cell r="J1028" t="str">
            <v>MERREDIN WA 6415</v>
          </cell>
          <cell r="K1028" t="str">
            <v>0350016349</v>
          </cell>
        </row>
        <row r="1029">
          <cell r="G1029" t="str">
            <v>WWTP MUKINBUDIN</v>
          </cell>
          <cell r="H1029" t="str">
            <v>S010-003</v>
          </cell>
          <cell r="I1029" t="str">
            <v>LOT28592 MUKINBUDIN RD</v>
          </cell>
          <cell r="J1029" t="str">
            <v>MUKINBUDIN</v>
          </cell>
          <cell r="K1029" t="str">
            <v>0180028443</v>
          </cell>
        </row>
        <row r="1030">
          <cell r="G1030" t="str">
            <v>WPS QUICKUP DAM DENMARK</v>
          </cell>
          <cell r="H1030" t="str">
            <v>W0022735</v>
          </cell>
          <cell r="I1030" t="str">
            <v>LOT 4 DENMARK RD</v>
          </cell>
          <cell r="J1030" t="str">
            <v>DENMARK WA 6333</v>
          </cell>
          <cell r="K1030" t="str">
            <v>0136001536</v>
          </cell>
        </row>
        <row r="1031">
          <cell r="G1031" t="str">
            <v>SPS LESTER AVE GERALDTON</v>
          </cell>
          <cell r="H1031" t="str">
            <v>S0037830</v>
          </cell>
          <cell r="I1031" t="str">
            <v>VICTORIA ST</v>
          </cell>
          <cell r="J1031" t="str">
            <v>GERALDTON WA 6530</v>
          </cell>
          <cell r="K1031" t="str">
            <v>410M157334</v>
          </cell>
        </row>
        <row r="1032">
          <cell r="G1032" t="str">
            <v>BORE SITE J230</v>
          </cell>
          <cell r="H1032" t="str">
            <v>W1001465</v>
          </cell>
          <cell r="I1032" t="str">
            <v>LOT 230J LYON RD</v>
          </cell>
          <cell r="J1032" t="str">
            <v>BANJUP WA 6164</v>
          </cell>
          <cell r="K1032" t="str">
            <v>001900203</v>
          </cell>
        </row>
        <row r="1033">
          <cell r="G1033" t="str">
            <v>CHL SYS KATANNING RD KOJONUP TANK</v>
          </cell>
          <cell r="H1033" t="str">
            <v>W7002352</v>
          </cell>
          <cell r="I1033" t="str">
            <v>LOC 217 KATANNING RD</v>
          </cell>
          <cell r="J1033" t="str">
            <v>KOJONUP WA 6395</v>
          </cell>
          <cell r="K1033" t="str">
            <v>15M34774</v>
          </cell>
        </row>
        <row r="1034">
          <cell r="G1034" t="str">
            <v>CDP LEESON RD WICKEPIN TANK</v>
          </cell>
          <cell r="H1034" t="str">
            <v>W7003395</v>
          </cell>
          <cell r="I1034" t="str">
            <v>WILLIAMS-KONDININ RD</v>
          </cell>
          <cell r="J1034" t="str">
            <v>WICKEPIN</v>
          </cell>
          <cell r="K1034" t="str">
            <v>0149000240</v>
          </cell>
        </row>
        <row r="1035">
          <cell r="G1035" t="str">
            <v>SPS ADAMS ST O'CONNOR</v>
          </cell>
          <cell r="H1035" t="str">
            <v>S0033569</v>
          </cell>
          <cell r="I1035" t="str">
            <v>ADAMS ST</v>
          </cell>
          <cell r="J1035" t="str">
            <v>O'CONNOR WA 6163</v>
          </cell>
          <cell r="K1035" t="str">
            <v>410M154386</v>
          </cell>
        </row>
        <row r="1036">
          <cell r="G1036" t="str">
            <v>BORE SITE P145</v>
          </cell>
          <cell r="H1036" t="str">
            <v>W1001526</v>
          </cell>
          <cell r="I1036" t="str">
            <v>LOT 145P PERRY RD</v>
          </cell>
          <cell r="J1036" t="str">
            <v>PINJAR WA 6065</v>
          </cell>
          <cell r="K1036" t="str">
            <v>0136001152</v>
          </cell>
        </row>
        <row r="1037">
          <cell r="G1037" t="str">
            <v>SPS CROSBY ST FLOREAT</v>
          </cell>
          <cell r="H1037" t="str">
            <v>S0031678</v>
          </cell>
          <cell r="I1037" t="str">
            <v>CROSBY ST</v>
          </cell>
          <cell r="J1037" t="str">
            <v>FLOREAT WA 6014</v>
          </cell>
          <cell r="K1037" t="str">
            <v>0280003505</v>
          </cell>
        </row>
        <row r="1038">
          <cell r="G1038" t="str">
            <v>WWTP KATANNING</v>
          </cell>
          <cell r="H1038" t="str">
            <v>S025-003-001</v>
          </cell>
          <cell r="I1038" t="str">
            <v>LOT 4 CORNWALL ST</v>
          </cell>
          <cell r="J1038" t="str">
            <v>KATANNING WA 6317</v>
          </cell>
          <cell r="K1038" t="str">
            <v>0136002491</v>
          </cell>
        </row>
        <row r="1039">
          <cell r="G1039" t="str">
            <v>WPS ALBANY HWY MOUNT NASURA</v>
          </cell>
          <cell r="H1039" t="str">
            <v>W0035037</v>
          </cell>
          <cell r="I1039" t="str">
            <v>ALBANY HWY</v>
          </cell>
          <cell r="J1039" t="str">
            <v>ARMADALE WA 6112</v>
          </cell>
          <cell r="K1039" t="str">
            <v>0136004380</v>
          </cell>
        </row>
        <row r="1040">
          <cell r="G1040" t="str">
            <v>BORE 70-77 RACECOURSE</v>
          </cell>
          <cell r="H1040" t="str">
            <v>W0023502</v>
          </cell>
          <cell r="I1040" t="str">
            <v>LOT 70R ROBERTS RD</v>
          </cell>
          <cell r="J1040" t="str">
            <v>ROBINSON  WA  6330</v>
          </cell>
          <cell r="K1040" t="str">
            <v>002101649</v>
          </cell>
        </row>
        <row r="1041">
          <cell r="G1041" t="str">
            <v>SPS PARK RD MANDURAH</v>
          </cell>
          <cell r="H1041" t="str">
            <v>S8007748</v>
          </cell>
          <cell r="I1041" t="str">
            <v>LOT 137A SCOTT ST</v>
          </cell>
          <cell r="J1041" t="str">
            <v>MANDURAH WA 6210</v>
          </cell>
          <cell r="K1041" t="str">
            <v>0180035784</v>
          </cell>
        </row>
        <row r="1042">
          <cell r="G1042" t="str">
            <v>LOWER HELENA PIPEHEAD DAM</v>
          </cell>
          <cell r="H1042" t="str">
            <v>W0007080</v>
          </cell>
          <cell r="I1042" t="str">
            <v>LOT 5342 VICTOR RD</v>
          </cell>
          <cell r="J1042" t="str">
            <v>DARLINGTON WA 6070</v>
          </cell>
          <cell r="K1042" t="str">
            <v>0221000098</v>
          </cell>
        </row>
        <row r="1043">
          <cell r="G1043" t="str">
            <v>WPS BINGHAM YOURDAMUNG LAKE</v>
          </cell>
          <cell r="H1043" t="str">
            <v>W0046381</v>
          </cell>
          <cell r="I1043" t="str">
            <v>WILLIAMS RD</v>
          </cell>
          <cell r="J1043" t="str">
            <v>COLLIE WA 6225</v>
          </cell>
          <cell r="K1043" t="str">
            <v>0122000031</v>
          </cell>
        </row>
        <row r="1044">
          <cell r="G1044" t="str">
            <v>WWTP NARNGULU</v>
          </cell>
          <cell r="H1044" t="str">
            <v>S064-005-004</v>
          </cell>
          <cell r="I1044" t="str">
            <v>LOT 150 LANDFILL LANE</v>
          </cell>
          <cell r="J1044" t="str">
            <v>NARNGULU WA 6532</v>
          </cell>
          <cell r="K1044" t="str">
            <v>0211001788</v>
          </cell>
        </row>
        <row r="1045">
          <cell r="G1045" t="str">
            <v>SPS DOG SWAMP YOKINE</v>
          </cell>
          <cell r="H1045" t="str">
            <v>S0028341</v>
          </cell>
          <cell r="I1045" t="str">
            <v>U42 WANNEROO RD</v>
          </cell>
          <cell r="J1045" t="str">
            <v>YOKINE WA 6060</v>
          </cell>
          <cell r="K1045" t="str">
            <v>0136005974</v>
          </cell>
        </row>
        <row r="1046">
          <cell r="G1046" t="str">
            <v>SPS ROCKINGHAM BEACH RD ROCKINGHAM</v>
          </cell>
          <cell r="H1046" t="str">
            <v>S2008770</v>
          </cell>
          <cell r="I1046" t="str">
            <v>LOT 153 ROCKINGHAM BEACH RD</v>
          </cell>
          <cell r="J1046" t="str">
            <v>ROCKINGHAM WA 6168</v>
          </cell>
          <cell r="K1046" t="str">
            <v>0180004319</v>
          </cell>
        </row>
        <row r="1047">
          <cell r="G1047" t="str">
            <v>SPS CLIFTON ST SCARBOROUGH</v>
          </cell>
          <cell r="H1047" t="str">
            <v>S0028299</v>
          </cell>
          <cell r="I1047" t="str">
            <v>LOT 8152 CLIFTON ST</v>
          </cell>
          <cell r="J1047" t="str">
            <v>SCARBOROUGH WA 6019</v>
          </cell>
          <cell r="K1047" t="str">
            <v>0136004383</v>
          </cell>
        </row>
        <row r="1048">
          <cell r="G1048" t="str">
            <v>SPS SHALLOW ST SPEARWOOD</v>
          </cell>
          <cell r="H1048" t="str">
            <v>S0033324</v>
          </cell>
          <cell r="I1048" t="str">
            <v>SHALLOW ST</v>
          </cell>
          <cell r="J1048" t="str">
            <v>SPEARWOOD WA 6163</v>
          </cell>
          <cell r="K1048" t="str">
            <v>0081000110</v>
          </cell>
        </row>
        <row r="1049">
          <cell r="G1049" t="str">
            <v>CP ZONE GARRETT RD BRIDGE 7B DEEP</v>
          </cell>
          <cell r="H1049" t="str">
            <v>W0013016</v>
          </cell>
          <cell r="I1049" t="str">
            <v>GRANDSTAND RD</v>
          </cell>
          <cell r="J1049" t="str">
            <v>ASCOT WA 6104</v>
          </cell>
          <cell r="K1049" t="str">
            <v>410M196393</v>
          </cell>
        </row>
        <row r="1050">
          <cell r="G1050" t="str">
            <v>SPS GLENN AV MOSMAN PARK</v>
          </cell>
          <cell r="H1050" t="str">
            <v>S0032621</v>
          </cell>
          <cell r="I1050" t="str">
            <v>GLENN AVE</v>
          </cell>
          <cell r="J1050" t="str">
            <v>MOSMAN PARK WA 6012</v>
          </cell>
          <cell r="K1050" t="str">
            <v>410M31142</v>
          </cell>
        </row>
        <row r="1051">
          <cell r="G1051" t="str">
            <v>CHL SYS SEABIRD</v>
          </cell>
          <cell r="H1051" t="str">
            <v>W4002255</v>
          </cell>
          <cell r="I1051" t="str">
            <v>LOC 129 EDWARDS ST</v>
          </cell>
          <cell r="J1051" t="str">
            <v>SEABIRD WA 6042</v>
          </cell>
          <cell r="K1051" t="str">
            <v>0348000943</v>
          </cell>
        </row>
        <row r="1052">
          <cell r="G1052" t="str">
            <v>TREATMENT MODULE</v>
          </cell>
          <cell r="H1052" t="str">
            <v>W0004838</v>
          </cell>
          <cell r="I1052" t="str">
            <v>41 BARTRAM RD</v>
          </cell>
          <cell r="J1052" t="str">
            <v>ATWELL  WA  6164</v>
          </cell>
          <cell r="K1052" t="str">
            <v>0211000933</v>
          </cell>
        </row>
        <row r="1053">
          <cell r="G1053" t="str">
            <v>SPS BROOME ST SPALDING</v>
          </cell>
          <cell r="H1053" t="str">
            <v>S0037796</v>
          </cell>
          <cell r="I1053" t="str">
            <v>LOT 119 BROOME ST</v>
          </cell>
          <cell r="J1053" t="str">
            <v>SPALDING WA 6530</v>
          </cell>
          <cell r="K1053" t="str">
            <v>0148002559</v>
          </cell>
        </row>
        <row r="1054">
          <cell r="G1054" t="str">
            <v>SPS ASKEW RD GERALDTON</v>
          </cell>
          <cell r="H1054" t="str">
            <v>S0037741</v>
          </cell>
          <cell r="I1054" t="str">
            <v>LOT 42 ASKEW RD</v>
          </cell>
          <cell r="J1054" t="str">
            <v>GERALDTON WA 6530</v>
          </cell>
          <cell r="K1054" t="str">
            <v>410M160497</v>
          </cell>
        </row>
        <row r="1055">
          <cell r="G1055" t="str">
            <v>SPS HOLLAND ST FREMANTLE</v>
          </cell>
          <cell r="H1055" t="str">
            <v>S0033721</v>
          </cell>
          <cell r="I1055" t="str">
            <v>164 HOLLAND ST</v>
          </cell>
          <cell r="J1055" t="str">
            <v>FREMANTLE WA 6160</v>
          </cell>
          <cell r="K1055" t="str">
            <v>0380000665</v>
          </cell>
        </row>
        <row r="1056">
          <cell r="G1056" t="str">
            <v>SPS LYON RD AUBIN GROVE</v>
          </cell>
          <cell r="H1056" t="str">
            <v>S2016968</v>
          </cell>
          <cell r="I1056" t="str">
            <v>LOT 628 LYON RD</v>
          </cell>
          <cell r="J1056" t="str">
            <v>AUBIN GROVE WA 6164</v>
          </cell>
          <cell r="K1056" t="str">
            <v>0380008430</v>
          </cell>
        </row>
        <row r="1057">
          <cell r="G1057" t="str">
            <v>SPS PAGE RD KELMSCOTT</v>
          </cell>
          <cell r="H1057" t="str">
            <v>S0032771</v>
          </cell>
          <cell r="I1057" t="str">
            <v>LOT 2 MUTTON RD</v>
          </cell>
          <cell r="J1057" t="str">
            <v>KELMSCOTT WA 6111</v>
          </cell>
          <cell r="K1057" t="str">
            <v>450M22315</v>
          </cell>
        </row>
        <row r="1058">
          <cell r="G1058" t="str">
            <v>SPS VIRGILIA TCE SOUTH LAKE</v>
          </cell>
          <cell r="H1058" t="str">
            <v>S0032878</v>
          </cell>
          <cell r="I1058" t="str">
            <v>LOT 605 VIRGILIA TCE</v>
          </cell>
          <cell r="J1058" t="str">
            <v>SOUTH LAKE WA 6164</v>
          </cell>
          <cell r="K1058" t="str">
            <v>0148006276</v>
          </cell>
        </row>
        <row r="1059">
          <cell r="G1059" t="str">
            <v>SPS SHERMAN ST CANNING VALE</v>
          </cell>
          <cell r="H1059" t="str">
            <v>S0034438</v>
          </cell>
          <cell r="I1059" t="str">
            <v>LOT 137 SHERMAN ST</v>
          </cell>
          <cell r="J1059" t="str">
            <v>CANNING VALE WA 6155</v>
          </cell>
          <cell r="K1059" t="str">
            <v>0148004194</v>
          </cell>
        </row>
        <row r="1060">
          <cell r="G1060" t="str">
            <v>SPS JENNINGS WY LOCKRIDGE</v>
          </cell>
          <cell r="H1060" t="str">
            <v>S0030166</v>
          </cell>
          <cell r="I1060" t="str">
            <v>JENNINGS WAY</v>
          </cell>
          <cell r="J1060" t="str">
            <v>LOCKRIDGE WA 6054</v>
          </cell>
          <cell r="K1060" t="str">
            <v>450M22356</v>
          </cell>
        </row>
        <row r="1061">
          <cell r="G1061" t="str">
            <v>SPS WORRELL AV HIGH WYCOMBE</v>
          </cell>
          <cell r="H1061" t="str">
            <v>S0033519</v>
          </cell>
          <cell r="I1061" t="str">
            <v>LOT 15 WORRELL AVE</v>
          </cell>
          <cell r="J1061" t="str">
            <v>HIGH WYCOMBE WA 6057</v>
          </cell>
          <cell r="K1061" t="str">
            <v>410M175808</v>
          </cell>
        </row>
        <row r="1062">
          <cell r="G1062" t="str">
            <v>TANK 2 WSC TELEVISION RD WALLISTON</v>
          </cell>
          <cell r="H1062" t="str">
            <v>W0035154</v>
          </cell>
          <cell r="I1062" t="str">
            <v>TELEVISION RD</v>
          </cell>
          <cell r="J1062" t="str">
            <v>BICKLEY WA 6076</v>
          </cell>
          <cell r="K1062" t="str">
            <v>0200019682</v>
          </cell>
        </row>
        <row r="1063">
          <cell r="G1063" t="str">
            <v>SPS IRVINE DR MALAGA</v>
          </cell>
          <cell r="H1063" t="str">
            <v>S0028496</v>
          </cell>
          <cell r="I1063" t="str">
            <v>U41 2 INVERNESS ST</v>
          </cell>
          <cell r="J1063" t="str">
            <v>MALAGA WA 6090</v>
          </cell>
          <cell r="K1063" t="str">
            <v>0102000463</v>
          </cell>
        </row>
        <row r="1064">
          <cell r="G1064" t="str">
            <v>SPS WRIGHT RD PIARA WATERS</v>
          </cell>
          <cell r="H1064" t="str">
            <v>S2018428</v>
          </cell>
          <cell r="I1064" t="str">
            <v>LOT 956 WRIGHT RD</v>
          </cell>
          <cell r="J1064" t="str">
            <v>FORRESTDALE WA 6112</v>
          </cell>
          <cell r="K1064" t="str">
            <v>000000000136006216</v>
          </cell>
        </row>
        <row r="1065">
          <cell r="G1065" t="str">
            <v>CHL SYS MONASH AVE JERRAMUNGUP</v>
          </cell>
          <cell r="H1065" t="str">
            <v>W7002310</v>
          </cell>
          <cell r="I1065" t="str">
            <v>UNIT 56/LOT 159 MONASH AVE</v>
          </cell>
          <cell r="J1065" t="str">
            <v>JERRAMUNGUP WA 6337</v>
          </cell>
          <cell r="K1065" t="str">
            <v>15M118019</v>
          </cell>
        </row>
        <row r="1066">
          <cell r="G1066" t="str">
            <v>CHEM TANK HYPO YEALERING</v>
          </cell>
          <cell r="H1066" t="str">
            <v>W7000389</v>
          </cell>
          <cell r="I1066" t="str">
            <v>LOT 9806 WICKEPIN-CORRIGIN RD</v>
          </cell>
          <cell r="J1066" t="str">
            <v>YEALERING WA 6372</v>
          </cell>
          <cell r="K1066" t="str">
            <v>15M303924</v>
          </cell>
        </row>
        <row r="1067">
          <cell r="G1067" t="str">
            <v>SPS STIRLING CR HAZELMERE</v>
          </cell>
          <cell r="H1067" t="str">
            <v>S2000136</v>
          </cell>
          <cell r="I1067" t="str">
            <v>LOT 40 STIRLING CR</v>
          </cell>
          <cell r="J1067" t="str">
            <v>HAZELMERE WA 6055</v>
          </cell>
          <cell r="K1067" t="str">
            <v>410M193205</v>
          </cell>
        </row>
        <row r="1068">
          <cell r="G1068" t="str">
            <v>CHL SYS HYPO BUNTINE TANK</v>
          </cell>
          <cell r="H1068" t="str">
            <v>W5019430</v>
          </cell>
          <cell r="I1068" t="str">
            <v>U53 LOC 15467 DERMER ST</v>
          </cell>
          <cell r="J1068" t="str">
            <v>BUNTINE WA 6613</v>
          </cell>
          <cell r="K1068" t="str">
            <v>0200026715</v>
          </cell>
        </row>
        <row r="1069">
          <cell r="G1069" t="str">
            <v>WPS LEEMAN TRANSFER</v>
          </cell>
          <cell r="H1069" t="str">
            <v>W0040441</v>
          </cell>
          <cell r="I1069" t="str">
            <v>LOT 429 LESCHENAULTIA RD</v>
          </cell>
          <cell r="J1069" t="str">
            <v>LEEMAN WA 6514</v>
          </cell>
          <cell r="K1069" t="str">
            <v>410M196821</v>
          </cell>
        </row>
        <row r="1070">
          <cell r="G1070" t="str">
            <v>LPPS H35 BEVERLEY TCE STH GUILDFORD</v>
          </cell>
          <cell r="H1070" t="str">
            <v>S2023342</v>
          </cell>
          <cell r="I1070" t="str">
            <v>LOT 8737 BEVERLEY TERRACE</v>
          </cell>
          <cell r="J1070" t="str">
            <v>SOUTH GUILDFORD WA 6055</v>
          </cell>
          <cell r="K1070" t="str">
            <v>0200348406</v>
          </cell>
        </row>
        <row r="1071">
          <cell r="G1071" t="str">
            <v>BORE 01-91 MT PERON</v>
          </cell>
          <cell r="H1071" t="str">
            <v>W0040406</v>
          </cell>
          <cell r="I1071" t="str">
            <v>LOCN 10687/ 9993 COOROW-GREENHEAD RD</v>
          </cell>
          <cell r="J1071" t="str">
            <v>WARRADARGE WA 6518</v>
          </cell>
          <cell r="K1071" t="str">
            <v>0248000891</v>
          </cell>
        </row>
        <row r="1072">
          <cell r="G1072" t="str">
            <v>SPS COOLIBAH PL DUNCRAIG</v>
          </cell>
          <cell r="H1072" t="str">
            <v>S2017004</v>
          </cell>
          <cell r="I1072" t="str">
            <v>COOLIBAH PLACE</v>
          </cell>
          <cell r="J1072" t="str">
            <v>DUNCRAIG WA 6023</v>
          </cell>
          <cell r="K1072" t="str">
            <v>0180033902</v>
          </cell>
        </row>
        <row r="1073">
          <cell r="G1073" t="str">
            <v>BOREFIELD NON POT MOOKARDY HILL MOORA</v>
          </cell>
          <cell r="H1073" t="str">
            <v>W4001703</v>
          </cell>
          <cell r="I1073" t="str">
            <v>UA LOT 19 BERKSHIRE VALLEY RD</v>
          </cell>
          <cell r="J1073" t="str">
            <v>MOORA WA 6510</v>
          </cell>
          <cell r="K1073" t="str">
            <v>410M230276</v>
          </cell>
        </row>
        <row r="1074">
          <cell r="G1074" t="str">
            <v>TANK EL 1 WSC ADMIRALTY PL LESCHENAULT</v>
          </cell>
          <cell r="H1074" t="str">
            <v>W261-001-001-006</v>
          </cell>
          <cell r="I1074" t="str">
            <v>ADMIRALTY WAY</v>
          </cell>
          <cell r="J1074" t="str">
            <v>LESCHENAULT WA 6233</v>
          </cell>
          <cell r="K1074" t="str">
            <v>15M95700</v>
          </cell>
        </row>
        <row r="1075">
          <cell r="G1075" t="str">
            <v>SPS EWING ST BENTLEY</v>
          </cell>
          <cell r="H1075" t="str">
            <v>S0032975</v>
          </cell>
          <cell r="I1075" t="str">
            <v>20 EWING ST</v>
          </cell>
          <cell r="J1075" t="str">
            <v>BENTLEY WA 6102</v>
          </cell>
          <cell r="K1075" t="str">
            <v>410M183026</v>
          </cell>
        </row>
        <row r="1076">
          <cell r="G1076" t="str">
            <v>WPS BROAD ARROW</v>
          </cell>
          <cell r="H1076" t="str">
            <v>W6005000</v>
          </cell>
          <cell r="I1076" t="str">
            <v>LOT 601 RAILWAY ST</v>
          </cell>
          <cell r="J1076" t="str">
            <v>KANOWNA WA 6431</v>
          </cell>
          <cell r="K1076" t="str">
            <v>15D074315</v>
          </cell>
        </row>
        <row r="1077">
          <cell r="G1077" t="str">
            <v>BORE SITE WT20</v>
          </cell>
          <cell r="H1077" t="str">
            <v>W1001080</v>
          </cell>
          <cell r="I1077" t="str">
            <v>LOT 11224 FAIRWAY CIR</v>
          </cell>
          <cell r="J1077" t="str">
            <v>CONNOLLY WA 6027</v>
          </cell>
          <cell r="K1077" t="str">
            <v xml:space="preserve">0148003673     </v>
          </cell>
        </row>
        <row r="1078">
          <cell r="G1078" t="str">
            <v>SP BORE 29-72 SANDPATCH</v>
          </cell>
          <cell r="H1078" t="str">
            <v>W7000275</v>
          </cell>
          <cell r="I1078" t="str">
            <v>LOT 1A FRENCHMAN BAY RD</v>
          </cell>
          <cell r="J1078" t="str">
            <v>LITTLE GROVE WA 6330</v>
          </cell>
          <cell r="K1078" t="str">
            <v>0148005774</v>
          </cell>
        </row>
        <row r="1079">
          <cell r="G1079" t="str">
            <v>BORE SITES WT40/WT45</v>
          </cell>
          <cell r="H1079" t="str">
            <v>W1001053</v>
          </cell>
          <cell r="I1079" t="str">
            <v>TELSTAR PL</v>
          </cell>
          <cell r="J1079" t="str">
            <v>HEATHRIDGE WA 6027</v>
          </cell>
          <cell r="K1079" t="str">
            <v xml:space="preserve">0211001237     </v>
          </cell>
        </row>
        <row r="1080">
          <cell r="G1080" t="str">
            <v>SPS TURNER ST BOYANUP</v>
          </cell>
          <cell r="H1080" t="str">
            <v>S8006981</v>
          </cell>
          <cell r="I1080" t="str">
            <v>TURNER ST</v>
          </cell>
          <cell r="J1080" t="str">
            <v>BOYANUP WA 6237</v>
          </cell>
          <cell r="K1080" t="str">
            <v>0180012795</v>
          </cell>
        </row>
        <row r="1081">
          <cell r="G1081" t="str">
            <v>SPS 1 STIRLING TERRACE TOODYAY</v>
          </cell>
          <cell r="H1081" t="str">
            <v>S5000005</v>
          </cell>
          <cell r="I1081" t="str">
            <v>90 STIRLING TCE</v>
          </cell>
          <cell r="J1081" t="str">
            <v>TOODYAY WA 6566</v>
          </cell>
          <cell r="K1081" t="str">
            <v>0148006445</v>
          </cell>
        </row>
        <row r="1082">
          <cell r="G1082" t="str">
            <v>BORE SITE Q20</v>
          </cell>
          <cell r="H1082" t="str">
            <v>W1001137</v>
          </cell>
          <cell r="I1082" t="str">
            <v>LOT 12689 MACNAUGHTON CR</v>
          </cell>
          <cell r="J1082" t="str">
            <v>KINROSS WA 6028</v>
          </cell>
          <cell r="K1082" t="str">
            <v xml:space="preserve">0148003602     </v>
          </cell>
        </row>
        <row r="1083">
          <cell r="G1083" t="str">
            <v>SPS HARBORNE ST OSBORNE PARK</v>
          </cell>
          <cell r="H1083" t="str">
            <v>S0031702</v>
          </cell>
          <cell r="I1083" t="str">
            <v>HARBORNE ST</v>
          </cell>
          <cell r="J1083" t="str">
            <v>OSBORNE PARK WA 6017</v>
          </cell>
          <cell r="K1083" t="str">
            <v>0148004329</v>
          </cell>
        </row>
        <row r="1084">
          <cell r="G1084" t="str">
            <v>BORE SITE W55</v>
          </cell>
          <cell r="H1084" t="str">
            <v>W1001595</v>
          </cell>
          <cell r="I1084" t="str">
            <v>LOT 55W SILVER RD</v>
          </cell>
          <cell r="J1084" t="str">
            <v>JANDABUP WA 6065</v>
          </cell>
          <cell r="K1084" t="str">
            <v xml:space="preserve">0211001248     </v>
          </cell>
        </row>
        <row r="1085">
          <cell r="G1085" t="str">
            <v>SPS CAPE NATURALISTE RD NATURALISTE</v>
          </cell>
          <cell r="H1085" t="str">
            <v>S8002699</v>
          </cell>
          <cell r="I1085" t="str">
            <v>LOC 302 CAPE NATURALISTE RD</v>
          </cell>
          <cell r="J1085" t="str">
            <v>NATURALISTE WA 6281</v>
          </cell>
          <cell r="K1085" t="str">
            <v>0148006480</v>
          </cell>
        </row>
        <row r="1086">
          <cell r="G1086" t="str">
            <v>SPS LESCHENAULT PDE AUSTRALIND</v>
          </cell>
          <cell r="H1086" t="str">
            <v>S8000434</v>
          </cell>
          <cell r="I1086" t="str">
            <v>20 LESCHENAULT PDE</v>
          </cell>
          <cell r="J1086" t="str">
            <v>AUSTRALIND WA 6233</v>
          </cell>
          <cell r="K1086" t="str">
            <v>410M198313</v>
          </cell>
        </row>
        <row r="1087">
          <cell r="G1087" t="str">
            <v>WPS MILLEARA RD GOSNELLS</v>
          </cell>
          <cell r="H1087" t="str">
            <v>W0035931</v>
          </cell>
          <cell r="I1087" t="str">
            <v>LOT 53 CONNELL AVE</v>
          </cell>
          <cell r="J1087" t="str">
            <v>GOSNELLS WA 6110</v>
          </cell>
          <cell r="K1087" t="str">
            <v>002101655</v>
          </cell>
        </row>
        <row r="1088">
          <cell r="G1088" t="str">
            <v>SPS FIFTH AV ROSSMOYNE</v>
          </cell>
          <cell r="H1088" t="str">
            <v>S0033690</v>
          </cell>
          <cell r="I1088" t="str">
            <v>U43 LOT 3265 RIVERTON WEST DR</v>
          </cell>
          <cell r="J1088" t="str">
            <v>ROSSMOYNE WA 6148</v>
          </cell>
          <cell r="K1088" t="str">
            <v>0148005993</v>
          </cell>
        </row>
        <row r="1089">
          <cell r="G1089" t="str">
            <v>SPS TYNESIDE GDNS CURRAMBINE</v>
          </cell>
          <cell r="H1089" t="str">
            <v>S0027313</v>
          </cell>
          <cell r="I1089" t="str">
            <v>10 TYNESIDE GR</v>
          </cell>
          <cell r="J1089" t="str">
            <v>CURRAMBINE WA 6028</v>
          </cell>
          <cell r="K1089" t="str">
            <v>410M179167</v>
          </cell>
        </row>
        <row r="1090">
          <cell r="G1090" t="str">
            <v>WSC EASTWELL RD AUSTRALIND</v>
          </cell>
          <cell r="H1090" t="str">
            <v>W8004134</v>
          </cell>
          <cell r="I1090" t="str">
            <v>EASTWELL RD</v>
          </cell>
          <cell r="J1090" t="str">
            <v>AUSTRALIND WA 6233</v>
          </cell>
          <cell r="K1090" t="str">
            <v>0180036764</v>
          </cell>
        </row>
        <row r="1091">
          <cell r="G1091" t="str">
            <v>SPS PICKARD AV ROCKINGHAM</v>
          </cell>
          <cell r="H1091" t="str">
            <v>S0030365</v>
          </cell>
          <cell r="I1091" t="str">
            <v>LOT 23 PICKARD AVE</v>
          </cell>
          <cell r="J1091" t="str">
            <v>ROCKINGHAM WA 6168</v>
          </cell>
          <cell r="K1091" t="str">
            <v>0380013142</v>
          </cell>
        </row>
        <row r="1092">
          <cell r="G1092" t="str">
            <v>SPS MIDGLEY ST LATHLAIN</v>
          </cell>
          <cell r="H1092" t="str">
            <v>S0034130</v>
          </cell>
          <cell r="I1092" t="str">
            <v>U43 MIDGLEY ST</v>
          </cell>
          <cell r="J1092" t="str">
            <v>LATHLAIN WA 6100</v>
          </cell>
          <cell r="K1092" t="str">
            <v>0081000006</v>
          </cell>
        </row>
        <row r="1093">
          <cell r="G1093" t="str">
            <v>SPS ST HELIER DR SORRENTO</v>
          </cell>
          <cell r="H1093" t="str">
            <v>S0028641</v>
          </cell>
          <cell r="I1093" t="str">
            <v>LOT 719 ST HELIER DR</v>
          </cell>
          <cell r="J1093" t="str">
            <v>SORRENTO WA 6020</v>
          </cell>
          <cell r="K1093" t="str">
            <v>0148002415</v>
          </cell>
        </row>
        <row r="1094">
          <cell r="G1094" t="str">
            <v>BORE 02-89 LEDGE POINT</v>
          </cell>
          <cell r="H1094" t="str">
            <v>W0041924</v>
          </cell>
          <cell r="I1094" t="str">
            <v>LOC 11261 LEDGE POINT RD</v>
          </cell>
          <cell r="J1094" t="str">
            <v>LEDGE POINT WA 6043</v>
          </cell>
          <cell r="K1094" t="str">
            <v>0148000055</v>
          </cell>
        </row>
        <row r="1095">
          <cell r="G1095" t="str">
            <v>WPS WADDOURING</v>
          </cell>
          <cell r="H1095" t="str">
            <v>W0019997</v>
          </cell>
          <cell r="I1095" t="str">
            <v>U54 339 BENCUBBIN-KELLERBERRIN RD</v>
          </cell>
          <cell r="J1095" t="str">
            <v>BENCUBBIN WA 6477</v>
          </cell>
          <cell r="K1095" t="str">
            <v>000000000214001151</v>
          </cell>
        </row>
        <row r="1096">
          <cell r="G1096" t="str">
            <v>CATHODIC SITE, HINES RD (1NSD) (Shallow)</v>
          </cell>
          <cell r="H1096" t="str">
            <v>W0012089</v>
          </cell>
          <cell r="I1096" t="str">
            <v>HINES RD</v>
          </cell>
          <cell r="J1096" t="str">
            <v>NORTH DANDALUP WA 6207</v>
          </cell>
          <cell r="K1096" t="str">
            <v>410M110169</v>
          </cell>
        </row>
        <row r="1097">
          <cell r="G1097" t="str">
            <v>SPS LOFTIE ST BRIDGETOWN</v>
          </cell>
          <cell r="H1097" t="str">
            <v>S0043978</v>
          </cell>
          <cell r="I1097" t="str">
            <v>LOT 26 LOFTIE ST</v>
          </cell>
          <cell r="J1097" t="str">
            <v>BRIDGETOWN WA 6255</v>
          </cell>
          <cell r="K1097" t="str">
            <v>0136000317</v>
          </cell>
        </row>
        <row r="1098">
          <cell r="G1098" t="str">
            <v>DPS FULHAM ST KEWDALE</v>
          </cell>
          <cell r="H1098" t="str">
            <v>D0036398</v>
          </cell>
          <cell r="I1098" t="str">
            <v>FULHAM ST</v>
          </cell>
          <cell r="J1098" t="str">
            <v>KEWDALE WA 6105</v>
          </cell>
          <cell r="K1098" t="str">
            <v>410AM52819</v>
          </cell>
        </row>
        <row r="1099">
          <cell r="G1099" t="str">
            <v>BORE SITE W320</v>
          </cell>
          <cell r="H1099" t="str">
            <v>W1001591</v>
          </cell>
          <cell r="I1099" t="str">
            <v>4 (LOT 320W) BARDIE RD</v>
          </cell>
          <cell r="J1099" t="str">
            <v>PINJAR WA 6065</v>
          </cell>
          <cell r="K1099" t="str">
            <v>0148003493</v>
          </cell>
        </row>
        <row r="1100">
          <cell r="G1100" t="str">
            <v>VPS CLEARYS RD DARDANUP</v>
          </cell>
          <cell r="H1100" t="str">
            <v>S0044443</v>
          </cell>
          <cell r="I1100" t="str">
            <v>LOT 76 CLEARY RD</v>
          </cell>
          <cell r="J1100" t="str">
            <v>DARDANUP WA 6236</v>
          </cell>
          <cell r="K1100" t="str">
            <v>0148003167</v>
          </cell>
        </row>
        <row r="1101">
          <cell r="G1101" t="str">
            <v>WPS FRASER AV KINGS PARK</v>
          </cell>
          <cell r="H1101" t="str">
            <v>W0034616</v>
          </cell>
          <cell r="I1101" t="str">
            <v>LOT 746 KINGS PARK RD</v>
          </cell>
          <cell r="J1101" t="str">
            <v>WEST PERTH WA 6005</v>
          </cell>
          <cell r="K1101" t="str">
            <v>0148001334</v>
          </cell>
        </row>
        <row r="1102">
          <cell r="G1102" t="str">
            <v>SPS DUNVEGAN RD APPLECROSS</v>
          </cell>
          <cell r="H1102" t="str">
            <v>S0033676</v>
          </cell>
          <cell r="I1102" t="str">
            <v>CANNING BEACH RD</v>
          </cell>
          <cell r="J1102" t="str">
            <v>APPLECROSS WA 6153</v>
          </cell>
          <cell r="K1102" t="str">
            <v>450M22339</v>
          </cell>
        </row>
        <row r="1103">
          <cell r="G1103" t="str">
            <v>SPS HACKETT RD DALKEITH</v>
          </cell>
          <cell r="H1103" t="str">
            <v>S0032632</v>
          </cell>
          <cell r="I1103" t="str">
            <v>LOT 3858 HACKETT RD</v>
          </cell>
          <cell r="J1103" t="str">
            <v>DALKEITH WA 6009</v>
          </cell>
          <cell r="K1103" t="str">
            <v>0280004424</v>
          </cell>
        </row>
        <row r="1104">
          <cell r="G1104" t="str">
            <v>SPS NYANDI CT THORNLIE</v>
          </cell>
          <cell r="H1104" t="str">
            <v>S0033481</v>
          </cell>
          <cell r="I1104" t="str">
            <v>LOT 194 JOOLEEN WAY</v>
          </cell>
          <cell r="J1104" t="str">
            <v>THORNLIE WA 6108</v>
          </cell>
          <cell r="K1104" t="str">
            <v>410M154821</v>
          </cell>
        </row>
        <row r="1105">
          <cell r="G1105" t="str">
            <v>SPS DENNY ST GNOWANGERUP</v>
          </cell>
          <cell r="H1105" t="str">
            <v>S024-002-001</v>
          </cell>
          <cell r="I1105" t="str">
            <v>DENNY ST</v>
          </cell>
          <cell r="J1105" t="str">
            <v>GNOWANGERUP WA 6335</v>
          </cell>
          <cell r="K1105" t="str">
            <v>410M30055</v>
          </cell>
        </row>
        <row r="1106">
          <cell r="G1106" t="str">
            <v>CDP RUSMORE RD BOYUP BROOK</v>
          </cell>
          <cell r="H1106" t="str">
            <v>W8007160</v>
          </cell>
          <cell r="I1106" t="str">
            <v>81 BRIDGETOWN-BOYUP BROOK RD</v>
          </cell>
          <cell r="J1106" t="str">
            <v>BOYUP BROOK WA 6244</v>
          </cell>
          <cell r="K1106" t="str">
            <v>0350022160</v>
          </cell>
        </row>
        <row r="1107">
          <cell r="G1107" t="str">
            <v>WPS COBHAM AV NOLLAMARA</v>
          </cell>
          <cell r="H1107" t="str">
            <v>W0034788</v>
          </cell>
          <cell r="I1107" t="str">
            <v>LOT 1586 HAYES AVE</v>
          </cell>
          <cell r="J1107" t="str">
            <v>NOLLAMARA WA 6061</v>
          </cell>
          <cell r="K1107" t="str">
            <v>0221000010</v>
          </cell>
        </row>
        <row r="1108">
          <cell r="G1108" t="str">
            <v>CP ZONE WRIGHT RD 33S SHALLOW</v>
          </cell>
          <cell r="H1108" t="str">
            <v>W0013022</v>
          </cell>
          <cell r="I1108" t="str">
            <v>WRIGHT RD</v>
          </cell>
          <cell r="J1108" t="str">
            <v>SERPENTINE WA 6125</v>
          </cell>
          <cell r="K1108" t="str">
            <v>0148004124</v>
          </cell>
        </row>
        <row r="1109">
          <cell r="G1109" t="str">
            <v>WPS CADOUX</v>
          </cell>
          <cell r="H1109" t="str">
            <v>W0019606</v>
          </cell>
          <cell r="I1109" t="str">
            <v>LOCN 25002 RABBIT PROOF FENCE RD</v>
          </cell>
          <cell r="J1109" t="str">
            <v>CADOUX WA 6466</v>
          </cell>
          <cell r="K1109" t="str">
            <v>0136003608</v>
          </cell>
        </row>
        <row r="1110">
          <cell r="G1110" t="str">
            <v>WSC NORTHAM TOWN</v>
          </cell>
          <cell r="H1110" t="str">
            <v>W0021333</v>
          </cell>
          <cell r="I1110" t="str">
            <v>LOT 63 CRORKAN RD</v>
          </cell>
          <cell r="J1110" t="str">
            <v>NORTHAM WA 6401</v>
          </cell>
          <cell r="K1110" t="str">
            <v>15M14737</v>
          </cell>
        </row>
        <row r="1111">
          <cell r="G1111" t="str">
            <v>BORE 04-99 WERILLUP</v>
          </cell>
          <cell r="H1111" t="str">
            <v>W7000391</v>
          </cell>
          <cell r="I1111" t="str">
            <v>LOCN 2480 PRINCESS AVE</v>
          </cell>
          <cell r="J1111" t="str">
            <v>ROBINSON WA 6330</v>
          </cell>
          <cell r="K1111" t="str">
            <v>0148006302</v>
          </cell>
        </row>
        <row r="1112">
          <cell r="G1112" t="str">
            <v>CP ZONE ST ALBANS RD SHALLOW</v>
          </cell>
          <cell r="H1112" t="str">
            <v>W0013027</v>
          </cell>
          <cell r="I1112" t="str">
            <v>261 ST ALBANS RD</v>
          </cell>
          <cell r="J1112" t="str">
            <v>BALDIVIS WA 6171</v>
          </cell>
          <cell r="K1112" t="str">
            <v>0180007584</v>
          </cell>
        </row>
        <row r="1113">
          <cell r="G1113" t="str">
            <v>OVERLAND FLOW TREE FARM 1</v>
          </cell>
          <cell r="H1113" t="str">
            <v>S0022473</v>
          </cell>
          <cell r="I1113" t="str">
            <v>LOCN 5633 HSE NO 35554</v>
          </cell>
          <cell r="J1113" t="str">
            <v>DROME WA 6330</v>
          </cell>
          <cell r="K1113" t="str">
            <v>0148002628</v>
          </cell>
        </row>
        <row r="1114">
          <cell r="G1114" t="str">
            <v>CDP SLOAN RD KONDININ</v>
          </cell>
          <cell r="H1114" t="str">
            <v>W7002329</v>
          </cell>
          <cell r="I1114" t="str">
            <v>LOT 16616</v>
          </cell>
          <cell r="J1114" t="str">
            <v>KONDININ WA 6367</v>
          </cell>
          <cell r="K1114" t="str">
            <v>15M250774</v>
          </cell>
        </row>
        <row r="1115">
          <cell r="G1115" t="str">
            <v>WWTP SOLDIER RD KOJONUP</v>
          </cell>
          <cell r="H1115" t="str">
            <v>S026-002-001</v>
          </cell>
          <cell r="I1115" t="str">
            <v>LOT 302 SOLDIER RD</v>
          </cell>
          <cell r="J1115" t="str">
            <v>KOJONUP WA 6395</v>
          </cell>
          <cell r="K1115" t="str">
            <v>0280003361</v>
          </cell>
        </row>
        <row r="1116">
          <cell r="G1116" t="str">
            <v>BORE SITE J220</v>
          </cell>
          <cell r="H1116" t="str">
            <v>W1001463</v>
          </cell>
          <cell r="I1116" t="str">
            <v>LOT 220J LYON RD</v>
          </cell>
          <cell r="J1116" t="str">
            <v>BANJUP WA 6164</v>
          </cell>
          <cell r="K1116" t="str">
            <v>0148005722</v>
          </cell>
        </row>
        <row r="1117">
          <cell r="G1117" t="str">
            <v>SPS DARLEY GR HALLS HEAD</v>
          </cell>
          <cell r="H1117" t="str">
            <v>S0044555</v>
          </cell>
          <cell r="I1117" t="str">
            <v>LOT 536 DARLEY GR</v>
          </cell>
          <cell r="J1117" t="str">
            <v>HALLS HEAD WA 6210</v>
          </cell>
          <cell r="K1117" t="str">
            <v>410M104467</v>
          </cell>
        </row>
        <row r="1118">
          <cell r="G1118" t="str">
            <v>CATHODIC SITE, MANNING AVE (9C) Shallow</v>
          </cell>
          <cell r="H1118" t="str">
            <v>W0013026</v>
          </cell>
          <cell r="I1118" t="str">
            <v>LOT 7 MANNING AVE</v>
          </cell>
          <cell r="J1118" t="str">
            <v>MARTIN WA 6110</v>
          </cell>
          <cell r="K1118" t="str">
            <v>410M2002747</v>
          </cell>
        </row>
        <row r="1119">
          <cell r="G1119" t="str">
            <v>STIRLING CHEMICAL DOSING PLANT</v>
          </cell>
          <cell r="H1119" t="str">
            <v>W1004408</v>
          </cell>
          <cell r="I1119" t="str">
            <v>UA LOT 4 QUINDANNING RD</v>
          </cell>
          <cell r="J1119" t="str">
            <v>HARVEY WA 6220</v>
          </cell>
          <cell r="K1119" t="str">
            <v>410M227582</v>
          </cell>
        </row>
        <row r="1120">
          <cell r="G1120" t="str">
            <v>SPS LOCHY CL KINROSS</v>
          </cell>
          <cell r="H1120" t="str">
            <v>S0029126</v>
          </cell>
          <cell r="I1120" t="str">
            <v>LOT 1298 LOCHY CL</v>
          </cell>
          <cell r="J1120" t="str">
            <v>KINROSS WA 6028</v>
          </cell>
          <cell r="K1120" t="str">
            <v>0081000491</v>
          </cell>
        </row>
        <row r="1121">
          <cell r="G1121" t="str">
            <v>SPS MINORA RD DALKEITH</v>
          </cell>
          <cell r="H1121" t="str">
            <v>S0032661</v>
          </cell>
          <cell r="I1121" t="str">
            <v>MINORA RD</v>
          </cell>
          <cell r="J1121" t="str">
            <v>DALKEITH WA 6009</v>
          </cell>
          <cell r="K1121" t="str">
            <v>410M103767</v>
          </cell>
        </row>
        <row r="1122">
          <cell r="G1122" t="str">
            <v>SPS PORTOBELLO RD WELLARD</v>
          </cell>
          <cell r="H1122" t="str">
            <v>S2019791</v>
          </cell>
          <cell r="I1122" t="str">
            <v>LOT 1002 PORTOBELLO RD</v>
          </cell>
          <cell r="J1122" t="str">
            <v>WELLARD WA 6170</v>
          </cell>
          <cell r="K1122" t="str">
            <v>0350022189</v>
          </cell>
        </row>
        <row r="1123">
          <cell r="G1123" t="str">
            <v>SPS OHRID PL JOONDALUP</v>
          </cell>
          <cell r="H1123" t="str">
            <v>S0027301</v>
          </cell>
          <cell r="I1123" t="str">
            <v>24 OHRID PL</v>
          </cell>
          <cell r="J1123" t="str">
            <v>JOONDALUP WA 6027</v>
          </cell>
          <cell r="K1123" t="str">
            <v>410M187124</v>
          </cell>
        </row>
        <row r="1124">
          <cell r="G1124" t="str">
            <v>CDP BARRON ST BOYUP BK</v>
          </cell>
          <cell r="H1124" t="str">
            <v>W8005084</v>
          </cell>
          <cell r="I1124" t="str">
            <v>LOT 193 BARRON ST</v>
          </cell>
          <cell r="J1124" t="str">
            <v>BOYUP BROOK WA 6244</v>
          </cell>
          <cell r="K1124" t="str">
            <v>0148001522</v>
          </cell>
        </row>
        <row r="1125">
          <cell r="G1125" t="str">
            <v>SPS BEACHAM ST COODANUP</v>
          </cell>
          <cell r="H1125" t="str">
            <v>S0044692</v>
          </cell>
          <cell r="I1125" t="str">
            <v>BEACHAM ST</v>
          </cell>
          <cell r="J1125" t="str">
            <v>COODANUP WA 6210</v>
          </cell>
          <cell r="K1125" t="str">
            <v>410M125838</v>
          </cell>
        </row>
        <row r="1126">
          <cell r="G1126" t="str">
            <v>WPS SHERRATT ST ALBANY</v>
          </cell>
          <cell r="H1126" t="str">
            <v>W0023082</v>
          </cell>
          <cell r="I1126" t="str">
            <v>LOT 1 SHERRATT ST</v>
          </cell>
          <cell r="J1126" t="str">
            <v>MOUNT MELVILLE WA 6330</v>
          </cell>
          <cell r="K1126" t="str">
            <v>5M36321</v>
          </cell>
        </row>
        <row r="1127">
          <cell r="G1127" t="str">
            <v>SPS STUART DR HENDERSON</v>
          </cell>
          <cell r="H1127" t="str">
            <v>S2009290</v>
          </cell>
          <cell r="I1127" t="str">
            <v>23 STUART RD</v>
          </cell>
          <cell r="J1127" t="str">
            <v>HENDERSON 6166</v>
          </cell>
          <cell r="K1127" t="str">
            <v>0180009476</v>
          </cell>
        </row>
        <row r="1128">
          <cell r="G1128" t="str">
            <v>SPS FIRTH ST EMU POINT</v>
          </cell>
          <cell r="H1128" t="str">
            <v>S0022339</v>
          </cell>
          <cell r="I1128" t="str">
            <v>LOT 1237 FIRTH ST</v>
          </cell>
          <cell r="J1128" t="str">
            <v>EMU POINT WA 6330</v>
          </cell>
          <cell r="K1128" t="str">
            <v>410M184037</v>
          </cell>
        </row>
        <row r="1129">
          <cell r="G1129"/>
          <cell r="H1129" t="e">
            <v>#N/A</v>
          </cell>
          <cell r="I1129" t="str">
            <v>138 BEAUFORT ST</v>
          </cell>
          <cell r="J1129" t="str">
            <v>KATANNING WA 6317</v>
          </cell>
          <cell r="K1129" t="str">
            <v>000000000136005899</v>
          </cell>
        </row>
        <row r="1130">
          <cell r="G1130" t="str">
            <v>WPS MARGARET RD HOVEA</v>
          </cell>
          <cell r="H1130" t="str">
            <v>W2000328</v>
          </cell>
          <cell r="I1130" t="str">
            <v>60 MARGARET RD</v>
          </cell>
          <cell r="J1130" t="str">
            <v>HOVEA WA 6071</v>
          </cell>
          <cell r="K1130" t="str">
            <v>0136002705</v>
          </cell>
        </row>
        <row r="1131">
          <cell r="G1131" t="str">
            <v>#CHLORINATOR (SOD HYPO) CADOUX CK43</v>
          </cell>
          <cell r="H1131" t="str">
            <v>W5008470</v>
          </cell>
          <cell r="I1131" t="str">
            <v>LOC 3905 CADOUX ST</v>
          </cell>
          <cell r="J1131" t="str">
            <v>CADOUX WA 6466</v>
          </cell>
          <cell r="K1131" t="str">
            <v>15D049277</v>
          </cell>
        </row>
        <row r="1132">
          <cell r="G1132" t="str">
            <v>SPS 2 OATS ST MERREDIN</v>
          </cell>
          <cell r="H1132" t="str">
            <v>S0016367</v>
          </cell>
          <cell r="I1132" t="str">
            <v>2 OATS ST</v>
          </cell>
          <cell r="J1132" t="str">
            <v>MERREDIN WA 6415</v>
          </cell>
          <cell r="K1132" t="str">
            <v>410M173513</v>
          </cell>
        </row>
        <row r="1133">
          <cell r="G1133" t="str">
            <v>BOREFIELD ALLANOOKA</v>
          </cell>
          <cell r="H1133" t="str">
            <v>W0039083</v>
          </cell>
          <cell r="I1133" t="str">
            <v>LOCN 640 ALLANOOKA SPRINGS RD</v>
          </cell>
          <cell r="J1133" t="str">
            <v>ALLANOOKA WA 6525</v>
          </cell>
          <cell r="K1133" t="str">
            <v>0148005782</v>
          </cell>
        </row>
        <row r="1134">
          <cell r="G1134" t="str">
            <v>SPS MOYUP WY SOUTH YUNDERUP</v>
          </cell>
          <cell r="H1134" t="str">
            <v>S0045055</v>
          </cell>
          <cell r="I1134" t="str">
            <v>MOYUP WAY</v>
          </cell>
          <cell r="J1134" t="str">
            <v>SOUTH YUNDERUP WA 6208</v>
          </cell>
          <cell r="K1134" t="str">
            <v>410AM800111</v>
          </cell>
        </row>
        <row r="1135">
          <cell r="G1135" t="str">
            <v>BORE SITE M410</v>
          </cell>
          <cell r="H1135" t="str">
            <v>W1001339</v>
          </cell>
          <cell r="I1135" t="str">
            <v>LOT 410M MARANGAROO DR</v>
          </cell>
          <cell r="J1135" t="str">
            <v>CULLACABARDEE WA 6067</v>
          </cell>
          <cell r="K1135" t="str">
            <v>0148005093</v>
          </cell>
        </row>
        <row r="1136">
          <cell r="G1136" t="str">
            <v>SPS FINCH ST MANJIMUP</v>
          </cell>
          <cell r="H1136" t="str">
            <v>S0044877</v>
          </cell>
          <cell r="I1136" t="str">
            <v>GRAPHITE RD</v>
          </cell>
          <cell r="J1136" t="str">
            <v>MANJIMUP WA 6258</v>
          </cell>
          <cell r="K1136" t="str">
            <v>0148003707</v>
          </cell>
        </row>
        <row r="1137">
          <cell r="G1137" t="str">
            <v>SPS FELTBUSH MEWS CANNING VALE</v>
          </cell>
          <cell r="H1137" t="str">
            <v>S2019216</v>
          </cell>
          <cell r="I1137" t="str">
            <v>LOT 852 FELTBUSH MEWS</v>
          </cell>
          <cell r="J1137" t="str">
            <v>CANNING VALE WA 6155</v>
          </cell>
          <cell r="K1137" t="str">
            <v>0214000327</v>
          </cell>
        </row>
        <row r="1138">
          <cell r="G1138" t="str">
            <v>SPS BALGORE WAY CAREY PARK</v>
          </cell>
          <cell r="H1138" t="str">
            <v>S0044018</v>
          </cell>
          <cell r="I1138" t="str">
            <v>LOCN 4796 BALGORE WAY</v>
          </cell>
          <cell r="J1138" t="str">
            <v>BUNBURY WA 6230</v>
          </cell>
          <cell r="K1138" t="str">
            <v>0148003570</v>
          </cell>
        </row>
        <row r="1139">
          <cell r="G1139" t="str">
            <v>WPS GHOOLI</v>
          </cell>
          <cell r="H1139" t="str">
            <v>W5008540</v>
          </cell>
          <cell r="I1139" t="str">
            <v>LOCN 8230 GREAT EASTERN HWY</v>
          </cell>
          <cell r="J1139" t="str">
            <v>GHOOLI WA 6426</v>
          </cell>
          <cell r="K1139" t="str">
            <v>0295000163</v>
          </cell>
        </row>
        <row r="1140">
          <cell r="G1140" t="str">
            <v>CHL SYS JOSE RD DUMBLEYUNG</v>
          </cell>
          <cell r="H1140" t="str">
            <v>W7005221</v>
          </cell>
          <cell r="I1140" t="str">
            <v>LOT 5378 DAWSON ST</v>
          </cell>
          <cell r="J1140" t="str">
            <v>DUMBLEYUNG WA 6350</v>
          </cell>
          <cell r="K1140" t="str">
            <v>0380007248</v>
          </cell>
        </row>
        <row r="1141">
          <cell r="G1141" t="str">
            <v>SPS MEHARRY RD LEEMING</v>
          </cell>
          <cell r="H1141" t="str">
            <v>S0033800</v>
          </cell>
          <cell r="I1141" t="str">
            <v>15 MEHARRY RD</v>
          </cell>
          <cell r="J1141" t="str">
            <v>LEEMING WA 6149</v>
          </cell>
          <cell r="K1141" t="str">
            <v>410M66977</v>
          </cell>
        </row>
        <row r="1142">
          <cell r="G1142"/>
          <cell r="H1142" t="e">
            <v>#N/A</v>
          </cell>
          <cell r="I1142" t="str">
            <v>273 MANDIGA-MARINDO RD</v>
          </cell>
          <cell r="J1142" t="str">
            <v>GABBIN WA 6476</v>
          </cell>
          <cell r="K1142" t="str">
            <v>15M200672</v>
          </cell>
        </row>
        <row r="1143">
          <cell r="G1143" t="str">
            <v>SPS MAWSON CR HILLARYS</v>
          </cell>
          <cell r="H1143" t="str">
            <v>S0028545</v>
          </cell>
          <cell r="I1143" t="str">
            <v>MAWSON CRES</v>
          </cell>
          <cell r="J1143" t="str">
            <v>HILLARYS WA 6025</v>
          </cell>
          <cell r="K1143" t="str">
            <v>0148002671</v>
          </cell>
        </row>
        <row r="1144">
          <cell r="G1144" t="str">
            <v>CATHODIC SITE, CECIL AVE (3C) (Deep)</v>
          </cell>
          <cell r="H1144" t="str">
            <v>W1015516</v>
          </cell>
          <cell r="I1144" t="str">
            <v>LOT 5082 CECIL AVE</v>
          </cell>
          <cell r="J1144" t="str">
            <v>CANNINGTON WA 6107</v>
          </cell>
          <cell r="K1144" t="str">
            <v>0200095982</v>
          </cell>
        </row>
        <row r="1145">
          <cell r="G1145" t="str">
            <v>SPS MILLPORT DR WARWICK</v>
          </cell>
          <cell r="H1145" t="str">
            <v>S0028559</v>
          </cell>
          <cell r="I1145" t="str">
            <v>LOT 109 MILLPORT DR</v>
          </cell>
          <cell r="J1145" t="str">
            <v>WARWICK WA 6024</v>
          </cell>
          <cell r="K1145" t="str">
            <v>410AM92463</v>
          </cell>
        </row>
        <row r="1146">
          <cell r="G1146" t="str">
            <v>DAM LOC 223 MT ROE (REF)</v>
          </cell>
          <cell r="H1146" t="str">
            <v>W0021910</v>
          </cell>
          <cell r="I1146" t="str">
            <v>LOC 223 ROE DAM RD</v>
          </cell>
          <cell r="J1146" t="str">
            <v>MOUNT WALKER WA 6369</v>
          </cell>
          <cell r="K1146" t="str">
            <v>15M155697</v>
          </cell>
        </row>
        <row r="1147">
          <cell r="G1147" t="str">
            <v>VALVE SITE NANERUP RD TWO PEOPLE BAY</v>
          </cell>
          <cell r="H1147" t="str">
            <v>W7000779</v>
          </cell>
          <cell r="I1147" t="str">
            <v>1102 NANARUP RD</v>
          </cell>
          <cell r="J1147" t="str">
            <v>NANARUP WA 6330</v>
          </cell>
          <cell r="K1147" t="str">
            <v>15M126781</v>
          </cell>
        </row>
        <row r="1148">
          <cell r="G1148" t="str">
            <v>SPS CHESTER PASS RD YAKAMIA</v>
          </cell>
          <cell r="H1148" t="str">
            <v>S0022281</v>
          </cell>
          <cell r="I1148" t="str">
            <v>10 CHESTERDPASS RD</v>
          </cell>
          <cell r="J1148" t="str">
            <v>YAKAMIA  WA  6330</v>
          </cell>
          <cell r="K1148" t="str">
            <v>0116001019</v>
          </cell>
        </row>
        <row r="1149">
          <cell r="G1149" t="str">
            <v>BORE SITE J120</v>
          </cell>
          <cell r="H1149" t="str">
            <v>W1001453</v>
          </cell>
          <cell r="I1149" t="str">
            <v>LOT 120J ACOURT RD</v>
          </cell>
          <cell r="J1149" t="str">
            <v>BANJUP WA 6164</v>
          </cell>
          <cell r="K1149" t="str">
            <v>0248000170</v>
          </cell>
        </row>
        <row r="1150">
          <cell r="G1150" t="str">
            <v>WPS BOREALIS DR BALDIVIS</v>
          </cell>
          <cell r="H1150" t="str">
            <v>W2000394</v>
          </cell>
          <cell r="I1150" t="str">
            <v>261 RIDGE BVD</v>
          </cell>
          <cell r="J1150" t="str">
            <v>BALDIVIS WA 6171</v>
          </cell>
          <cell r="K1150" t="str">
            <v>0280001680</v>
          </cell>
        </row>
        <row r="1151">
          <cell r="G1151" t="str">
            <v>WPS PIER ST EAST FREMANTLE</v>
          </cell>
          <cell r="H1151" t="str">
            <v>W0034918</v>
          </cell>
          <cell r="I1151" t="str">
            <v>LOT 51 PIER ST</v>
          </cell>
          <cell r="J1151" t="str">
            <v>EAST FREMANTLE WA 6158</v>
          </cell>
          <cell r="K1151" t="str">
            <v>002101395</v>
          </cell>
        </row>
        <row r="1152">
          <cell r="G1152" t="str">
            <v>WANNEROO BORESITE W57</v>
          </cell>
          <cell r="H1152" t="str">
            <v>W1000839</v>
          </cell>
          <cell r="I1152" t="str">
            <v>LOT 2943 AMARANTE RD</v>
          </cell>
          <cell r="J1152" t="str">
            <v>JANDABUP WA 6065</v>
          </cell>
          <cell r="K1152" t="str">
            <v>0295000069</v>
          </cell>
        </row>
        <row r="1153">
          <cell r="G1153" t="str">
            <v>SPS HURFORD ST DUNSBOROUGH</v>
          </cell>
          <cell r="H1153" t="str">
            <v>S0044474</v>
          </cell>
          <cell r="I1153" t="str">
            <v>LOT 21629 HURFORD ST</v>
          </cell>
          <cell r="J1153" t="str">
            <v>DUNSBOROUGH WA 6281</v>
          </cell>
          <cell r="K1153" t="str">
            <v>410M148984</v>
          </cell>
        </row>
        <row r="1154">
          <cell r="G1154" t="str">
            <v>SPS COOGEE RD MUNSTER</v>
          </cell>
          <cell r="H1154" t="str">
            <v>S2016918</v>
          </cell>
          <cell r="I1154" t="str">
            <v>55 COOGEE RD</v>
          </cell>
          <cell r="J1154" t="str">
            <v>MUNSTER WA 6166</v>
          </cell>
          <cell r="K1154" t="str">
            <v>0380012042</v>
          </cell>
        </row>
        <row r="1155">
          <cell r="G1155" t="str">
            <v>SPS JOHNSON RD MAYLANDS</v>
          </cell>
          <cell r="H1155" t="str">
            <v>S0031728</v>
          </cell>
          <cell r="I1155" t="str">
            <v>JOHNSON RD</v>
          </cell>
          <cell r="J1155" t="str">
            <v>MAYLANDS WA 6051</v>
          </cell>
          <cell r="K1155" t="str">
            <v>0148001243</v>
          </cell>
        </row>
        <row r="1156">
          <cell r="G1156" t="str">
            <v>BORE 01-86 QUINDALUP SIDING RD</v>
          </cell>
          <cell r="H1156" t="str">
            <v>W0045701</v>
          </cell>
          <cell r="I1156" t="str">
            <v>LOT 1401 QUINDALUP SIDING RD</v>
          </cell>
          <cell r="J1156" t="str">
            <v>QUINDALUP WA 6281</v>
          </cell>
          <cell r="K1156" t="str">
            <v>0148005883</v>
          </cell>
        </row>
        <row r="1157">
          <cell r="G1157" t="str">
            <v>SPS HOLLINGS RD DENMARK</v>
          </cell>
          <cell r="H1157" t="str">
            <v>S023-002-001</v>
          </cell>
          <cell r="I1157" t="str">
            <v>LOT 366 HORLSEY RD</v>
          </cell>
          <cell r="J1157" t="str">
            <v>DENMARK  WA  6333</v>
          </cell>
          <cell r="K1157" t="str">
            <v>0116001093</v>
          </cell>
        </row>
        <row r="1158">
          <cell r="G1158" t="str">
            <v>SPS MARINE TCE SOUTH FREMANTLE</v>
          </cell>
          <cell r="H1158" t="str">
            <v>S0033236</v>
          </cell>
          <cell r="I1158" t="str">
            <v>U43 164 MARINE TCE</v>
          </cell>
          <cell r="J1158" t="str">
            <v>SOUTH FREMANTLE WA 6162</v>
          </cell>
          <cell r="K1158" t="str">
            <v>0081000410</v>
          </cell>
        </row>
        <row r="1159">
          <cell r="G1159" t="str">
            <v>SPS HERTFORD ST EAST VICTORIA PARK</v>
          </cell>
          <cell r="H1159" t="str">
            <v>S0034079</v>
          </cell>
          <cell r="I1159" t="str">
            <v>U43 27 HERTFORD ST</v>
          </cell>
          <cell r="J1159" t="str">
            <v>EAST VICTORIA PARK WA 6101</v>
          </cell>
          <cell r="K1159" t="str">
            <v>0148003284</v>
          </cell>
        </row>
        <row r="1160">
          <cell r="G1160" t="str">
            <v>BORE SITE L500</v>
          </cell>
          <cell r="H1160" t="str">
            <v>W1001401</v>
          </cell>
          <cell r="I1160" t="str">
            <v>LOT 500L TICK RD</v>
          </cell>
          <cell r="J1160" t="str">
            <v>LEXIA WA 6065</v>
          </cell>
          <cell r="K1160" t="str">
            <v>0148001535</v>
          </cell>
        </row>
        <row r="1161">
          <cell r="G1161" t="str">
            <v>SPS BANNISTER RD CANNING VALE</v>
          </cell>
          <cell r="H1161" t="str">
            <v>S0034213</v>
          </cell>
          <cell r="I1161" t="str">
            <v>U43 LOT 217 BANNISTER RD</v>
          </cell>
          <cell r="J1161" t="str">
            <v>CANNING VALE WA 6155</v>
          </cell>
          <cell r="K1161" t="str">
            <v>002101519</v>
          </cell>
        </row>
        <row r="1162">
          <cell r="G1162" t="str">
            <v>BORE SITE G10</v>
          </cell>
          <cell r="H1162" t="str">
            <v>W1001261</v>
          </cell>
          <cell r="I1162" t="str">
            <v>DUTTON CRES</v>
          </cell>
          <cell r="J1162" t="str">
            <v>HAMERSLEY WA 6022</v>
          </cell>
          <cell r="K1162" t="str">
            <v>0211001251</v>
          </cell>
        </row>
        <row r="1163">
          <cell r="G1163" t="str">
            <v>VPS DOWELL RD VASSE</v>
          </cell>
          <cell r="H1163" t="str">
            <v>S8009187</v>
          </cell>
          <cell r="I1163" t="str">
            <v>LOT 886 DOWELL RD</v>
          </cell>
          <cell r="J1163" t="str">
            <v>VASSE WA 6280</v>
          </cell>
          <cell r="K1163" t="str">
            <v>000000000211000709</v>
          </cell>
        </row>
        <row r="1164">
          <cell r="G1164" t="str">
            <v>SPS ABSOLON CRES SPS AUSTRALIND</v>
          </cell>
          <cell r="H1164" t="str">
            <v>S0043917</v>
          </cell>
          <cell r="I1164" t="str">
            <v>LOC 5340 ABSOLON CRES</v>
          </cell>
          <cell r="J1164" t="str">
            <v>AUSTRALIND WA 6233</v>
          </cell>
          <cell r="K1164" t="str">
            <v>410M124968</v>
          </cell>
        </row>
        <row r="1165">
          <cell r="G1165" t="str">
            <v>SPS BLACKWOOD AV HAMILTON HILL</v>
          </cell>
          <cell r="H1165" t="str">
            <v>S2002879</v>
          </cell>
          <cell r="I1165" t="str">
            <v>BLACKWOOD AVE</v>
          </cell>
          <cell r="J1165" t="str">
            <v>HAMILTON HILL WA 6163</v>
          </cell>
          <cell r="K1165" t="str">
            <v>410M198078</v>
          </cell>
        </row>
        <row r="1166">
          <cell r="G1166" t="str">
            <v>SPS SANDRIDGE RD EAST BUNBURY</v>
          </cell>
          <cell r="H1166" t="str">
            <v>S0044130</v>
          </cell>
          <cell r="I1166" t="str">
            <v>SANDRIDGE RD</v>
          </cell>
          <cell r="J1166" t="str">
            <v>BUNBURY WA 6230</v>
          </cell>
          <cell r="K1166" t="str">
            <v>0148006546</v>
          </cell>
        </row>
        <row r="1167">
          <cell r="G1167" t="str">
            <v>BOREFIELD (DORE ST) GINGIN (NIU)</v>
          </cell>
          <cell r="H1167" t="str">
            <v>W0041586</v>
          </cell>
          <cell r="I1167" t="str">
            <v>LOT 152 EDGAR ST</v>
          </cell>
          <cell r="J1167" t="str">
            <v>GINGIN WA 6503</v>
          </cell>
          <cell r="K1167" t="str">
            <v>0348000337</v>
          </cell>
        </row>
        <row r="1168">
          <cell r="G1168" t="str">
            <v>BELMONT TRANSFER PUMP STATION</v>
          </cell>
          <cell r="H1168" t="str">
            <v>W1000565</v>
          </cell>
          <cell r="I1168" t="str">
            <v>LOT 502 HARDEY RD</v>
          </cell>
          <cell r="J1168" t="str">
            <v>BELMONT WA 6104</v>
          </cell>
          <cell r="K1168" t="str">
            <v>0214002519</v>
          </cell>
        </row>
        <row r="1169">
          <cell r="G1169" t="str">
            <v>SPS PARKVIEW GDNS HELENA VALLEY</v>
          </cell>
          <cell r="H1169" t="str">
            <v>S0029011</v>
          </cell>
          <cell r="I1169" t="str">
            <v>11 PARKVIEW GDNS</v>
          </cell>
          <cell r="J1169" t="str">
            <v>HELENA VALLEY WA 6056</v>
          </cell>
          <cell r="K1169" t="str">
            <v>410M2003229</v>
          </cell>
        </row>
        <row r="1170">
          <cell r="G1170" t="str">
            <v>TANK GL1 SUMMIT WSC WICHERINA</v>
          </cell>
          <cell r="H1170" t="str">
            <v>W0039958</v>
          </cell>
          <cell r="I1170" t="str">
            <v>LOC 9726 GERALDTON-MOUNT MAGNET RD</v>
          </cell>
          <cell r="J1170" t="str">
            <v>WICHERINA WA 6532</v>
          </cell>
          <cell r="K1170" t="str">
            <v>0248000411</v>
          </cell>
        </row>
        <row r="1171">
          <cell r="G1171" t="str">
            <v>SPS RENDELL WY KOONDOOLA</v>
          </cell>
          <cell r="H1171" t="str">
            <v>S0028604</v>
          </cell>
          <cell r="I1171" t="str">
            <v>U42 RENDELL WAY</v>
          </cell>
          <cell r="J1171" t="str">
            <v>KOONDOOLA WA 6064</v>
          </cell>
          <cell r="K1171" t="str">
            <v>0102000285</v>
          </cell>
        </row>
        <row r="1172">
          <cell r="G1172" t="str">
            <v>BORE 17-99 WERILLUP</v>
          </cell>
          <cell r="H1172" t="str">
            <v>W7000440</v>
          </cell>
          <cell r="I1172" t="str">
            <v>PRINCESS AVE</v>
          </cell>
          <cell r="J1172" t="str">
            <v>ALBANY WA 6330</v>
          </cell>
          <cell r="K1172" t="str">
            <v>0136005959</v>
          </cell>
        </row>
        <row r="1173">
          <cell r="G1173" t="str">
            <v>SPS WELLINGTON ST MOSMAN PK</v>
          </cell>
          <cell r="H1173" t="str">
            <v>S0032723</v>
          </cell>
          <cell r="I1173" t="str">
            <v>LOT 655 WELLINGTON ST</v>
          </cell>
          <cell r="J1173" t="str">
            <v>MOSMAN PARK WA 6012</v>
          </cell>
          <cell r="K1173" t="str">
            <v>410M103921</v>
          </cell>
        </row>
        <row r="1174">
          <cell r="G1174" t="str">
            <v>BORE SITE W240</v>
          </cell>
          <cell r="H1174" t="str">
            <v>W1001575</v>
          </cell>
          <cell r="I1174" t="str">
            <v>LOT 240W TOWNSEND RD</v>
          </cell>
          <cell r="J1174" t="str">
            <v>JANDABUP WA 6077</v>
          </cell>
          <cell r="K1174" t="str">
            <v>410M66532</v>
          </cell>
        </row>
        <row r="1175">
          <cell r="G1175" t="str">
            <v>SPS SOVEREIGN WATERS WANDINA</v>
          </cell>
          <cell r="H1175" t="str">
            <v>S0037820</v>
          </cell>
          <cell r="I1175" t="str">
            <v>LOT 5 BRAND HWY</v>
          </cell>
          <cell r="J1175" t="str">
            <v>GERALDTON WA 6530</v>
          </cell>
          <cell r="K1175" t="str">
            <v>410M149871</v>
          </cell>
        </row>
        <row r="1176">
          <cell r="G1176" t="str">
            <v>SPS CARNARVON ST EAST VICTORIA PARK</v>
          </cell>
          <cell r="H1176" t="str">
            <v>S0034008</v>
          </cell>
          <cell r="I1176" t="str">
            <v>22 CARNARVON ST EAST</v>
          </cell>
          <cell r="J1176" t="str">
            <v>VICTORIA PARK WA 6101</v>
          </cell>
          <cell r="K1176" t="str">
            <v>410M91245</v>
          </cell>
        </row>
        <row r="1177">
          <cell r="G1177" t="str">
            <v>VPS YUNDERUP RD SOUTH YUNDERUP</v>
          </cell>
          <cell r="H1177" t="str">
            <v>S0045082</v>
          </cell>
          <cell r="I1177" t="str">
            <v>23 YUNDERUP RD</v>
          </cell>
          <cell r="J1177" t="str">
            <v>SOUTH YUNDERUP WA 6208</v>
          </cell>
          <cell r="K1177" t="str">
            <v>410M185544</v>
          </cell>
        </row>
        <row r="1178">
          <cell r="G1178" t="str">
            <v>SPS LE GRAND AVE ORANA</v>
          </cell>
          <cell r="H1178" t="str">
            <v>S7010659</v>
          </cell>
          <cell r="I1178" t="str">
            <v>LOT 1002 BROOKS GARDEN BVD</v>
          </cell>
          <cell r="J1178" t="str">
            <v>LANGE WA 6330</v>
          </cell>
          <cell r="K1178" t="str">
            <v>0280001857</v>
          </cell>
        </row>
        <row r="1179">
          <cell r="G1179" t="str">
            <v>WPS BUNTINE</v>
          </cell>
          <cell r="H1179" t="str">
            <v>W0019792</v>
          </cell>
          <cell r="I1179" t="str">
            <v>LOC 15467 DERMER ST</v>
          </cell>
          <cell r="J1179" t="str">
            <v>BUNTINE WA 6613</v>
          </cell>
          <cell r="K1179" t="str">
            <v>410M90583</v>
          </cell>
        </row>
        <row r="1180">
          <cell r="G1180" t="str">
            <v>BORE SITE M210</v>
          </cell>
          <cell r="H1180" t="str">
            <v>W1001343</v>
          </cell>
          <cell r="I1180" t="str">
            <v>LOT 210M PARK ST</v>
          </cell>
          <cell r="J1180" t="str">
            <v>CULLACABARDEE WA 6067</v>
          </cell>
          <cell r="K1180" t="str">
            <v>0148005895</v>
          </cell>
        </row>
        <row r="1181">
          <cell r="G1181" t="str">
            <v>VPS RONLYN RD FURNISSDALE</v>
          </cell>
          <cell r="H1181" t="str">
            <v>S0044768</v>
          </cell>
          <cell r="I1181" t="str">
            <v>RONLYN RD</v>
          </cell>
          <cell r="J1181" t="str">
            <v>FURNISSDALE WA 6209</v>
          </cell>
          <cell r="K1181" t="str">
            <v>0148006073</v>
          </cell>
        </row>
        <row r="1182">
          <cell r="G1182" t="str">
            <v>SP BORE 06-98 SANDPATCH</v>
          </cell>
          <cell r="H1182" t="str">
            <v>W7000084</v>
          </cell>
          <cell r="I1182" t="str">
            <v>FRENCHMAN BAY RD</v>
          </cell>
          <cell r="J1182" t="str">
            <v>LITTLE GROVE WA 6330</v>
          </cell>
          <cell r="K1182" t="str">
            <v>0148006435</v>
          </cell>
        </row>
        <row r="1183">
          <cell r="G1183" t="str">
            <v>SPS ELMHURST WY GREENWOOD</v>
          </cell>
          <cell r="H1183" t="str">
            <v>S0028383</v>
          </cell>
          <cell r="I1183" t="str">
            <v>U42 ELMHURST WAY</v>
          </cell>
          <cell r="J1183" t="str">
            <v>GREENWOOD WA 6024</v>
          </cell>
          <cell r="K1183" t="str">
            <v>0081000910</v>
          </cell>
        </row>
        <row r="1184">
          <cell r="G1184" t="str">
            <v>BORE SITE P50</v>
          </cell>
          <cell r="H1184" t="str">
            <v>W1001500</v>
          </cell>
          <cell r="I1184" t="str">
            <v>LOT 50P PERRY RD</v>
          </cell>
          <cell r="J1184" t="str">
            <v>PINJAR WA 6065</v>
          </cell>
          <cell r="K1184" t="str">
            <v>0148006121</v>
          </cell>
        </row>
        <row r="1185">
          <cell r="G1185" t="str">
            <v>SOAK DAM DWELLINGUP WS</v>
          </cell>
          <cell r="H1185" t="str">
            <v>W0045758</v>
          </cell>
          <cell r="I1185" t="str">
            <v>LOCN 101 WILLIAMS RD</v>
          </cell>
          <cell r="J1185" t="str">
            <v>DWELLINGUP WA 6213</v>
          </cell>
          <cell r="K1185" t="str">
            <v>0148006356</v>
          </cell>
        </row>
        <row r="1186">
          <cell r="G1186" t="str">
            <v>WPS NORTH BARBALIN</v>
          </cell>
          <cell r="H1186" t="str">
            <v>W0020243</v>
          </cell>
          <cell r="I1186" t="str">
            <v>LOCN 14372 BARBALIN-KOONKOOBING RMBL</v>
          </cell>
          <cell r="J1186" t="str">
            <v>BARBALIN WA 6479</v>
          </cell>
          <cell r="K1186" t="str">
            <v>0148005781</v>
          </cell>
        </row>
        <row r="1187">
          <cell r="G1187" t="str">
            <v>SPS RICHMOND ST CANNINGTON</v>
          </cell>
          <cell r="H1187" t="str">
            <v>S0033080</v>
          </cell>
          <cell r="I1187" t="str">
            <v>LOT 12 RICHMOND ST</v>
          </cell>
          <cell r="J1187" t="str">
            <v>CANNINGTON WA 6107</v>
          </cell>
          <cell r="K1187" t="str">
            <v>0211000389</v>
          </cell>
        </row>
        <row r="1188">
          <cell r="G1188" t="str">
            <v>WPS ALLANOOKA MAIN NEW BOOSTER WALKAWAY</v>
          </cell>
          <cell r="H1188" t="str">
            <v>W4006056</v>
          </cell>
          <cell r="I1188" t="str">
            <v>312 ARTHUR RD</v>
          </cell>
          <cell r="J1188" t="str">
            <v>WALKAWAY WA 6528</v>
          </cell>
          <cell r="K1188" t="str">
            <v>0214001174</v>
          </cell>
        </row>
        <row r="1189">
          <cell r="G1189" t="str">
            <v>SPS KONDININ RD KULIN</v>
          </cell>
          <cell r="H1189" t="str">
            <v>S109-002-001</v>
          </cell>
          <cell r="I1189" t="str">
            <v>LOT 161 WILLIAMS KONDININ RD</v>
          </cell>
          <cell r="J1189" t="str">
            <v>KONDININ</v>
          </cell>
          <cell r="K1189" t="str">
            <v>0180025369</v>
          </cell>
        </row>
        <row r="1190">
          <cell r="G1190" t="str">
            <v>SPS CASTLEMAIN HTS LEEMING</v>
          </cell>
          <cell r="H1190" t="str">
            <v>S0034260</v>
          </cell>
          <cell r="I1190" t="str">
            <v>CASTLEMAIN CRES</v>
          </cell>
          <cell r="J1190" t="str">
            <v>LEEMING WA 6149</v>
          </cell>
          <cell r="K1190" t="str">
            <v>410L07559</v>
          </cell>
        </row>
        <row r="1191">
          <cell r="G1191" t="str">
            <v>DPS ABERDARE RD NEDLANDS</v>
          </cell>
          <cell r="H1191" t="str">
            <v>D0036296</v>
          </cell>
          <cell r="I1191" t="str">
            <v>LOT 8448 ABERDARE RD</v>
          </cell>
          <cell r="J1191" t="str">
            <v>SHENTON PARK WA 6008</v>
          </cell>
          <cell r="K1191" t="str">
            <v>450M6595</v>
          </cell>
        </row>
        <row r="1192">
          <cell r="G1192" t="str">
            <v>WPS BOUCHER RD</v>
          </cell>
          <cell r="H1192" t="str">
            <v>W0019682</v>
          </cell>
          <cell r="I1192" t="str">
            <v>LOC 80 GREAT NORTHERN HWY</v>
          </cell>
          <cell r="J1192" t="str">
            <v>WUBIN WA 6612</v>
          </cell>
          <cell r="K1192" t="str">
            <v>410M151286</v>
          </cell>
        </row>
        <row r="1193">
          <cell r="G1193" t="str">
            <v>BULK WATER TRANSFER SCHEMES</v>
          </cell>
          <cell r="H1193" t="str">
            <v>W002</v>
          </cell>
          <cell r="I1193" t="str">
            <v>RAILWAY PDE</v>
          </cell>
          <cell r="J1193" t="str">
            <v>SPEARWOOD WA 6163</v>
          </cell>
          <cell r="K1193" t="str">
            <v>0180016234</v>
          </cell>
        </row>
        <row r="1194">
          <cell r="G1194" t="str">
            <v>DPS WHARF ST CANNINGTON</v>
          </cell>
          <cell r="H1194" t="str">
            <v>D0036668</v>
          </cell>
          <cell r="I1194" t="str">
            <v>WHARF ST</v>
          </cell>
          <cell r="J1194" t="str">
            <v>CANNINGTON WA 6107</v>
          </cell>
          <cell r="K1194" t="str">
            <v>0350304076</v>
          </cell>
        </row>
        <row r="1195">
          <cell r="G1195" t="str">
            <v>BOREFIELD VARIOUS BORES METRO</v>
          </cell>
          <cell r="H1195" t="str">
            <v>W0009141</v>
          </cell>
          <cell r="I1195" t="str">
            <v>4584 FRANKLIN RD</v>
          </cell>
          <cell r="J1195" t="str">
            <v>WANNEROO WA 6065</v>
          </cell>
          <cell r="K1195" t="str">
            <v>0214002293</v>
          </cell>
        </row>
        <row r="1196">
          <cell r="G1196" t="str">
            <v>SPS DAYLIGHT CL BELDON</v>
          </cell>
          <cell r="H1196" t="str">
            <v>S0027268</v>
          </cell>
          <cell r="I1196" t="str">
            <v>U42 DAYLIGHT CL</v>
          </cell>
          <cell r="J1196" t="str">
            <v>BELDON WA 6027</v>
          </cell>
          <cell r="K1196" t="str">
            <v>0102000515</v>
          </cell>
        </row>
        <row r="1197">
          <cell r="G1197" t="str">
            <v>SPS MEARES AV KWINANA</v>
          </cell>
          <cell r="H1197" t="str">
            <v>S0030301</v>
          </cell>
          <cell r="I1197" t="str">
            <v>MEARES AVE</v>
          </cell>
          <cell r="J1197" t="str">
            <v>PARMELIA WA 6167</v>
          </cell>
          <cell r="K1197" t="str">
            <v>0081000108</v>
          </cell>
        </row>
        <row r="1198">
          <cell r="G1198"/>
          <cell r="H1198" t="e">
            <v>#N/A</v>
          </cell>
          <cell r="I1198" t="str">
            <v>LOT 4/13 SOUTH ST</v>
          </cell>
          <cell r="J1198" t="str">
            <v>CANNING VALE WA 6155</v>
          </cell>
          <cell r="K1198" t="str">
            <v>0136005299</v>
          </cell>
        </row>
        <row r="1199">
          <cell r="G1199" t="str">
            <v>CDP MARRADONNG RD BODDINGTON</v>
          </cell>
          <cell r="H1199" t="str">
            <v>W7002311</v>
          </cell>
          <cell r="I1199" t="str">
            <v>LOC 13372 MARRADONG RD</v>
          </cell>
          <cell r="J1199" t="str">
            <v>BODDINGTON WA 6390</v>
          </cell>
          <cell r="K1199" t="str">
            <v>0148006505</v>
          </cell>
        </row>
        <row r="1200">
          <cell r="G1200" t="str">
            <v>SPS CHESTER WAY DUNSBOROUGH</v>
          </cell>
          <cell r="H1200" t="str">
            <v>S0044460</v>
          </cell>
          <cell r="I1200" t="str">
            <v>CHESTER WAY</v>
          </cell>
          <cell r="J1200" t="str">
            <v>DUNSBOROUGH WA 6281</v>
          </cell>
          <cell r="K1200" t="str">
            <v>0248001248</v>
          </cell>
        </row>
        <row r="1201">
          <cell r="G1201" t="str">
            <v>BORE 21-73 SANDPATCH</v>
          </cell>
          <cell r="H1201" t="str">
            <v>W0023637</v>
          </cell>
          <cell r="I1201" t="str">
            <v>CLAYTON ST</v>
          </cell>
          <cell r="J1201" t="str">
            <v>LITTLE GROVE  WA  6330</v>
          </cell>
          <cell r="K1201" t="str">
            <v>0148006722</v>
          </cell>
        </row>
        <row r="1202">
          <cell r="G1202" t="str">
            <v>SPS ALBANY TCE AUGUSTA</v>
          </cell>
          <cell r="H1202" t="str">
            <v>S8009066</v>
          </cell>
          <cell r="I1202" t="str">
            <v>LOT 479 ALBANY TCE</v>
          </cell>
          <cell r="J1202" t="str">
            <v>AUGUSTA WA 6290</v>
          </cell>
          <cell r="K1202" t="str">
            <v>0350007329</v>
          </cell>
        </row>
        <row r="1203">
          <cell r="G1203" t="str">
            <v>SPS MCGILVRAY AV NTH NORANDA</v>
          </cell>
          <cell r="H1203" t="str">
            <v>S0030184</v>
          </cell>
          <cell r="I1203" t="str">
            <v>LOT 118 MCGILVRAY AVE</v>
          </cell>
          <cell r="J1203" t="str">
            <v>MORLEY WA 6062</v>
          </cell>
          <cell r="K1203" t="str">
            <v>410M201100</v>
          </cell>
        </row>
        <row r="1204">
          <cell r="G1204" t="str">
            <v>SPS CASTIEAU ST BUREKUP</v>
          </cell>
          <cell r="H1204" t="str">
            <v>S0044254</v>
          </cell>
          <cell r="I1204" t="str">
            <v>L55 CASTIEAU ST</v>
          </cell>
          <cell r="J1204" t="str">
            <v>BUREKUP WA 6227</v>
          </cell>
          <cell r="K1204" t="str">
            <v>410M148393</v>
          </cell>
        </row>
        <row r="1205">
          <cell r="G1205"/>
          <cell r="H1205" t="e">
            <v>#N/A</v>
          </cell>
          <cell r="I1205" t="str">
            <v>WANNEROO GWTP</v>
          </cell>
          <cell r="J1205" t="str">
            <v>SETUP BY MARK WINDSOR</v>
          </cell>
          <cell r="K1205" t="str">
            <v>UNMETERED</v>
          </cell>
        </row>
        <row r="1206">
          <cell r="G1206" t="str">
            <v>TANK EL WSC MOONDARA WAY JOONDALUP</v>
          </cell>
          <cell r="H1206" t="str">
            <v>W0035688</v>
          </cell>
          <cell r="I1206" t="str">
            <v>MOONDARRA WAY</v>
          </cell>
          <cell r="J1206" t="str">
            <v>JOONDALUP WA 6027</v>
          </cell>
          <cell r="K1206" t="str">
            <v>15M162919</v>
          </cell>
        </row>
        <row r="1207">
          <cell r="G1207" t="str">
            <v>WTP SOUTH WEST HWY MULLALYUP</v>
          </cell>
          <cell r="H1207" t="str">
            <v>W8003700</v>
          </cell>
          <cell r="I1207" t="str">
            <v>UA  RAILWAY ST</v>
          </cell>
          <cell r="J1207" t="str">
            <v>MULLALYUP WA 6252</v>
          </cell>
          <cell r="K1207" t="str">
            <v>15D024594</v>
          </cell>
        </row>
        <row r="1208">
          <cell r="G1208" t="str">
            <v>SPS HANWORTH ST BALCATTA</v>
          </cell>
          <cell r="H1208" t="str">
            <v>S0028454</v>
          </cell>
          <cell r="I1208" t="str">
            <v>HANWORTH ST</v>
          </cell>
          <cell r="J1208" t="str">
            <v>BALCATTA WA 6021</v>
          </cell>
          <cell r="K1208" t="str">
            <v>410LA3043</v>
          </cell>
        </row>
        <row r="1209">
          <cell r="G1209" t="str">
            <v>SPS JARVIS ST SOUTH BUNBURY</v>
          </cell>
          <cell r="H1209" t="str">
            <v>S0044061</v>
          </cell>
          <cell r="I1209" t="str">
            <v>JARVIS ST</v>
          </cell>
          <cell r="J1209" t="str">
            <v>BUNBURY WA 6230</v>
          </cell>
          <cell r="K1209" t="str">
            <v>410M98377</v>
          </cell>
        </row>
        <row r="1210">
          <cell r="G1210" t="str">
            <v>SPS HURFORD RD HAMILTON HILL</v>
          </cell>
          <cell r="H1210" t="str">
            <v>S0033227</v>
          </cell>
          <cell r="I1210" t="str">
            <v>LOT 1785 HURFORD ST</v>
          </cell>
          <cell r="J1210" t="str">
            <v>HAMILTON HILL WA 6163</v>
          </cell>
          <cell r="K1210" t="str">
            <v>0148002303</v>
          </cell>
        </row>
        <row r="1211">
          <cell r="G1211" t="str">
            <v>WPS EEDLE TCE BRIDGETOWN (MILLSTREAM)</v>
          </cell>
          <cell r="H1211" t="str">
            <v>W0045421</v>
          </cell>
          <cell r="I1211" t="str">
            <v>EEDLE TCE</v>
          </cell>
          <cell r="J1211" t="str">
            <v>BRIDGETOWN WA 6255</v>
          </cell>
          <cell r="K1211" t="str">
            <v>0148005784</v>
          </cell>
        </row>
        <row r="1212">
          <cell r="G1212" t="str">
            <v>AUSTIN AVE CVS</v>
          </cell>
          <cell r="H1212" t="str">
            <v>W0011344</v>
          </cell>
          <cell r="I1212" t="str">
            <v>LOT 101 AUSTIN AVE</v>
          </cell>
          <cell r="J1212" t="str">
            <v>KENWICK WA 6107</v>
          </cell>
          <cell r="K1212" t="str">
            <v>0530116099</v>
          </cell>
        </row>
        <row r="1213">
          <cell r="G1213" t="str">
            <v>MUNDARING DAM</v>
          </cell>
          <cell r="H1213" t="str">
            <v>W0006980</v>
          </cell>
          <cell r="I1213" t="str">
            <v>MUNDARING WEIR RD</v>
          </cell>
          <cell r="J1213" t="str">
            <v>MUNDARING WA 6073</v>
          </cell>
          <cell r="K1213" t="str">
            <v>0200082043</v>
          </cell>
        </row>
        <row r="1214">
          <cell r="G1214" t="str">
            <v>#WPS ELIZA SHAW DR PARK FALLS</v>
          </cell>
          <cell r="H1214" t="str">
            <v>W4000957</v>
          </cell>
          <cell r="I1214" t="str">
            <v>LOT 67 ELIZA SHAW DR</v>
          </cell>
          <cell r="J1214" t="str">
            <v>DRUMMOND COVE 6532</v>
          </cell>
          <cell r="K1214" t="str">
            <v>0200408618</v>
          </cell>
        </row>
        <row r="1215">
          <cell r="G1215" t="str">
            <v>SPS BALLANTYNE RD KEWDALE</v>
          </cell>
          <cell r="H1215" t="str">
            <v>S2002894</v>
          </cell>
          <cell r="I1215" t="str">
            <v>18 BALLANTYNE RD</v>
          </cell>
          <cell r="J1215" t="str">
            <v>KEWDALE WA 6105</v>
          </cell>
          <cell r="K1215" t="str">
            <v>0081000105</v>
          </cell>
        </row>
        <row r="1216">
          <cell r="G1216" t="str">
            <v>SPS THOMSON ST MANDURAH</v>
          </cell>
          <cell r="H1216" t="str">
            <v>S0044791</v>
          </cell>
          <cell r="I1216" t="str">
            <v>70 THOMSON ST</v>
          </cell>
          <cell r="J1216" t="str">
            <v>MANDURAH WA 6210</v>
          </cell>
          <cell r="K1216" t="str">
            <v>0350001136</v>
          </cell>
        </row>
        <row r="1217">
          <cell r="G1217" t="str">
            <v>SPS DUNCRAIG RD APPLECROSS</v>
          </cell>
          <cell r="H1217" t="str">
            <v>S0033664</v>
          </cell>
          <cell r="I1217" t="str">
            <v>DUNCRAIG RD</v>
          </cell>
          <cell r="J1217" t="str">
            <v>APPLECROSS WA 6153</v>
          </cell>
          <cell r="K1217" t="str">
            <v>450M22342</v>
          </cell>
        </row>
        <row r="1218">
          <cell r="G1218" t="str">
            <v>SUMMERFIELD RD CVS</v>
          </cell>
          <cell r="H1218" t="str">
            <v>W0012207</v>
          </cell>
          <cell r="I1218" t="str">
            <v>SUMMERFIELD RD</v>
          </cell>
          <cell r="J1218" t="str">
            <v>SERPENTINE WA 6125</v>
          </cell>
          <cell r="K1218" t="str">
            <v>4200M10847</v>
          </cell>
        </row>
        <row r="1219">
          <cell r="G1219" t="str">
            <v>BORE SITE W290</v>
          </cell>
          <cell r="H1219" t="str">
            <v>W1001585</v>
          </cell>
          <cell r="I1219" t="str">
            <v>HSE NO 1 LOT 290W BARDIE RD</v>
          </cell>
          <cell r="J1219" t="str">
            <v>PINJAR WA 6065</v>
          </cell>
          <cell r="K1219" t="str">
            <v>0148002899</v>
          </cell>
        </row>
        <row r="1220">
          <cell r="G1220" t="str">
            <v>WPS DEARLE ST BALINGUP</v>
          </cell>
          <cell r="H1220" t="str">
            <v>W0045325</v>
          </cell>
          <cell r="I1220" t="str">
            <v>LOT 131 DEARLE ST</v>
          </cell>
          <cell r="J1220" t="str">
            <v>BALINGUP WA 6253</v>
          </cell>
          <cell r="K1220" t="str">
            <v>0350328592</v>
          </cell>
        </row>
        <row r="1221">
          <cell r="G1221" t="str">
            <v>BORE SITE W250</v>
          </cell>
          <cell r="H1221" t="str">
            <v>W1001577</v>
          </cell>
          <cell r="I1221" t="str">
            <v>LOT 250W TOWNSEND RD</v>
          </cell>
          <cell r="J1221" t="str">
            <v>JANDABUP WA 6065</v>
          </cell>
          <cell r="K1221" t="str">
            <v>0136006019</v>
          </cell>
        </row>
        <row r="1222">
          <cell r="G1222" t="str">
            <v>SPS BOBIN ST EATON</v>
          </cell>
          <cell r="H1222" t="str">
            <v>S0044500</v>
          </cell>
          <cell r="I1222" t="str">
            <v>BOBIN ST</v>
          </cell>
          <cell r="J1222" t="str">
            <v>EATON WA 6232</v>
          </cell>
          <cell r="K1222" t="str">
            <v>0148002056</v>
          </cell>
        </row>
        <row r="1223">
          <cell r="G1223" t="str">
            <v>CANNING DAM</v>
          </cell>
          <cell r="H1223" t="str">
            <v>W0006381</v>
          </cell>
          <cell r="I1223" t="str">
            <v>CANNING DAM RD</v>
          </cell>
          <cell r="J1223" t="str">
            <v>ROLEYSTONE WA 6111</v>
          </cell>
          <cell r="K1223" t="str">
            <v xml:space="preserve">0136004575     </v>
          </cell>
        </row>
        <row r="1224">
          <cell r="G1224" t="str">
            <v>BORE 02-92 HORROCKS</v>
          </cell>
          <cell r="H1224" t="str">
            <v>W0041673</v>
          </cell>
          <cell r="I1224" t="str">
            <v>LOC 6863 HORROCKS BEACH RD</v>
          </cell>
          <cell r="J1224" t="str">
            <v>NORTHAMPTON WA 6535</v>
          </cell>
          <cell r="K1224" t="str">
            <v>410M161906</v>
          </cell>
        </row>
        <row r="1225">
          <cell r="G1225" t="str">
            <v>SPS MUIRHEAD WY KINGSLEY</v>
          </cell>
          <cell r="H1225" t="str">
            <v>S0028571</v>
          </cell>
          <cell r="I1225" t="str">
            <v>11 MUIRHEAD WAY</v>
          </cell>
          <cell r="J1225" t="str">
            <v>KINGSLEY WA 6026</v>
          </cell>
          <cell r="K1225" t="str">
            <v>410M151038</v>
          </cell>
        </row>
        <row r="1226">
          <cell r="G1226" t="str">
            <v>BORE SITE WT80</v>
          </cell>
          <cell r="H1226" t="str">
            <v>W1001255</v>
          </cell>
          <cell r="I1226" t="str">
            <v>LOT 9860 OXLEY AVE</v>
          </cell>
          <cell r="J1226" t="str">
            <v>PADBURY WA 6025</v>
          </cell>
          <cell r="K1226" t="str">
            <v xml:space="preserve">0211000801     </v>
          </cell>
        </row>
        <row r="1227">
          <cell r="G1227" t="str">
            <v>SPS DAVID HAY ST COLLIE</v>
          </cell>
          <cell r="H1227" t="str">
            <v>S0044395</v>
          </cell>
          <cell r="I1227" t="str">
            <v>LOC 33450 DAVID HAY ST</v>
          </cell>
          <cell r="J1227" t="str">
            <v>COLLIE WA 6225</v>
          </cell>
          <cell r="K1227" t="str">
            <v>410M2005402</v>
          </cell>
        </row>
        <row r="1228">
          <cell r="G1228" t="str">
            <v>SPS TOUCHSTONE DR DAWESVILLE</v>
          </cell>
          <cell r="H1228" t="str">
            <v>S8008440</v>
          </cell>
          <cell r="I1228" t="str">
            <v>LOT 1000 TOUCHSTONE DR</v>
          </cell>
          <cell r="J1228" t="str">
            <v>DAWESVILLE</v>
          </cell>
          <cell r="K1228" t="str">
            <v>0380001764</v>
          </cell>
        </row>
        <row r="1229">
          <cell r="G1229" t="str">
            <v>CDP YEERAKINE RK KONDININ</v>
          </cell>
          <cell r="H1229" t="str">
            <v>W7001510</v>
          </cell>
          <cell r="I1229" t="str">
            <v>LOCN 25693 RESERVOIR RD EAST</v>
          </cell>
          <cell r="J1229" t="str">
            <v>KONDININ WA 6367</v>
          </cell>
          <cell r="K1229" t="str">
            <v>0211001233</v>
          </cell>
        </row>
        <row r="1230">
          <cell r="G1230" t="str">
            <v>SPS SEBASTIAN CR COOLBELLUP</v>
          </cell>
          <cell r="H1230" t="str">
            <v>S2008275</v>
          </cell>
          <cell r="I1230" t="str">
            <v>LOT 2159 SEBASTIAN CRES</v>
          </cell>
          <cell r="J1230" t="str">
            <v>COOLBELLUP WA 6163</v>
          </cell>
          <cell r="K1230" t="str">
            <v>0180004379</v>
          </cell>
        </row>
        <row r="1231">
          <cell r="G1231" t="str">
            <v>SPS JARMAN AV MANNING</v>
          </cell>
          <cell r="H1231" t="str">
            <v>S0034106</v>
          </cell>
          <cell r="I1231" t="str">
            <v>JARMAN AVE</v>
          </cell>
          <cell r="J1231" t="str">
            <v>MANNING WA 6152</v>
          </cell>
          <cell r="K1231" t="str">
            <v>002000040</v>
          </cell>
        </row>
        <row r="1232">
          <cell r="G1232" t="str">
            <v>BORE SITE W230</v>
          </cell>
          <cell r="H1232" t="str">
            <v>W1001573</v>
          </cell>
          <cell r="I1232" t="str">
            <v>LOT 230W HAWKINS RD</v>
          </cell>
          <cell r="J1232" t="str">
            <v>NORTH JANDABUP WA 6077</v>
          </cell>
          <cell r="K1232" t="str">
            <v>410M82145</v>
          </cell>
        </row>
        <row r="1233">
          <cell r="G1233" t="str">
            <v>BORE SITE M240</v>
          </cell>
          <cell r="H1233" t="str">
            <v>W1001361</v>
          </cell>
          <cell r="I1233" t="str">
            <v>U41 LOT 50M PARK ST</v>
          </cell>
          <cell r="J1233" t="str">
            <v>WHITEMAN WA 6068</v>
          </cell>
          <cell r="K1233" t="str">
            <v>0116001250</v>
          </cell>
        </row>
        <row r="1234">
          <cell r="G1234"/>
          <cell r="H1234" t="e">
            <v>#N/A</v>
          </cell>
          <cell r="I1234" t="str">
            <v>LOT 38 WILLMOTT AVE</v>
          </cell>
          <cell r="J1234" t="str">
            <v>MARGARET RIVER WA 6285</v>
          </cell>
          <cell r="K1234" t="str">
            <v>410AM906R</v>
          </cell>
        </row>
        <row r="1235">
          <cell r="G1235" t="str">
            <v>WSC GOOMALLING</v>
          </cell>
          <cell r="H1235" t="str">
            <v>W0019214</v>
          </cell>
          <cell r="I1235" t="str">
            <v>LOC 12098 PATTERSON RD</v>
          </cell>
          <cell r="J1235" t="str">
            <v>CUNJARDINE WA 6461</v>
          </cell>
          <cell r="K1235" t="str">
            <v>15M2000472</v>
          </cell>
        </row>
        <row r="1236">
          <cell r="G1236" t="str">
            <v>SPS PARRY AV BULL CREEK</v>
          </cell>
          <cell r="H1236" t="str">
            <v>S0033819</v>
          </cell>
          <cell r="I1236" t="str">
            <v>U43 LOT 3099 PARRY AVE</v>
          </cell>
          <cell r="J1236" t="str">
            <v>BULL CREEK WA 6149</v>
          </cell>
          <cell r="K1236" t="str">
            <v>0081000144</v>
          </cell>
        </row>
        <row r="1237">
          <cell r="G1237" t="str">
            <v>WSC WATER SUPPLY RD DONGARA</v>
          </cell>
          <cell r="H1237" t="str">
            <v>W0039672</v>
          </cell>
          <cell r="I1237" t="str">
            <v>LOC 2764 WATER SUPPLY RD</v>
          </cell>
          <cell r="J1237" t="str">
            <v>BONNIEFIELD WA 6525</v>
          </cell>
          <cell r="K1237" t="str">
            <v>15M56066</v>
          </cell>
        </row>
        <row r="1238">
          <cell r="G1238" t="str">
            <v>SPS COLLIER RD MORLEY</v>
          </cell>
          <cell r="H1238" t="str">
            <v>S0030099</v>
          </cell>
          <cell r="I1238" t="str">
            <v>LOT 11236 RUSSELL ST</v>
          </cell>
          <cell r="J1238" t="str">
            <v>MORLEY WA 6062</v>
          </cell>
          <cell r="K1238" t="str">
            <v>0148002315</v>
          </cell>
        </row>
        <row r="1239">
          <cell r="G1239" t="str">
            <v>WWTP DONGARA</v>
          </cell>
          <cell r="H1239" t="str">
            <v>S061-001-003</v>
          </cell>
          <cell r="I1239" t="str">
            <v>L908 BLENHEIM RD</v>
          </cell>
          <cell r="J1239" t="str">
            <v>PORT DENNISON WA 6525</v>
          </cell>
          <cell r="K1239" t="str">
            <v>000000000213000796</v>
          </cell>
        </row>
        <row r="1240">
          <cell r="G1240" t="str">
            <v>SPS HUME RD THORNLIE</v>
          </cell>
          <cell r="H1240" t="str">
            <v>S0033436</v>
          </cell>
          <cell r="I1240" t="str">
            <v>U43 LOT 69 HUME RD</v>
          </cell>
          <cell r="J1240" t="str">
            <v>THORNLIE WA 6108</v>
          </cell>
          <cell r="K1240" t="str">
            <v>0148001618</v>
          </cell>
        </row>
        <row r="1241">
          <cell r="G1241" t="str">
            <v>WPS PINWERNYING DAM KATANNING</v>
          </cell>
          <cell r="H1241" t="str">
            <v>W049-005-002-002-003</v>
          </cell>
          <cell r="I1241" t="str">
            <v>U 56 CLIMIE RD</v>
          </cell>
          <cell r="J1241" t="str">
            <v>PINWERNYING WA 6317</v>
          </cell>
          <cell r="K1241" t="str">
            <v>0211001057</v>
          </cell>
        </row>
        <row r="1242">
          <cell r="G1242"/>
          <cell r="H1242" t="e">
            <v>#N/A</v>
          </cell>
          <cell r="I1242" t="str">
            <v>LOT 617 ZODIAC LOOP</v>
          </cell>
          <cell r="J1242" t="str">
            <v>ATWELL  WA 6164</v>
          </cell>
          <cell r="K1242" t="str">
            <v>0148006279</v>
          </cell>
        </row>
        <row r="1243">
          <cell r="G1243" t="str">
            <v>WPS GHOOLI</v>
          </cell>
          <cell r="H1243" t="str">
            <v>W5008540</v>
          </cell>
          <cell r="I1243" t="str">
            <v>LOT 1 GREAT EASTERN HWY</v>
          </cell>
          <cell r="J1243" t="str">
            <v>GHOOLI WA 6426</v>
          </cell>
          <cell r="K1243" t="str">
            <v>15D048225</v>
          </cell>
        </row>
        <row r="1244">
          <cell r="G1244" t="str">
            <v>WPS KOORARAWALYEE (OLD)</v>
          </cell>
          <cell r="H1244" t="str">
            <v>W0021126</v>
          </cell>
          <cell r="I1244" t="str">
            <v>GREAT EASTERN HWY</v>
          </cell>
          <cell r="J1244" t="str">
            <v>MOUNT PALMER WA 6426</v>
          </cell>
          <cell r="K1244" t="str">
            <v>EXTINCT</v>
          </cell>
        </row>
        <row r="1245">
          <cell r="G1245" t="str">
            <v>SPS PARK LANE CLAREMONT</v>
          </cell>
          <cell r="H1245" t="str">
            <v>S0032668</v>
          </cell>
          <cell r="I1245" t="str">
            <v>63 BAY VIEW TCE</v>
          </cell>
          <cell r="J1245" t="str">
            <v>CLAREMONT WA 6010</v>
          </cell>
          <cell r="K1245" t="str">
            <v>450M22337</v>
          </cell>
        </row>
        <row r="1246">
          <cell r="G1246" t="str">
            <v>WPS SOLDIERS RD ROLEYSTONE</v>
          </cell>
          <cell r="H1246" t="str">
            <v>W0035298</v>
          </cell>
          <cell r="I1246" t="str">
            <v>SOLDIERS RD</v>
          </cell>
          <cell r="J1246" t="str">
            <v>ROLEYSTONE WA 6111</v>
          </cell>
          <cell r="K1246" t="str">
            <v>0211001156</v>
          </cell>
        </row>
        <row r="1247">
          <cell r="G1247" t="str">
            <v>BORE 09-99 WERILLUP</v>
          </cell>
          <cell r="H1247" t="str">
            <v>W7000392</v>
          </cell>
          <cell r="I1247" t="str">
            <v>LOCN 2480 HSE NO 9 PRINCESS AVE</v>
          </cell>
          <cell r="J1247" t="str">
            <v>ROBINSON WA 6330</v>
          </cell>
          <cell r="K1247" t="str">
            <v>0148005767</v>
          </cell>
        </row>
        <row r="1248">
          <cell r="G1248" t="str">
            <v>BORE 04-95 PRISON</v>
          </cell>
          <cell r="H1248" t="str">
            <v>W0023312</v>
          </cell>
          <cell r="I1248" t="str">
            <v>LOT 45 SAND PIT RD</v>
          </cell>
          <cell r="J1248" t="str">
            <v>CUTHBERT  WA  6330</v>
          </cell>
          <cell r="K1248" t="str">
            <v>002101667</v>
          </cell>
        </row>
        <row r="1249">
          <cell r="G1249" t="str">
            <v>BORE 05-98 SANDPATCH</v>
          </cell>
          <cell r="H1249" t="str">
            <v>W0023625</v>
          </cell>
          <cell r="I1249" t="str">
            <v>U56 O'CONNELL ST</v>
          </cell>
          <cell r="J1249" t="str">
            <v>LITTLE GROVE WA  6330</v>
          </cell>
          <cell r="K1249" t="str">
            <v>002101638</v>
          </cell>
        </row>
        <row r="1250">
          <cell r="G1250" t="str">
            <v>WPS WS13E3 TOLLAND RD NARROGIN</v>
          </cell>
          <cell r="H1250" t="str">
            <v>W7000647</v>
          </cell>
          <cell r="I1250" t="str">
            <v>LOT 2 NOTTING KARLGARIN RD</v>
          </cell>
          <cell r="J1250" t="str">
            <v>KARLGARIN WA 6358</v>
          </cell>
          <cell r="K1250" t="str">
            <v>410M207009</v>
          </cell>
        </row>
        <row r="1251">
          <cell r="G1251" t="str">
            <v>SPS GIBBONS RD DAVENPORT</v>
          </cell>
          <cell r="H1251" t="str">
            <v>S0044085</v>
          </cell>
          <cell r="I1251" t="str">
            <v>LOT 102 MCCOMBE ST</v>
          </cell>
          <cell r="J1251" t="str">
            <v>BUNBURY WA 6230</v>
          </cell>
          <cell r="K1251" t="str">
            <v>410M185119</v>
          </cell>
        </row>
        <row r="1252">
          <cell r="G1252" t="str">
            <v>SPS BARRAMBIE WY WHITEMAN</v>
          </cell>
          <cell r="H1252" t="str">
            <v>S2001394</v>
          </cell>
          <cell r="I1252" t="str">
            <v>LORD ST</v>
          </cell>
          <cell r="J1252" t="str">
            <v>WHITEMAN WA 6068</v>
          </cell>
          <cell r="K1252" t="str">
            <v>0211000415</v>
          </cell>
        </row>
        <row r="1253">
          <cell r="G1253" t="str">
            <v>TANK EL 1 WSC DIADEM ST EATON</v>
          </cell>
          <cell r="H1253" t="str">
            <v>W0045180</v>
          </cell>
          <cell r="I1253" t="str">
            <v>LOC 6 DIADEM ST</v>
          </cell>
          <cell r="J1253" t="str">
            <v>EATON WA 6232</v>
          </cell>
          <cell r="K1253" t="str">
            <v>15M58808</v>
          </cell>
        </row>
        <row r="1254">
          <cell r="G1254" t="str">
            <v>SPS VICTORIA PDE AUGUSTA</v>
          </cell>
          <cell r="H1254" t="str">
            <v>S0043909</v>
          </cell>
          <cell r="I1254" t="str">
            <v>LOT 491 VICTORIA PDE</v>
          </cell>
          <cell r="J1254" t="str">
            <v>AUGUSTA WA 6290</v>
          </cell>
          <cell r="K1254" t="str">
            <v>410M174525</v>
          </cell>
        </row>
        <row r="1255">
          <cell r="G1255" t="str">
            <v>WPS DOWN ST WANDERING</v>
          </cell>
          <cell r="H1255" t="str">
            <v>W049-003-016-002-001</v>
          </cell>
          <cell r="I1255" t="str">
            <v>DOWN ST</v>
          </cell>
          <cell r="J1255" t="str">
            <v>WANDERING WA 6308</v>
          </cell>
          <cell r="K1255" t="str">
            <v>410M32518</v>
          </cell>
        </row>
        <row r="1256">
          <cell r="G1256" t="str">
            <v>SPS HESTER ST BAYSWATER</v>
          </cell>
          <cell r="H1256" t="str">
            <v>S0030145</v>
          </cell>
          <cell r="I1256" t="str">
            <v>HESTER ST</v>
          </cell>
          <cell r="J1256" t="str">
            <v>BAYSWATER WA 6053</v>
          </cell>
          <cell r="K1256" t="str">
            <v>450M22345</v>
          </cell>
        </row>
        <row r="1257">
          <cell r="G1257" t="str">
            <v>WPS KALGOORLIE STANDBY 2</v>
          </cell>
          <cell r="H1257" t="str">
            <v>W6001785</v>
          </cell>
          <cell r="I1257" t="str">
            <v>THROSSELL ST</v>
          </cell>
          <cell r="J1257" t="str">
            <v>KALGOORLIE WA 6430</v>
          </cell>
          <cell r="K1257" t="str">
            <v>0140000381</v>
          </cell>
        </row>
        <row r="1258">
          <cell r="G1258" t="str">
            <v>OBS BORE 38-74 PRISON</v>
          </cell>
          <cell r="H1258" t="str">
            <v>W0023293</v>
          </cell>
          <cell r="I1258" t="str">
            <v>LOT 38P SCRUB BIRD RD</v>
          </cell>
          <cell r="J1258" t="str">
            <v>ROBINSON  WA  6330</v>
          </cell>
          <cell r="K1258" t="str">
            <v>002100011</v>
          </cell>
        </row>
        <row r="1259">
          <cell r="G1259" t="str">
            <v>METER MASTER MS RETIC CARNAMAH</v>
          </cell>
          <cell r="H1259" t="str">
            <v>W0040262</v>
          </cell>
          <cell r="I1259" t="str">
            <v>RAILWAY AVE</v>
          </cell>
          <cell r="J1259" t="str">
            <v>CARNAMAH WA 6517</v>
          </cell>
          <cell r="K1259" t="str">
            <v>15D107501</v>
          </cell>
        </row>
        <row r="1260">
          <cell r="G1260" t="str">
            <v>BORE SITE L12</v>
          </cell>
          <cell r="H1260" t="str">
            <v>W1001431</v>
          </cell>
          <cell r="I1260" t="str">
            <v>LOT 12 WETHERELL RD</v>
          </cell>
          <cell r="J1260" t="str">
            <v>LEXIA WA 6065</v>
          </cell>
          <cell r="K1260" t="str">
            <v>0148003858</v>
          </cell>
        </row>
        <row r="1261">
          <cell r="G1261" t="str">
            <v>SPS LEEDER ST SAFETY BAY</v>
          </cell>
          <cell r="H1261" t="str">
            <v>S0030443</v>
          </cell>
          <cell r="I1261" t="str">
            <v>LOT 518 LEEDER ST</v>
          </cell>
          <cell r="J1261" t="str">
            <v>SAFETY BAY WA 6169</v>
          </cell>
          <cell r="K1261" t="str">
            <v>0148006114</v>
          </cell>
        </row>
        <row r="1262">
          <cell r="G1262" t="str">
            <v>CHL SYS TAYLOR ST TINCURRIN</v>
          </cell>
          <cell r="H1262" t="str">
            <v>W7001658</v>
          </cell>
          <cell r="I1262" t="str">
            <v>LOT 30357 TAYLOR RD</v>
          </cell>
          <cell r="J1262" t="str">
            <v>TINCURRIN WA 6361</v>
          </cell>
          <cell r="K1262" t="str">
            <v>15D044392</v>
          </cell>
        </row>
        <row r="1263">
          <cell r="G1263" t="str">
            <v>BORE 46-75 PRISON</v>
          </cell>
          <cell r="H1263" t="str">
            <v>W0023360</v>
          </cell>
          <cell r="I1263" t="str">
            <v>HSE NO 46 LOT 7403 PRINCESS AVE</v>
          </cell>
          <cell r="J1263" t="str">
            <v>ROBINSON WA 6330</v>
          </cell>
          <cell r="K1263" t="str">
            <v>0148006438</v>
          </cell>
        </row>
        <row r="1264">
          <cell r="G1264" t="str">
            <v>SPS BRONZEWING AV ELLENBROOK</v>
          </cell>
          <cell r="H1264" t="str">
            <v>S0029160</v>
          </cell>
          <cell r="I1264" t="str">
            <v>144 BRONZEWING AVE</v>
          </cell>
          <cell r="J1264" t="str">
            <v>ELLENBROOK WA 6069</v>
          </cell>
          <cell r="K1264" t="str">
            <v>0148002723</v>
          </cell>
        </row>
        <row r="1265">
          <cell r="G1265" t="str">
            <v>WPS CARNARVON CASTLE DR EAGLE BAY BOOST</v>
          </cell>
          <cell r="H1265" t="str">
            <v>W8008365</v>
          </cell>
          <cell r="I1265" t="str">
            <v>LOT 331 CARNARVON CASTLE DR</v>
          </cell>
          <cell r="J1265" t="str">
            <v>EAGLE BAY WA 6281</v>
          </cell>
          <cell r="K1265" t="str">
            <v>0350031208</v>
          </cell>
        </row>
        <row r="1266">
          <cell r="G1266" t="str">
            <v>WPS WYALKATCHEM</v>
          </cell>
          <cell r="H1266" t="str">
            <v>W0019685</v>
          </cell>
          <cell r="I1266" t="str">
            <v>LOT 54 KOORDA RD</v>
          </cell>
          <cell r="J1266" t="str">
            <v>WYALKATCHEM WA 6485</v>
          </cell>
          <cell r="K1266" t="str">
            <v>0148006351</v>
          </cell>
        </row>
        <row r="1267">
          <cell r="G1267" t="str">
            <v>SPS RIVER AVE COLLIE</v>
          </cell>
          <cell r="H1267" t="str">
            <v>S0044415</v>
          </cell>
          <cell r="I1267" t="str">
            <v>RIVER AVE</v>
          </cell>
          <cell r="J1267" t="str">
            <v>COLLIE WA 6225</v>
          </cell>
          <cell r="K1267" t="str">
            <v>0350316588</v>
          </cell>
        </row>
        <row r="1268">
          <cell r="G1268" t="str">
            <v>BORE SITE G110</v>
          </cell>
          <cell r="H1268" t="str">
            <v>W1001287</v>
          </cell>
          <cell r="I1268" t="str">
            <v>LOT 108 AMELIA ST</v>
          </cell>
          <cell r="J1268" t="str">
            <v>BALCATTA WA 6021</v>
          </cell>
          <cell r="K1268" t="str">
            <v>0148001989</v>
          </cell>
        </row>
        <row r="1269">
          <cell r="G1269" t="str">
            <v>DPS WELLINGTON PDE YOKINE</v>
          </cell>
          <cell r="H1269" t="str">
            <v>D0036175</v>
          </cell>
          <cell r="I1269" t="str">
            <v>FLINDERS ST</v>
          </cell>
          <cell r="J1269" t="str">
            <v>YOKINE WA 6060</v>
          </cell>
          <cell r="K1269" t="str">
            <v>410AM62389</v>
          </cell>
        </row>
        <row r="1270">
          <cell r="G1270" t="str">
            <v>SPS VIRIDIAN DR BANKSIA GROVE</v>
          </cell>
          <cell r="H1270" t="str">
            <v>S0029146</v>
          </cell>
          <cell r="I1270" t="str">
            <v>93 VIRIDIAN DR</v>
          </cell>
          <cell r="J1270" t="str">
            <v>BANKSIA GROVE WA 6031</v>
          </cell>
          <cell r="K1270" t="str">
            <v>0148006376</v>
          </cell>
        </row>
        <row r="1271">
          <cell r="G1271" t="str">
            <v>WSC MORAWA</v>
          </cell>
          <cell r="H1271" t="str">
            <v>W0040164</v>
          </cell>
          <cell r="I1271" t="str">
            <v>2 WHITE AVE</v>
          </cell>
          <cell r="J1271" t="str">
            <v>MORAWA WA 6623</v>
          </cell>
          <cell r="K1271" t="str">
            <v>0350013233</v>
          </cell>
        </row>
        <row r="1272">
          <cell r="G1272" t="str">
            <v>WPS DEWAR ST LAKE GRACE</v>
          </cell>
          <cell r="H1272" t="str">
            <v>W7000258</v>
          </cell>
          <cell r="I1272" t="str">
            <v>LOT 2 DEWAR ST</v>
          </cell>
          <cell r="J1272" t="str">
            <v>LAKE GRACE WA 6353</v>
          </cell>
          <cell r="K1272" t="str">
            <v>410M194191</v>
          </cell>
        </row>
        <row r="1273">
          <cell r="G1273" t="str">
            <v>WPS WALKER ST ONGERUP</v>
          </cell>
          <cell r="H1273" t="str">
            <v>W7001051</v>
          </cell>
          <cell r="I1273" t="str">
            <v>LOT 181 WALKER ST</v>
          </cell>
          <cell r="J1273" t="str">
            <v>ONGERUP WA 6336</v>
          </cell>
          <cell r="K1273" t="str">
            <v>0180004059</v>
          </cell>
        </row>
        <row r="1274">
          <cell r="G1274" t="str">
            <v>SPS SHREEVE RD CANNING VALE</v>
          </cell>
          <cell r="H1274" t="str">
            <v>S2015122</v>
          </cell>
          <cell r="I1274" t="str">
            <v>167 SHREEVE RD</v>
          </cell>
          <cell r="J1274" t="str">
            <v>CANNING VALE WA 6155</v>
          </cell>
          <cell r="K1274" t="str">
            <v>0180028474</v>
          </cell>
        </row>
        <row r="1275">
          <cell r="G1275" t="str">
            <v>WPS PARK WAY DAWESVILLE BOOSTER</v>
          </cell>
          <cell r="H1275" t="str">
            <v>W8005731</v>
          </cell>
          <cell r="I1275" t="str">
            <v>LOT 1549 PARK WAY</v>
          </cell>
          <cell r="J1275" t="str">
            <v>DAWESVILLE WA 6211</v>
          </cell>
          <cell r="K1275" t="str">
            <v>0380015903</v>
          </cell>
        </row>
        <row r="1276">
          <cell r="G1276" t="str">
            <v>WPS MOCARDY BOOSTER</v>
          </cell>
          <cell r="H1276" t="str">
            <v>W0019195</v>
          </cell>
          <cell r="I1276" t="str">
            <v>U54 LOC 17734 KOORDA-WONGAN HILLS RD</v>
          </cell>
          <cell r="J1276" t="str">
            <v>WONGAN HILLS WA 6603</v>
          </cell>
          <cell r="K1276" t="str">
            <v>0116000743</v>
          </cell>
        </row>
        <row r="1277">
          <cell r="G1277" t="str">
            <v>SPS BROOKTON HWY KELMSCOTT</v>
          </cell>
          <cell r="H1277" t="str">
            <v>S2003221</v>
          </cell>
          <cell r="I1277" t="str">
            <v>68 BROOKTON HWY</v>
          </cell>
          <cell r="J1277" t="str">
            <v>KELMSCOTT WA 6111</v>
          </cell>
          <cell r="K1277" t="str">
            <v>410M202553</v>
          </cell>
        </row>
        <row r="1278">
          <cell r="G1278" t="str">
            <v>WPS WS13E2 MURRAY RD KARLGARIN</v>
          </cell>
          <cell r="H1278" t="str">
            <v>W7000643</v>
          </cell>
          <cell r="I1278" t="str">
            <v>LOT 2 SPURR RD</v>
          </cell>
          <cell r="J1278" t="str">
            <v>KARLGARIN WA 6358</v>
          </cell>
          <cell r="K1278" t="str">
            <v>0248000166</v>
          </cell>
        </row>
        <row r="1279">
          <cell r="G1279" t="str">
            <v>SPS CAMMILLO RD KELMSCOTT</v>
          </cell>
          <cell r="H1279" t="str">
            <v>S0032743</v>
          </cell>
          <cell r="I1279" t="str">
            <v>179 CAMMILLO RD</v>
          </cell>
          <cell r="J1279" t="str">
            <v>KELMSCOTT WA 6111</v>
          </cell>
          <cell r="K1279" t="str">
            <v>0148001665</v>
          </cell>
        </row>
        <row r="1280">
          <cell r="G1280" t="str">
            <v>SPS MULGUL RD MALAGA</v>
          </cell>
          <cell r="H1280" t="str">
            <v>S2003424</v>
          </cell>
          <cell r="I1280" t="str">
            <v>181 MULGUL RD</v>
          </cell>
          <cell r="J1280" t="str">
            <v>MALAGA WA 6090</v>
          </cell>
          <cell r="K1280" t="str">
            <v>410M229382</v>
          </cell>
        </row>
        <row r="1281">
          <cell r="G1281" t="str">
            <v>BORE SITE M90</v>
          </cell>
          <cell r="H1281" t="str">
            <v>W1001319</v>
          </cell>
          <cell r="I1281" t="str">
            <v>LOT 10 MARANGAROO DR</v>
          </cell>
          <cell r="J1281" t="str">
            <v>BALLAJURA WA 6066</v>
          </cell>
          <cell r="K1281" t="str">
            <v>0248000166</v>
          </cell>
        </row>
        <row r="1282">
          <cell r="G1282"/>
          <cell r="H1282" t="e">
            <v>#N/A</v>
          </cell>
          <cell r="I1282" t="str">
            <v>GREAT EASTERN HWY</v>
          </cell>
          <cell r="J1282" t="str">
            <v>COOLGARDIE WA 6429</v>
          </cell>
          <cell r="K1282" t="str">
            <v>15M166918</v>
          </cell>
        </row>
        <row r="1283">
          <cell r="G1283" t="str">
            <v>SPS DE GREY RTT JANE BROOK</v>
          </cell>
          <cell r="H1283" t="str">
            <v>S0028965</v>
          </cell>
          <cell r="I1283" t="str">
            <v>36 DE GREY RTT</v>
          </cell>
          <cell r="J1283" t="str">
            <v>JANE BROOK WA 6056</v>
          </cell>
          <cell r="K1283" t="str">
            <v>410M171926</v>
          </cell>
        </row>
        <row r="1284">
          <cell r="G1284" t="str">
            <v>SPS FRASER ST BEACHLANDS</v>
          </cell>
          <cell r="H1284" t="str">
            <v>S0037768</v>
          </cell>
          <cell r="I1284" t="str">
            <v>LOT 937 FRASER ST</v>
          </cell>
          <cell r="J1284" t="str">
            <v>BEACHLANDS WA 6530</v>
          </cell>
          <cell r="K1284" t="str">
            <v>410M181777</v>
          </cell>
        </row>
        <row r="1285">
          <cell r="G1285" t="str">
            <v>SPS LORD ST LOCKRIDGE</v>
          </cell>
          <cell r="H1285" t="str">
            <v>S0030177</v>
          </cell>
          <cell r="I1285" t="str">
            <v>LOT 344 LORD ST</v>
          </cell>
          <cell r="J1285" t="str">
            <v>LOCKRIDGE WA 6054</v>
          </cell>
          <cell r="K1285" t="str">
            <v>0148001622</v>
          </cell>
        </row>
        <row r="1286">
          <cell r="G1286" t="str">
            <v>BORE 01-93 QUINDALUP SIDING RD</v>
          </cell>
          <cell r="H1286" t="str">
            <v>W0045713</v>
          </cell>
          <cell r="I1286" t="str">
            <v>LOCN 1401 QUINDALUP SIDING RD</v>
          </cell>
          <cell r="J1286" t="str">
            <v>QUINDALUP WA 6281</v>
          </cell>
          <cell r="K1286" t="str">
            <v>0148005880</v>
          </cell>
        </row>
        <row r="1287">
          <cell r="G1287" t="str">
            <v>SANDGATE STREET CVS</v>
          </cell>
          <cell r="H1287" t="str">
            <v>W0012893</v>
          </cell>
          <cell r="I1287" t="str">
            <v>SANDGATE ST</v>
          </cell>
          <cell r="J1287" t="str">
            <v>SOUTH PERTH WA 6151</v>
          </cell>
          <cell r="K1287" t="str">
            <v>410M171237</v>
          </cell>
        </row>
        <row r="1288">
          <cell r="G1288" t="str">
            <v>SPS DAVID PL OSBORNE PARK</v>
          </cell>
          <cell r="H1288" t="str">
            <v>S0028332</v>
          </cell>
          <cell r="I1288" t="str">
            <v>LOT 204 CAPE ST</v>
          </cell>
          <cell r="J1288" t="str">
            <v>OSBORNE PARK WA 6017</v>
          </cell>
          <cell r="K1288" t="str">
            <v>410M156946</v>
          </cell>
        </row>
        <row r="1289">
          <cell r="G1289" t="str">
            <v>WPS MARINDO RD CLEARY</v>
          </cell>
          <cell r="H1289" t="str">
            <v>W5008010</v>
          </cell>
          <cell r="I1289" t="str">
            <v>LOC 2998 BONNIE ROCK BURAKIN RD</v>
          </cell>
          <cell r="J1289" t="str">
            <v>BEACON WA 6472</v>
          </cell>
          <cell r="K1289" t="str">
            <v>0180008711</v>
          </cell>
        </row>
        <row r="1290">
          <cell r="G1290" t="str">
            <v>SPS SHEFFIELD RD STH WATTLE GROVE</v>
          </cell>
          <cell r="H1290" t="str">
            <v>S2004021</v>
          </cell>
          <cell r="I1290" t="str">
            <v>17 SHEFFIELD RD</v>
          </cell>
          <cell r="J1290" t="str">
            <v>WATTLE GROVE WA 6107</v>
          </cell>
          <cell r="K1290" t="str">
            <v>0148004593</v>
          </cell>
        </row>
        <row r="1291">
          <cell r="G1291" t="str">
            <v>SPS FARMBREAK LP NATURALISTE</v>
          </cell>
          <cell r="H1291" t="str">
            <v>S8002695</v>
          </cell>
          <cell r="I1291" t="str">
            <v>LOT 422 FARM BREAK LA</v>
          </cell>
          <cell r="J1291" t="str">
            <v>BUNKER BAY WA 6282</v>
          </cell>
          <cell r="K1291" t="str">
            <v>450M22841</v>
          </cell>
        </row>
        <row r="1292">
          <cell r="G1292" t="str">
            <v>BORE 2/75 (DECOMM) WICHERINA</v>
          </cell>
          <cell r="H1292" t="str">
            <v>W0039891</v>
          </cell>
          <cell r="I1292" t="str">
            <v>MULLEWA RD</v>
          </cell>
          <cell r="J1292" t="str">
            <v>WICHERINA WA 6532</v>
          </cell>
          <cell r="K1292" t="str">
            <v>0148002561</v>
          </cell>
        </row>
        <row r="1293">
          <cell r="G1293" t="str">
            <v>SPS FARNHAM ST BENTLEY</v>
          </cell>
          <cell r="H1293" t="str">
            <v>S0032980</v>
          </cell>
          <cell r="I1293" t="str">
            <v>32 FARNHAM ST</v>
          </cell>
          <cell r="J1293" t="str">
            <v>BENTLEY WA 6102</v>
          </cell>
          <cell r="K1293" t="str">
            <v>002101445</v>
          </cell>
        </row>
        <row r="1294">
          <cell r="G1294" t="str">
            <v>SPS SCENIC DR WANNEROO</v>
          </cell>
          <cell r="H1294" t="str">
            <v>S2003487</v>
          </cell>
          <cell r="I1294" t="str">
            <v>LOT 8813 SCENIC DR</v>
          </cell>
          <cell r="J1294" t="str">
            <v>WANNEROO WA 6065</v>
          </cell>
          <cell r="K1294" t="str">
            <v>0248000020</v>
          </cell>
        </row>
        <row r="1295">
          <cell r="G1295" t="str">
            <v>TANK WSC LEIGHTON RD HALLS HEAD</v>
          </cell>
          <cell r="H1295" t="str">
            <v>W0045961</v>
          </cell>
          <cell r="I1295" t="str">
            <v>ALLAN PL</v>
          </cell>
          <cell r="J1295" t="str">
            <v>HALLS HEAD WA 6210</v>
          </cell>
          <cell r="K1295" t="str">
            <v>0200026354</v>
          </cell>
        </row>
        <row r="1296">
          <cell r="G1296" t="str">
            <v>WPS NANSON RD GERALDTON</v>
          </cell>
          <cell r="H1296" t="str">
            <v>W0039797</v>
          </cell>
          <cell r="I1296" t="str">
            <v>LOCN 9659A CHAPMAN VALLEY RD</v>
          </cell>
          <cell r="J1296" t="str">
            <v>WAGGRAKINE WA 6530</v>
          </cell>
          <cell r="K1296" t="str">
            <v>0211000976</v>
          </cell>
        </row>
        <row r="1297">
          <cell r="G1297" t="str">
            <v>VALVE 750REG VS FLOW CONTROL WOKALUP DAM</v>
          </cell>
          <cell r="H1297" t="str">
            <v>W8004537</v>
          </cell>
          <cell r="I1297" t="str">
            <v>11321 STH WESTERN HWY</v>
          </cell>
          <cell r="J1297" t="str">
            <v>WOKALUP WA 6221</v>
          </cell>
          <cell r="K1297" t="str">
            <v>15D041826</v>
          </cell>
        </row>
        <row r="1298">
          <cell r="G1298" t="str">
            <v>WPS WIALKI</v>
          </cell>
          <cell r="H1298" t="str">
            <v>W0020253</v>
          </cell>
          <cell r="I1298" t="str">
            <v>CLARK RD</v>
          </cell>
          <cell r="J1298" t="str">
            <v>WIALKI WA 6473</v>
          </cell>
          <cell r="K1298" t="str">
            <v>410M144571</v>
          </cell>
        </row>
        <row r="1299">
          <cell r="G1299" t="str">
            <v>BORE SITE Q50</v>
          </cell>
          <cell r="H1299" t="str">
            <v>W1001168</v>
          </cell>
          <cell r="I1299" t="str">
            <v>VICTORSEN PDE</v>
          </cell>
          <cell r="J1299" t="str">
            <v>CLARKSON WA 6030</v>
          </cell>
          <cell r="K1299" t="str">
            <v>0148005809</v>
          </cell>
        </row>
        <row r="1300">
          <cell r="G1300" t="str">
            <v>WSC TWO PEOPLE BAY</v>
          </cell>
          <cell r="H1300" t="str">
            <v>W7000604</v>
          </cell>
          <cell r="I1300" t="str">
            <v>LOC 13802 TWO PEOPLES BAY RD</v>
          </cell>
          <cell r="J1300" t="str">
            <v>KALGAN WA 6330</v>
          </cell>
          <cell r="K1300" t="str">
            <v>5AM81219</v>
          </cell>
        </row>
        <row r="1301">
          <cell r="G1301" t="str">
            <v>WPS ALLNUT TCE AUGUSTA TRANSFER</v>
          </cell>
          <cell r="H1301" t="str">
            <v>W0045100</v>
          </cell>
          <cell r="I1301" t="str">
            <v>LOCN 352/ 66 ALLNUTT TCE</v>
          </cell>
          <cell r="J1301" t="str">
            <v>AUGUSTA WA 6290</v>
          </cell>
          <cell r="K1301" t="str">
            <v>002100373</v>
          </cell>
        </row>
        <row r="1302">
          <cell r="G1302"/>
          <cell r="H1302" t="e">
            <v>#N/A</v>
          </cell>
          <cell r="I1302" t="str">
            <v>BATH ST</v>
          </cell>
          <cell r="J1302" t="str">
            <v>MANJIMUP WA 6258</v>
          </cell>
          <cell r="K1302" t="str">
            <v>410M40737</v>
          </cell>
        </row>
        <row r="1303">
          <cell r="G1303" t="str">
            <v>TANK WSC CHITTERING RD BULLSBROOK</v>
          </cell>
          <cell r="H1303" t="str">
            <v>W0035359</v>
          </cell>
          <cell r="I1303" t="str">
            <v>LOT 8654 CHITTERING RD</v>
          </cell>
          <cell r="J1303" t="str">
            <v>BULLSBROOK WA 6084</v>
          </cell>
          <cell r="K1303" t="str">
            <v>15M161565</v>
          </cell>
        </row>
        <row r="1304">
          <cell r="G1304" t="str">
            <v>COMMON FACILITIES NARROGIN</v>
          </cell>
          <cell r="H1304" t="str">
            <v>C003-009</v>
          </cell>
          <cell r="I1304" t="str">
            <v>HSE NO 126 LOT 1614 EARL ST</v>
          </cell>
          <cell r="J1304" t="str">
            <v>NARROGIN WA 6312</v>
          </cell>
          <cell r="K1304" t="str">
            <v>0148006508</v>
          </cell>
        </row>
        <row r="1305">
          <cell r="G1305" t="str">
            <v>COLLINS ROAD CVS</v>
          </cell>
          <cell r="H1305" t="str">
            <v>W0012494</v>
          </cell>
          <cell r="I1305" t="str">
            <v>124 COLLINS RD</v>
          </cell>
          <cell r="J1305" t="str">
            <v>WILLETTON WA 6155</v>
          </cell>
          <cell r="K1305" t="str">
            <v>410M123967</v>
          </cell>
        </row>
        <row r="1306">
          <cell r="G1306" t="str">
            <v>SPS WATERHALL RD SOUTH GUILDFORD</v>
          </cell>
          <cell r="H1306" t="str">
            <v>S0029018</v>
          </cell>
          <cell r="I1306" t="str">
            <v>76 WATERHALL RD</v>
          </cell>
          <cell r="J1306" t="str">
            <v>SOUTH GUILDFORD WA 6055</v>
          </cell>
          <cell r="K1306" t="str">
            <v>410M173333</v>
          </cell>
        </row>
        <row r="1307">
          <cell r="G1307" t="str">
            <v>SPS INCE RD GLEN IRIS</v>
          </cell>
          <cell r="H1307" t="str">
            <v>S0044103</v>
          </cell>
          <cell r="I1307" t="str">
            <v>LOT 101 INCE RD</v>
          </cell>
          <cell r="J1307" t="str">
            <v>GLEN IRIS WA 6230</v>
          </cell>
          <cell r="K1307" t="str">
            <v>0148001911</v>
          </cell>
        </row>
        <row r="1308">
          <cell r="G1308" t="str">
            <v>REPEATER SITE PORONGORUPS</v>
          </cell>
          <cell r="H1308" t="str">
            <v>C0022130</v>
          </cell>
          <cell r="I1308" t="str">
            <v>U56 LOT 24 WOODLANDS RD</v>
          </cell>
          <cell r="J1308" t="str">
            <v>PORONGURUP WA 6324</v>
          </cell>
          <cell r="K1308" t="str">
            <v>0200008571</v>
          </cell>
        </row>
        <row r="1309">
          <cell r="G1309" t="str">
            <v>CP ZONE CENTENARY AV WILSON PT 163S DEEP</v>
          </cell>
          <cell r="H1309" t="str">
            <v>W0013023</v>
          </cell>
          <cell r="I1309" t="str">
            <v>U43 CENTENARY AVE</v>
          </cell>
          <cell r="J1309" t="str">
            <v>WILSON WA 6107</v>
          </cell>
          <cell r="K1309" t="str">
            <v>15M261465</v>
          </cell>
        </row>
        <row r="1310">
          <cell r="G1310" t="str">
            <v>BORE SITE Q165</v>
          </cell>
          <cell r="H1310" t="str">
            <v>W1000967</v>
          </cell>
          <cell r="I1310" t="str">
            <v>LOT 964 ROTHESAY HTS</v>
          </cell>
          <cell r="J1310" t="str">
            <v>MINDARIE WA 6030</v>
          </cell>
          <cell r="K1310" t="str">
            <v xml:space="preserve">0148006098     </v>
          </cell>
        </row>
        <row r="1311">
          <cell r="G1311" t="str">
            <v>SPS BOWMAN ST SOUTH PERTH</v>
          </cell>
          <cell r="H1311" t="str">
            <v>S0034001</v>
          </cell>
          <cell r="I1311" t="str">
            <v>BOWMAN ST</v>
          </cell>
          <cell r="J1311" t="str">
            <v>SOUTH PERTH WA 6151</v>
          </cell>
          <cell r="K1311" t="str">
            <v>450M22322</v>
          </cell>
        </row>
        <row r="1312">
          <cell r="G1312" t="str">
            <v>LOWER SOUTH DANDALUP DAM</v>
          </cell>
          <cell r="H1312" t="str">
            <v>W0008287</v>
          </cell>
          <cell r="I1312" t="str">
            <v>LOT 108 NORTH SPUR RD</v>
          </cell>
          <cell r="J1312" t="str">
            <v>PINJARRA WA 6208</v>
          </cell>
          <cell r="K1312" t="str">
            <v>0204000160</v>
          </cell>
        </row>
        <row r="1313">
          <cell r="G1313" t="str">
            <v>DAM GLEN MERVYN</v>
          </cell>
          <cell r="H1313" t="str">
            <v>W0046433</v>
          </cell>
          <cell r="I1313" t="str">
            <v>L100 COLLIE PRESTON RD</v>
          </cell>
          <cell r="J1313" t="str">
            <v>COLLIE</v>
          </cell>
          <cell r="K1313" t="str">
            <v>15D009690</v>
          </cell>
        </row>
        <row r="1314">
          <cell r="G1314" t="str">
            <v>VPS KINGFISHER DR NORTH YUNDERUP</v>
          </cell>
          <cell r="H1314" t="str">
            <v>S0045048</v>
          </cell>
          <cell r="I1314" t="str">
            <v>KINGFISHER DR</v>
          </cell>
          <cell r="J1314" t="str">
            <v>NORTH YUNDERUP WA 6208</v>
          </cell>
          <cell r="K1314" t="str">
            <v>0148006353</v>
          </cell>
        </row>
        <row r="1315">
          <cell r="G1315" t="str">
            <v>BORE 12-65 SANDPATCH</v>
          </cell>
          <cell r="H1315" t="str">
            <v>W0023562</v>
          </cell>
          <cell r="I1315" t="str">
            <v>FRENCHMAN BAY RD</v>
          </cell>
          <cell r="J1315" t="str">
            <v>LITTLE GROVE WA 6330</v>
          </cell>
          <cell r="K1315" t="str">
            <v>0148005770</v>
          </cell>
        </row>
        <row r="1316">
          <cell r="G1316" t="str">
            <v>SPS ARMAGH ST VICTORIA PARK</v>
          </cell>
          <cell r="H1316" t="str">
            <v>S0033952</v>
          </cell>
          <cell r="I1316" t="str">
            <v>LOT 10095 ARMAGH ST</v>
          </cell>
          <cell r="J1316" t="str">
            <v>VICTORIA PARK WA 6100</v>
          </cell>
          <cell r="K1316" t="str">
            <v>0221000089</v>
          </cell>
        </row>
        <row r="1317">
          <cell r="G1317" t="str">
            <v>WPS GOOMALLING</v>
          </cell>
          <cell r="H1317" t="str">
            <v>W5018000</v>
          </cell>
          <cell r="I1317" t="str">
            <v>SLATER ST</v>
          </cell>
          <cell r="J1317" t="str">
            <v>GOOMALLING WA 6460</v>
          </cell>
          <cell r="K1317" t="str">
            <v>0136005413</v>
          </cell>
        </row>
        <row r="1318">
          <cell r="G1318" t="str">
            <v>SPS CATHERINE ST BEDFORD</v>
          </cell>
          <cell r="H1318" t="str">
            <v>S0030089</v>
          </cell>
          <cell r="I1318" t="str">
            <v>L47 CATHERINE ST</v>
          </cell>
          <cell r="J1318" t="str">
            <v>BEDFORD WA 6052</v>
          </cell>
          <cell r="K1318" t="str">
            <v>410M174744</v>
          </cell>
        </row>
        <row r="1319">
          <cell r="G1319" t="str">
            <v>DEPOT ORMOND RD MT BARKER</v>
          </cell>
          <cell r="H1319" t="str">
            <v>C7000004</v>
          </cell>
          <cell r="I1319" t="str">
            <v>29 ORMOND RD</v>
          </cell>
          <cell r="J1319" t="str">
            <v>MOUNT BARKER WA 6324</v>
          </cell>
          <cell r="K1319" t="str">
            <v>410M128033</v>
          </cell>
        </row>
        <row r="1320">
          <cell r="G1320" t="str">
            <v>BORE SITE M320</v>
          </cell>
          <cell r="H1320" t="str">
            <v>W1001347</v>
          </cell>
          <cell r="I1320" t="str">
            <v>LOT 320M GNANGARA RD</v>
          </cell>
          <cell r="J1320" t="str">
            <v>CULLACABARDEE WA 6067</v>
          </cell>
          <cell r="K1320" t="str">
            <v>0248000072</v>
          </cell>
        </row>
        <row r="1321">
          <cell r="G1321" t="str">
            <v>CONNELL &amp; MANNING CONTROL VALVE SITE</v>
          </cell>
          <cell r="H1321" t="str">
            <v>W0011661</v>
          </cell>
          <cell r="I1321" t="str">
            <v>CONNELL AVE</v>
          </cell>
          <cell r="J1321" t="str">
            <v>GOSNELLS WA 6110</v>
          </cell>
          <cell r="K1321" t="str">
            <v>0380000711</v>
          </cell>
        </row>
        <row r="1322">
          <cell r="G1322" t="str">
            <v>OLD COLLIE P/STN SITE GSTWS MAIN COND</v>
          </cell>
          <cell r="H1322" t="str">
            <v>W8001666</v>
          </cell>
          <cell r="I1322" t="str">
            <v>LOT 15 WILLIAMS RD</v>
          </cell>
          <cell r="J1322" t="str">
            <v>COLLIE WA 6225</v>
          </cell>
          <cell r="K1322" t="str">
            <v>450M11750</v>
          </cell>
        </row>
        <row r="1323">
          <cell r="G1323" t="str">
            <v>SPS 1 GREGORY ST MECKERING</v>
          </cell>
          <cell r="H1323" t="str">
            <v>S008-002-001</v>
          </cell>
          <cell r="I1323" t="str">
            <v>LOT 144 GREGORY ST</v>
          </cell>
          <cell r="J1323" t="str">
            <v>MECKERING WA 6405</v>
          </cell>
          <cell r="K1323" t="str">
            <v>410AM122983</v>
          </cell>
        </row>
        <row r="1324">
          <cell r="G1324" t="str">
            <v>RESERVOIR WSC BOUNDARY RD MOSMAN PARK</v>
          </cell>
          <cell r="H1324" t="str">
            <v>W0034558</v>
          </cell>
          <cell r="I1324" t="str">
            <v>LOT 1 BOUNDARY RD</v>
          </cell>
          <cell r="J1324" t="str">
            <v>MOSMAN PARK WA 6012</v>
          </cell>
          <cell r="K1324" t="str">
            <v>0200223174</v>
          </cell>
        </row>
        <row r="1325">
          <cell r="G1325" t="str">
            <v>BORE SITE P120</v>
          </cell>
          <cell r="H1325" t="str">
            <v>W1001514</v>
          </cell>
          <cell r="I1325" t="str">
            <v>LOT 120P PERRY RD</v>
          </cell>
          <cell r="J1325" t="str">
            <v>PINJAR WA 6065</v>
          </cell>
          <cell r="K1325" t="str">
            <v>0136006120</v>
          </cell>
        </row>
        <row r="1326">
          <cell r="G1326" t="str">
            <v>SPS STATION ST COTTESLOE</v>
          </cell>
          <cell r="H1326" t="str">
            <v>S0032675</v>
          </cell>
          <cell r="I1326" t="str">
            <v>LOT 10998 STATION ST</v>
          </cell>
          <cell r="J1326" t="str">
            <v>COTTESLOE WA 6011</v>
          </cell>
          <cell r="K1326" t="str">
            <v>410M14603</v>
          </cell>
        </row>
        <row r="1327">
          <cell r="G1327" t="str">
            <v>SPS ABBETT PARK SCARBOROUGH</v>
          </cell>
          <cell r="H1327" t="str">
            <v>S0028223</v>
          </cell>
          <cell r="I1327" t="str">
            <v>ANDREW ST</v>
          </cell>
          <cell r="J1327" t="str">
            <v>SCARBOROUGH WA 6019</v>
          </cell>
          <cell r="K1327" t="str">
            <v>0148006002</v>
          </cell>
        </row>
        <row r="1328">
          <cell r="G1328" t="str">
            <v>SPS DUNDEBAR RD WANNEROO</v>
          </cell>
          <cell r="H1328" t="str">
            <v>S2011272</v>
          </cell>
          <cell r="I1328" t="str">
            <v>LOT 188 DUNDEBAR RD</v>
          </cell>
          <cell r="J1328" t="str">
            <v>WANNEROO</v>
          </cell>
          <cell r="K1328" t="str">
            <v>0180009413</v>
          </cell>
        </row>
        <row r="1329">
          <cell r="G1329" t="str">
            <v>WPS SCOTT RD KELMSCOTT</v>
          </cell>
          <cell r="H1329" t="str">
            <v>W0035115</v>
          </cell>
          <cell r="I1329" t="str">
            <v>U43 33 SCOTT RD</v>
          </cell>
          <cell r="J1329" t="str">
            <v>KELMSCOTT WA 6111</v>
          </cell>
          <cell r="K1329" t="str">
            <v>0081000143</v>
          </cell>
        </row>
        <row r="1330">
          <cell r="G1330" t="str">
            <v>SPS LIDDELL ST GIRRAWHEEN</v>
          </cell>
          <cell r="H1330" t="str">
            <v>S0028538</v>
          </cell>
          <cell r="I1330" t="str">
            <v>15 LIDDELL ST</v>
          </cell>
          <cell r="J1330" t="str">
            <v>GIRRAWHEEN WA 6064</v>
          </cell>
          <cell r="K1330" t="str">
            <v>410M20636</v>
          </cell>
        </row>
        <row r="1331">
          <cell r="G1331" t="str">
            <v>BORE SITE M220</v>
          </cell>
          <cell r="H1331" t="str">
            <v>W1001349</v>
          </cell>
          <cell r="I1331" t="str">
            <v>LOT 220M PARK ST</v>
          </cell>
          <cell r="J1331" t="str">
            <v>CULLACABARDEE WA 6067</v>
          </cell>
          <cell r="K1331" t="str">
            <v>0248000123</v>
          </cell>
        </row>
        <row r="1332">
          <cell r="G1332" t="str">
            <v>CHL SYS HYPO BALLIDU</v>
          </cell>
          <cell r="H1332" t="str">
            <v>W5022523</v>
          </cell>
          <cell r="I1332" t="str">
            <v>LOT 247 FEDERATION ST</v>
          </cell>
          <cell r="J1332" t="str">
            <v>BALLIDU WA 6606</v>
          </cell>
          <cell r="K1332" t="str">
            <v>0350020441</v>
          </cell>
        </row>
        <row r="1333">
          <cell r="G1333"/>
          <cell r="H1333" t="e">
            <v>#N/A</v>
          </cell>
          <cell r="I1333" t="str">
            <v>SIRIUS ST</v>
          </cell>
          <cell r="J1333" t="str">
            <v>SOUTHERN CROSS WA 6426</v>
          </cell>
          <cell r="K1333" t="str">
            <v>450M7835</v>
          </cell>
        </row>
        <row r="1334">
          <cell r="G1334" t="str">
            <v>SPS ULDINA PL PINJARRA</v>
          </cell>
          <cell r="H1334" t="str">
            <v>S0044981</v>
          </cell>
          <cell r="I1334" t="str">
            <v>ULDINA PL</v>
          </cell>
          <cell r="J1334" t="str">
            <v>PINJARRA WA 6208</v>
          </cell>
          <cell r="K1334" t="str">
            <v>0148001095</v>
          </cell>
        </row>
        <row r="1335">
          <cell r="G1335" t="str">
            <v>MAIN DRAIN SOUTHERN LAKES BEELIAR</v>
          </cell>
          <cell r="H1335" t="str">
            <v>D031-001-002</v>
          </cell>
          <cell r="I1335" t="str">
            <v>PARKES ST</v>
          </cell>
          <cell r="J1335" t="str">
            <v>JANDAKOT WA 6164</v>
          </cell>
          <cell r="K1335" t="str">
            <v>15M230601</v>
          </cell>
        </row>
        <row r="1336">
          <cell r="G1336" t="str">
            <v>VPS PICTON RD EAST BUNBURY</v>
          </cell>
          <cell r="H1336" t="str">
            <v>S8000387</v>
          </cell>
          <cell r="I1336" t="str">
            <v>LOT 925 PICTON RD</v>
          </cell>
          <cell r="J1336" t="str">
            <v>BUNBURY WA 6230</v>
          </cell>
          <cell r="K1336" t="str">
            <v>0148004776</v>
          </cell>
        </row>
        <row r="1337">
          <cell r="G1337" t="str">
            <v>WARWICK AND BALLANTINE CMS</v>
          </cell>
          <cell r="H1337" t="str">
            <v>W0010907</v>
          </cell>
          <cell r="I1337" t="str">
            <v>WARWICK RD</v>
          </cell>
          <cell r="J1337" t="str">
            <v>WARWICK WA 6024</v>
          </cell>
          <cell r="K1337" t="str">
            <v>410AM68686</v>
          </cell>
        </row>
        <row r="1338">
          <cell r="G1338" t="str">
            <v>SPS WINTHROP DR WINTHROP</v>
          </cell>
          <cell r="H1338" t="str">
            <v>S0033880</v>
          </cell>
          <cell r="I1338" t="str">
            <v>U43 WINTHROP DR</v>
          </cell>
          <cell r="J1338" t="str">
            <v>WINTHROP WA 6150</v>
          </cell>
          <cell r="K1338" t="str">
            <v>0081000142</v>
          </cell>
        </row>
        <row r="1339">
          <cell r="G1339" t="str">
            <v>WPS CANNING RD WALLISTON</v>
          </cell>
          <cell r="H1339" t="str">
            <v>W0035176</v>
          </cell>
          <cell r="I1339" t="str">
            <v>CANNING RD</v>
          </cell>
          <cell r="J1339" t="str">
            <v>WALLISTON WA 6076</v>
          </cell>
          <cell r="K1339" t="str">
            <v>0211001085</v>
          </cell>
        </row>
        <row r="1340">
          <cell r="G1340" t="str">
            <v>SPS WILLCOCK ST FERNDALE</v>
          </cell>
          <cell r="H1340" t="str">
            <v>S0034464</v>
          </cell>
          <cell r="I1340" t="str">
            <v>U43 33 WILLCOCK ST</v>
          </cell>
          <cell r="J1340" t="str">
            <v>FERNDALE WA 6148</v>
          </cell>
          <cell r="K1340" t="str">
            <v>0148001603</v>
          </cell>
        </row>
        <row r="1341">
          <cell r="G1341" t="str">
            <v>SPS STOREY RD THORNLIE</v>
          </cell>
          <cell r="H1341" t="str">
            <v>S0033494</v>
          </cell>
          <cell r="I1341" t="str">
            <v>U43 7 STOREY RD</v>
          </cell>
          <cell r="J1341" t="str">
            <v>THORNLIE WA 6108</v>
          </cell>
          <cell r="K1341" t="str">
            <v>0116001063</v>
          </cell>
        </row>
        <row r="1342">
          <cell r="G1342" t="str">
            <v>WPS SCOTT ST BOYA</v>
          </cell>
          <cell r="H1342" t="str">
            <v>W0035448</v>
          </cell>
          <cell r="I1342" t="str">
            <v>LOT 9119 COULSTON RD</v>
          </cell>
          <cell r="J1342" t="str">
            <v>BOYA WA 6056</v>
          </cell>
          <cell r="K1342" t="str">
            <v>0221000021</v>
          </cell>
        </row>
        <row r="1343">
          <cell r="G1343" t="str">
            <v>HALLS HEAD WWTP MCLARTY RD HALLS HEAD</v>
          </cell>
          <cell r="H1343" t="str">
            <v>S089-001-003</v>
          </cell>
          <cell r="I1343" t="str">
            <v>MCLARTY RD</v>
          </cell>
          <cell r="J1343" t="str">
            <v>HALLS HEAD WA 6210</v>
          </cell>
          <cell r="K1343" t="str">
            <v>0295000165</v>
          </cell>
        </row>
        <row r="1344">
          <cell r="G1344" t="str">
            <v>SPS DURANGO BEND AUBIN GROVE</v>
          </cell>
          <cell r="H1344" t="str">
            <v>S2017912</v>
          </cell>
          <cell r="I1344" t="str">
            <v>LOT 8003 DURANGO TURN</v>
          </cell>
          <cell r="J1344" t="str">
            <v>AUBIN GROVE WA 6164</v>
          </cell>
          <cell r="K1344" t="str">
            <v>0280003066</v>
          </cell>
        </row>
        <row r="1345">
          <cell r="G1345" t="str">
            <v>CHL SYS PINGELLY RD BULLARING</v>
          </cell>
          <cell r="H1345" t="str">
            <v>W7002249</v>
          </cell>
          <cell r="I1345" t="str">
            <v>LOT 71 PINGELLY RD</v>
          </cell>
          <cell r="J1345" t="str">
            <v>BULLARING WA 6373</v>
          </cell>
          <cell r="K1345" t="str">
            <v>0350003622</v>
          </cell>
        </row>
        <row r="1346">
          <cell r="G1346" t="str">
            <v>WPS CUNDERDIN A (OLD)</v>
          </cell>
          <cell r="H1346" t="str">
            <v>W0021015</v>
          </cell>
          <cell r="I1346" t="str">
            <v>LOT 417 CUBBINE ST</v>
          </cell>
          <cell r="J1346" t="str">
            <v>CUNDERDIN WA 6407</v>
          </cell>
          <cell r="K1346" t="str">
            <v>0214003555</v>
          </cell>
        </row>
        <row r="1347">
          <cell r="G1347" t="str">
            <v>SPS THE ESPLANADE STH MT PLEASANT</v>
          </cell>
          <cell r="H1347" t="str">
            <v>S0033863</v>
          </cell>
          <cell r="I1347" t="str">
            <v>THE ESPLANADE</v>
          </cell>
          <cell r="J1347" t="str">
            <v>MOUNT PLEASANT WA 6153</v>
          </cell>
          <cell r="K1347" t="str">
            <v>450M22319</v>
          </cell>
        </row>
        <row r="1348">
          <cell r="G1348" t="str">
            <v>EFFLUENT REUSE WWTP WALPOLE</v>
          </cell>
          <cell r="H1348" t="str">
            <v>S8006777</v>
          </cell>
          <cell r="I1348" t="str">
            <v>LOT1 1685 ALLEN RD</v>
          </cell>
          <cell r="J1348" t="str">
            <v>WALPOLE WA 6398</v>
          </cell>
          <cell r="K1348" t="str">
            <v>0380001987</v>
          </cell>
        </row>
        <row r="1349">
          <cell r="G1349" t="str">
            <v>BORE SITE M560</v>
          </cell>
          <cell r="H1349" t="str">
            <v>W1006284</v>
          </cell>
          <cell r="I1349" t="str">
            <v>CAMBERWELL RD</v>
          </cell>
          <cell r="J1349" t="str">
            <v>BALGA WA 6061</v>
          </cell>
          <cell r="K1349" t="str">
            <v>0148005900</v>
          </cell>
        </row>
        <row r="1350">
          <cell r="G1350" t="str">
            <v>SPS HILL VIEW TCE ST JAMES</v>
          </cell>
          <cell r="H1350" t="str">
            <v>S0033009</v>
          </cell>
          <cell r="I1350" t="str">
            <v>136 HILL VIEW TCE</v>
          </cell>
          <cell r="J1350" t="str">
            <v>ST JAMES WA 6102</v>
          </cell>
          <cell r="K1350" t="str">
            <v>002101449</v>
          </cell>
        </row>
        <row r="1351">
          <cell r="G1351" t="str">
            <v>BULK WATER TRANSFER SCHEMES</v>
          </cell>
          <cell r="H1351" t="str">
            <v>W002</v>
          </cell>
          <cell r="I1351" t="str">
            <v>LOT 658 MAY DR</v>
          </cell>
          <cell r="J1351" t="str">
            <v>NOLLAMARA WA 6061</v>
          </cell>
          <cell r="K1351" t="str">
            <v>15M221568</v>
          </cell>
        </row>
        <row r="1352">
          <cell r="G1352" t="str">
            <v>BORE SITE W100</v>
          </cell>
          <cell r="H1352" t="str">
            <v>W1001563</v>
          </cell>
          <cell r="I1352" t="str">
            <v>U41 10 WANDOO RD</v>
          </cell>
          <cell r="J1352" t="str">
            <v>PINJAR WA 6078</v>
          </cell>
          <cell r="K1352" t="str">
            <v>0148005020</v>
          </cell>
        </row>
        <row r="1353">
          <cell r="G1353" t="str">
            <v>SPS THE OUTLOOK BAYONET HEAD</v>
          </cell>
          <cell r="H1353" t="str">
            <v>S7001190</v>
          </cell>
          <cell r="I1353" t="str">
            <v>THE OUTLOOK</v>
          </cell>
          <cell r="J1353" t="str">
            <v>BAYONET HEAD WA 6330</v>
          </cell>
          <cell r="K1353" t="str">
            <v>0180018868</v>
          </cell>
        </row>
        <row r="1354">
          <cell r="G1354"/>
          <cell r="H1354" t="e">
            <v>#N/A</v>
          </cell>
          <cell r="I1354" t="str">
            <v>LOT 148 LORD ST</v>
          </cell>
          <cell r="J1354" t="str">
            <v>HENLEY BROOK WA 6055</v>
          </cell>
          <cell r="K1354" t="str">
            <v>0136001184</v>
          </cell>
        </row>
        <row r="1355">
          <cell r="G1355" t="str">
            <v>SPS ST IVES LOOP KALLAROO</v>
          </cell>
          <cell r="H1355" t="str">
            <v>S0028646</v>
          </cell>
          <cell r="I1355" t="str">
            <v>U42 ST IVES LOOP</v>
          </cell>
          <cell r="J1355" t="str">
            <v>KALLAROO WA 6025</v>
          </cell>
          <cell r="K1355" t="str">
            <v>0148001272</v>
          </cell>
        </row>
        <row r="1356">
          <cell r="G1356" t="str">
            <v>WPS HARRIS DAM HARRIS RIVER</v>
          </cell>
          <cell r="H1356" t="str">
            <v>W0046387</v>
          </cell>
          <cell r="I1356" t="str">
            <v>HARRIS RIVER RD</v>
          </cell>
          <cell r="J1356" t="str">
            <v>COLLIE WA 6225</v>
          </cell>
          <cell r="K1356" t="str">
            <v>0214000255</v>
          </cell>
        </row>
        <row r="1357">
          <cell r="G1357" t="str">
            <v>WSC CARNAMAH</v>
          </cell>
          <cell r="H1357" t="str">
            <v>W0040277</v>
          </cell>
          <cell r="I1357" t="str">
            <v>LOT 98 RAILWAY AVE</v>
          </cell>
          <cell r="J1357" t="str">
            <v>CARNAMAH WA 6517</v>
          </cell>
          <cell r="K1357" t="str">
            <v>410M116445</v>
          </cell>
        </row>
        <row r="1358">
          <cell r="G1358" t="str">
            <v>WWTP WONGAN HILLS</v>
          </cell>
          <cell r="H1358" t="str">
            <v>S015-002</v>
          </cell>
          <cell r="I1358" t="str">
            <v>LOT 2 DEPOT RD</v>
          </cell>
          <cell r="J1358" t="str">
            <v>WONGAN HILLS WA 6603</v>
          </cell>
          <cell r="K1358" t="str">
            <v>0180028515</v>
          </cell>
        </row>
        <row r="1359">
          <cell r="G1359" t="str">
            <v>SPS KYBRA MEWS ROCKINGHAM</v>
          </cell>
          <cell r="H1359" t="str">
            <v>S0030438</v>
          </cell>
          <cell r="I1359" t="str">
            <v>17 KYBRA MEWS</v>
          </cell>
          <cell r="J1359" t="str">
            <v>ROCKINGHAM WA 6168</v>
          </cell>
          <cell r="K1359" t="str">
            <v>410M152054</v>
          </cell>
        </row>
        <row r="1360">
          <cell r="G1360" t="str">
            <v>BORE SITE M520</v>
          </cell>
          <cell r="H1360" t="str">
            <v>W1006276</v>
          </cell>
          <cell r="I1360" t="str">
            <v>BEACH RD</v>
          </cell>
          <cell r="J1360" t="str">
            <v>GIRRAWHEEN  WA  6064</v>
          </cell>
          <cell r="K1360" t="str">
            <v>0148002517</v>
          </cell>
        </row>
        <row r="1361">
          <cell r="G1361" t="str">
            <v>SPS STANFORD RD KALLAROO</v>
          </cell>
          <cell r="H1361" t="str">
            <v>S0028653</v>
          </cell>
          <cell r="I1361" t="str">
            <v>LOT 470 STANFORD RD</v>
          </cell>
          <cell r="J1361" t="str">
            <v>KALLAROO WA 6025</v>
          </cell>
          <cell r="K1361" t="str">
            <v>0350031240</v>
          </cell>
        </row>
        <row r="1362">
          <cell r="G1362" t="str">
            <v>BORE 04-98 VASSE YALLINGUP SIDING RD SC</v>
          </cell>
          <cell r="H1362" t="str">
            <v>W8001297</v>
          </cell>
          <cell r="I1362" t="str">
            <v>LOT 504 VASSE YALLINGUP RD</v>
          </cell>
          <cell r="J1362" t="str">
            <v>QUINDALUP WA 6281</v>
          </cell>
          <cell r="K1362" t="str">
            <v>0248000502</v>
          </cell>
        </row>
        <row r="1363">
          <cell r="G1363" t="str">
            <v>#THE LANE TEMP SPS 900-27</v>
          </cell>
          <cell r="H1363" t="str">
            <v>S0032041</v>
          </cell>
          <cell r="I1363" t="str">
            <v>11 THE LANE</v>
          </cell>
          <cell r="J1363" t="str">
            <v>CHURCHLANDS WA 6018</v>
          </cell>
          <cell r="K1363" t="str">
            <v>410M196542</v>
          </cell>
        </row>
        <row r="1364">
          <cell r="G1364" t="str">
            <v>TANK EL 180M3 WSC HAYWARD ST DARDANUP</v>
          </cell>
          <cell r="H1364" t="str">
            <v>W0045560</v>
          </cell>
          <cell r="I1364" t="str">
            <v>LOT 51 HAYWARD ST</v>
          </cell>
          <cell r="J1364" t="str">
            <v>DARDANUP WA 6236</v>
          </cell>
          <cell r="K1364" t="str">
            <v>15M95702</v>
          </cell>
        </row>
        <row r="1365">
          <cell r="G1365" t="str">
            <v>WPS MARVEL LOCH</v>
          </cell>
          <cell r="H1365" t="str">
            <v>W5008050</v>
          </cell>
          <cell r="I1365" t="str">
            <v>LOC 806 MARVEL LOCH RD</v>
          </cell>
          <cell r="J1365" t="str">
            <v>SOUTHERN CROSS WA 6426</v>
          </cell>
          <cell r="K1365" t="str">
            <v>0180004087</v>
          </cell>
        </row>
        <row r="1366">
          <cell r="G1366" t="str">
            <v>SPS FOURTH ST HARVEY</v>
          </cell>
          <cell r="H1366" t="str">
            <v>S0044659</v>
          </cell>
          <cell r="I1366" t="str">
            <v>LOT 3 FOURTH ST</v>
          </cell>
          <cell r="J1366" t="str">
            <v>HARVEY WA 6220</v>
          </cell>
          <cell r="K1366" t="str">
            <v>0148002892</v>
          </cell>
        </row>
        <row r="1367">
          <cell r="G1367" t="str">
            <v>SPS ROSEWOOD AV WOODLANDS</v>
          </cell>
          <cell r="H1367" t="str">
            <v>S0032028</v>
          </cell>
          <cell r="I1367" t="str">
            <v>U42 LOT 353 ROSEWOOD AVE</v>
          </cell>
          <cell r="J1367" t="str">
            <v>WOODLANDS WA 6018</v>
          </cell>
          <cell r="K1367" t="str">
            <v>0102000276</v>
          </cell>
        </row>
        <row r="1368">
          <cell r="G1368" t="str">
            <v>BORE 10-00 BREMER BAY</v>
          </cell>
          <cell r="H1368" t="str">
            <v>W7000489</v>
          </cell>
          <cell r="I1368" t="str">
            <v>LOC 205 WELLSTEAD RD</v>
          </cell>
          <cell r="J1368" t="str">
            <v>BREMER BAY WA 6338</v>
          </cell>
          <cell r="K1368" t="str">
            <v>410M231061</v>
          </cell>
        </row>
        <row r="1369">
          <cell r="G1369" t="str">
            <v>WPS LAKES RD NAMBEELUP</v>
          </cell>
          <cell r="H1369" t="str">
            <v>W8004874</v>
          </cell>
          <cell r="I1369" t="str">
            <v>25 LAKES RD</v>
          </cell>
          <cell r="J1369" t="str">
            <v>NAMBEELUP WA 6207</v>
          </cell>
          <cell r="K1369" t="str">
            <v>0180025538</v>
          </cell>
        </row>
        <row r="1370">
          <cell r="G1370" t="str">
            <v>TREASURE RD CVS</v>
          </cell>
          <cell r="H1370" t="str">
            <v>W0012006</v>
          </cell>
          <cell r="I1370" t="str">
            <v>RAILWAY PDE</v>
          </cell>
          <cell r="J1370" t="str">
            <v>QUEENS PARK WA 6107</v>
          </cell>
          <cell r="K1370" t="str">
            <v>0350314099</v>
          </cell>
        </row>
        <row r="1371">
          <cell r="G1371" t="str">
            <v>SPS WALSH RTT BALDIVIS</v>
          </cell>
          <cell r="H1371" t="str">
            <v>S2016917</v>
          </cell>
          <cell r="I1371" t="str">
            <v>LOT 932 CLYDE AVE</v>
          </cell>
          <cell r="J1371" t="str">
            <v>BALDIVIS</v>
          </cell>
          <cell r="K1371" t="str">
            <v>0180028345</v>
          </cell>
        </row>
        <row r="1372">
          <cell r="G1372" t="str">
            <v>WPS BOTTLE CREEK NARROGIN</v>
          </cell>
          <cell r="H1372" t="str">
            <v>W7001747</v>
          </cell>
          <cell r="I1372" t="str">
            <v>LOT 234 COORAMINNING RD</v>
          </cell>
          <cell r="J1372" t="str">
            <v>DUMBERNING WA 6312</v>
          </cell>
          <cell r="K1372" t="str">
            <v>0295000055</v>
          </cell>
        </row>
        <row r="1373">
          <cell r="G1373" t="str">
            <v>DEPOT MIDDLETON ST DENMARK</v>
          </cell>
          <cell r="H1373" t="str">
            <v>C7000003</v>
          </cell>
          <cell r="I1373" t="str">
            <v>LOT 1059 MIDDLETON ST</v>
          </cell>
          <cell r="J1373" t="str">
            <v>DENMARK WA 6333</v>
          </cell>
          <cell r="K1373" t="str">
            <v>410M176215</v>
          </cell>
        </row>
        <row r="1374">
          <cell r="G1374" t="str">
            <v>SPS HERBERT ST MADDINGTON</v>
          </cell>
          <cell r="H1374" t="str">
            <v>S0033426</v>
          </cell>
          <cell r="I1374" t="str">
            <v>14 HERBERT ST</v>
          </cell>
          <cell r="J1374" t="str">
            <v>MADDINGTON WA 6109</v>
          </cell>
          <cell r="K1374" t="str">
            <v>450M22352</v>
          </cell>
        </row>
        <row r="1375">
          <cell r="G1375" t="str">
            <v>BORE 53-75 RACECOURSE</v>
          </cell>
          <cell r="H1375" t="str">
            <v>W0023446</v>
          </cell>
          <cell r="I1375" t="str">
            <v>RACECOURSE</v>
          </cell>
          <cell r="J1375" t="str">
            <v>CUTHBERT WA 6330</v>
          </cell>
          <cell r="K1375" t="str">
            <v>0134000276</v>
          </cell>
        </row>
        <row r="1376">
          <cell r="G1376" t="str">
            <v>SOUTH DANDALUP DAM</v>
          </cell>
          <cell r="H1376" t="str">
            <v>W0008262</v>
          </cell>
          <cell r="I1376" t="str">
            <v>LOC 970 FOREST RD</v>
          </cell>
          <cell r="J1376" t="str">
            <v>SOUTH DANDALUP WA 6207</v>
          </cell>
          <cell r="K1376" t="str">
            <v>410M161568</v>
          </cell>
        </row>
        <row r="1377">
          <cell r="G1377" t="str">
            <v>WPS COALSEAM RD NON POT SUPP MINGENEW</v>
          </cell>
          <cell r="H1377" t="str">
            <v>W4002170</v>
          </cell>
          <cell r="I1377" t="str">
            <v>373 COALSEAM RD</v>
          </cell>
          <cell r="J1377" t="str">
            <v>YARRAGADEE WA 6522</v>
          </cell>
          <cell r="K1377" t="str">
            <v>0380002160</v>
          </cell>
        </row>
        <row r="1378">
          <cell r="G1378" t="str">
            <v>WPS CAPE NATURALISTE RD DUNSBOROUGH</v>
          </cell>
          <cell r="H1378" t="str">
            <v>W0045673</v>
          </cell>
          <cell r="I1378" t="str">
            <v>LOC 358 NATURALISTE TCE</v>
          </cell>
          <cell r="J1378" t="str">
            <v>DUNSBOROUGH WA 6281</v>
          </cell>
          <cell r="K1378" t="str">
            <v>0148006481</v>
          </cell>
        </row>
        <row r="1379">
          <cell r="G1379" t="str">
            <v>SPS WARRADALE TCE LANDSDALE</v>
          </cell>
          <cell r="H1379" t="str">
            <v>S0029348</v>
          </cell>
          <cell r="I1379" t="str">
            <v>25 WARRADALE TCE</v>
          </cell>
          <cell r="J1379" t="str">
            <v>LANDSDALE WA 6065</v>
          </cell>
          <cell r="K1379" t="str">
            <v>0102000187</v>
          </cell>
        </row>
        <row r="1380">
          <cell r="G1380" t="str">
            <v>SPS PERTH CENTRAL PERTH</v>
          </cell>
          <cell r="H1380" t="str">
            <v>S0030922</v>
          </cell>
          <cell r="I1380" t="str">
            <v>LOT 894 MOUNTS BAY RD</v>
          </cell>
          <cell r="J1380" t="str">
            <v>PERTH WA 6000</v>
          </cell>
          <cell r="K1380" t="str">
            <v>0138000257</v>
          </cell>
        </row>
        <row r="1381">
          <cell r="G1381" t="str">
            <v>SPS LUNAR WY BECKENHAM</v>
          </cell>
          <cell r="H1381" t="str">
            <v>S0033028</v>
          </cell>
          <cell r="I1381" t="str">
            <v>U43 LOT 182 LUNAR WAY</v>
          </cell>
          <cell r="J1381" t="str">
            <v>BECKENHAM WA 6107</v>
          </cell>
          <cell r="K1381" t="str">
            <v>0148001638</v>
          </cell>
        </row>
        <row r="1382">
          <cell r="G1382" t="str">
            <v>SPS TEMP GLASS ST KALBARRI</v>
          </cell>
          <cell r="H1382" t="str">
            <v>S0037946</v>
          </cell>
          <cell r="I1382" t="str">
            <v>LOT 1000 GLASS ST</v>
          </cell>
          <cell r="J1382" t="str">
            <v>KALBARRI WA 6536</v>
          </cell>
          <cell r="K1382" t="str">
            <v>0380001028</v>
          </cell>
        </row>
        <row r="1383">
          <cell r="G1383" t="str">
            <v>STIRLING CHEMICAL DOSING PLANT</v>
          </cell>
          <cell r="H1383" t="str">
            <v>W1004408</v>
          </cell>
          <cell r="I1383" t="str">
            <v>LOT 4 QUINDANNING RD</v>
          </cell>
          <cell r="J1383" t="str">
            <v>HARVEY WA 6220</v>
          </cell>
          <cell r="K1383" t="str">
            <v>0140000962</v>
          </cell>
        </row>
        <row r="1384">
          <cell r="G1384" t="str">
            <v>WPS KOJONUP DAM</v>
          </cell>
          <cell r="H1384" t="str">
            <v>W049-005-003-002-003</v>
          </cell>
          <cell r="I1384" t="str">
            <v>ALBANY HWY</v>
          </cell>
          <cell r="J1384" t="str">
            <v>KOJONUP WA 6395</v>
          </cell>
          <cell r="K1384" t="str">
            <v>410M54152</v>
          </cell>
        </row>
        <row r="1385">
          <cell r="G1385" t="str">
            <v>DEPOT GERALDTON</v>
          </cell>
          <cell r="H1385" t="str">
            <v>C0036888</v>
          </cell>
          <cell r="I1385" t="str">
            <v>NORTH WEST COASTAL HWY</v>
          </cell>
          <cell r="J1385" t="str">
            <v>GERALDTON WA 6530</v>
          </cell>
          <cell r="K1385" t="str">
            <v>0136002191</v>
          </cell>
        </row>
        <row r="1386">
          <cell r="G1386" t="str">
            <v>KWINANA RECLAMATION PLANT</v>
          </cell>
          <cell r="H1386" t="str">
            <v>S1003031</v>
          </cell>
          <cell r="I1386" t="str">
            <v>MASON RD</v>
          </cell>
          <cell r="J1386" t="str">
            <v>KWINANA BEACH WA 6167</v>
          </cell>
          <cell r="K1386" t="str">
            <v>0295000058</v>
          </cell>
        </row>
        <row r="1387">
          <cell r="G1387" t="str">
            <v>CP TRU 2FLOR MAIN SPS FLORA ST MIDLAND</v>
          </cell>
          <cell r="H1387" t="str">
            <v>S2019278</v>
          </cell>
          <cell r="I1387" t="str">
            <v>46 MAXWELL RD</v>
          </cell>
          <cell r="J1387" t="str">
            <v>CAVERSHAM</v>
          </cell>
          <cell r="K1387" t="str">
            <v>15D095082</v>
          </cell>
        </row>
        <row r="1388">
          <cell r="G1388" t="str">
            <v>SPS STH WEST HWY DONNYBROOK</v>
          </cell>
          <cell r="H1388" t="str">
            <v>S8000492</v>
          </cell>
          <cell r="I1388" t="str">
            <v>118 SOUTH WESTERN HWY</v>
          </cell>
          <cell r="J1388" t="str">
            <v>DONNYBROOK WA 6239</v>
          </cell>
          <cell r="K1388" t="str">
            <v>410M201127</v>
          </cell>
        </row>
        <row r="1389">
          <cell r="G1389" t="str">
            <v>BORE 01-70 ELLEKER</v>
          </cell>
          <cell r="H1389" t="str">
            <v>W0022771</v>
          </cell>
          <cell r="I1389" t="str">
            <v>LOC 402 MILLAR RD</v>
          </cell>
          <cell r="J1389" t="str">
            <v>ELLEKER WA 6330</v>
          </cell>
          <cell r="K1389" t="str">
            <v>410AM17161</v>
          </cell>
        </row>
        <row r="1390">
          <cell r="G1390" t="str">
            <v>CDP OLD PADBURY RD BALINGUP</v>
          </cell>
          <cell r="H1390" t="str">
            <v>W8005088</v>
          </cell>
          <cell r="I1390" t="str">
            <v>LOC 6366 OLD PADBURY RD</v>
          </cell>
          <cell r="J1390" t="str">
            <v>BALINGUP WA 6253</v>
          </cell>
          <cell r="K1390" t="str">
            <v>410M149454</v>
          </cell>
        </row>
        <row r="1391">
          <cell r="G1391" t="str">
            <v>WPS WARDANDI DR DUNSBOROUGH TRANSFER</v>
          </cell>
          <cell r="H1391" t="str">
            <v>W0045665</v>
          </cell>
          <cell r="I1391" t="str">
            <v>LOT 106 WARDANDI DR</v>
          </cell>
          <cell r="J1391" t="str">
            <v>DUNSBOROUGH WA 6281</v>
          </cell>
          <cell r="K1391" t="str">
            <v>15M276811</v>
          </cell>
        </row>
        <row r="1392">
          <cell r="G1392" t="str">
            <v>DPS HARRINGTON WATERS DR WAIKIKI</v>
          </cell>
          <cell r="H1392" t="str">
            <v>D2000135</v>
          </cell>
          <cell r="I1392" t="str">
            <v>CUMBRIA AVE</v>
          </cell>
          <cell r="J1392" t="str">
            <v>WAIKIKI WA 6169</v>
          </cell>
          <cell r="K1392" t="str">
            <v>0380000594</v>
          </cell>
        </row>
        <row r="1393">
          <cell r="G1393" t="str">
            <v>SPS REILLY RD WONTHELLA</v>
          </cell>
          <cell r="H1393" t="str">
            <v>S4001089</v>
          </cell>
          <cell r="I1393" t="str">
            <v>REILLY RD</v>
          </cell>
          <cell r="J1393" t="str">
            <v>GERALDTON WA 6530</v>
          </cell>
          <cell r="K1393" t="str">
            <v>0380001179</v>
          </cell>
        </row>
        <row r="1394">
          <cell r="G1394" t="str">
            <v>SPS PINETREE GULLY STH WILLETTON</v>
          </cell>
          <cell r="H1394" t="str">
            <v>S0034358</v>
          </cell>
          <cell r="I1394" t="str">
            <v>155 PINETREE GULLY RD</v>
          </cell>
          <cell r="J1394" t="str">
            <v>WILLETTON WA 6155</v>
          </cell>
          <cell r="K1394" t="str">
            <v>0081000097</v>
          </cell>
        </row>
        <row r="1395">
          <cell r="G1395" t="str">
            <v>SPS CANNING BEACH RD APPLECROSS</v>
          </cell>
          <cell r="H1395" t="str">
            <v>S0033614</v>
          </cell>
          <cell r="I1395" t="str">
            <v>CANNING BEACH ROAD</v>
          </cell>
          <cell r="J1395" t="str">
            <v>APPLECROSS</v>
          </cell>
          <cell r="K1395" t="str">
            <v>0148001660</v>
          </cell>
        </row>
        <row r="1396">
          <cell r="G1396" t="str">
            <v>SPS DUNSTAN ST SOUTH BUNBURY</v>
          </cell>
          <cell r="H1396" t="str">
            <v>S0044046</v>
          </cell>
          <cell r="I1396" t="str">
            <v>LOT 165 DUNSTAN ST</v>
          </cell>
          <cell r="J1396" t="str">
            <v>BUNBURY WA 6230</v>
          </cell>
          <cell r="K1396" t="str">
            <v>0350044610</v>
          </cell>
        </row>
        <row r="1397">
          <cell r="G1397" t="str">
            <v>SPS TWYFORD PL INNALOO</v>
          </cell>
          <cell r="H1397" t="str">
            <v>S0028671</v>
          </cell>
          <cell r="I1397" t="str">
            <v>LOT 111 TWYFORD PL</v>
          </cell>
          <cell r="J1397" t="str">
            <v>INNALOO WA 6018</v>
          </cell>
          <cell r="K1397" t="str">
            <v>450M14350</v>
          </cell>
        </row>
        <row r="1398">
          <cell r="G1398" t="str">
            <v>BOREFIELD GUILDERTON</v>
          </cell>
          <cell r="H1398" t="str">
            <v>W0041632</v>
          </cell>
          <cell r="I1398" t="str">
            <v>UNIT 54 GUILDERTON RD</v>
          </cell>
          <cell r="J1398" t="str">
            <v>GINGIN WA 6503</v>
          </cell>
          <cell r="K1398" t="str">
            <v>002100204</v>
          </cell>
        </row>
        <row r="1399">
          <cell r="G1399" t="str">
            <v>BORE 02-95 HAPPY VALLEY</v>
          </cell>
          <cell r="H1399" t="str">
            <v>W7001266</v>
          </cell>
          <cell r="I1399" t="str">
            <v>LOC 10793 GREAT SOUTHERN HWY</v>
          </cell>
          <cell r="J1399" t="str">
            <v>BROOKTON WA 6306</v>
          </cell>
          <cell r="K1399" t="str">
            <v>002101423</v>
          </cell>
        </row>
        <row r="1400">
          <cell r="G1400" t="str">
            <v>SPS PATSTONE RD COLLIE</v>
          </cell>
          <cell r="H1400" t="str">
            <v>S0044410</v>
          </cell>
          <cell r="I1400" t="str">
            <v>PATSTONE RD</v>
          </cell>
          <cell r="J1400" t="str">
            <v>COLLIE WA 6225</v>
          </cell>
          <cell r="K1400" t="str">
            <v>0180023568</v>
          </cell>
        </row>
        <row r="1401">
          <cell r="G1401"/>
          <cell r="H1401" t="e">
            <v>#N/A</v>
          </cell>
          <cell r="I1401" t="str">
            <v>273 BANNISTER RD</v>
          </cell>
          <cell r="J1401" t="str">
            <v>CANNING VALE WA 6155</v>
          </cell>
          <cell r="K1401" t="str">
            <v>0221000023</v>
          </cell>
        </row>
        <row r="1402">
          <cell r="G1402" t="str">
            <v>SPS EIGHTY RD NTH BALDIVIS</v>
          </cell>
          <cell r="H1402" t="str">
            <v>S0030344</v>
          </cell>
          <cell r="I1402" t="str">
            <v>LOT 241 EIGHTY RD</v>
          </cell>
          <cell r="J1402" t="str">
            <v>BALDIVIS WA 6171</v>
          </cell>
          <cell r="K1402" t="str">
            <v>0148006331</v>
          </cell>
        </row>
        <row r="1403">
          <cell r="G1403" t="str">
            <v>SPS GOSS AV KARAWARA</v>
          </cell>
          <cell r="H1403" t="str">
            <v>S0034053</v>
          </cell>
          <cell r="I1403" t="str">
            <v>GOSS AVE</v>
          </cell>
          <cell r="J1403" t="str">
            <v>MANNING WA 6152</v>
          </cell>
          <cell r="K1403" t="str">
            <v>0180010121</v>
          </cell>
        </row>
        <row r="1404">
          <cell r="G1404" t="str">
            <v>WPS MOLLERIN</v>
          </cell>
          <cell r="H1404" t="str">
            <v>W0019615</v>
          </cell>
          <cell r="I1404" t="str">
            <v>LOT 1317 BONNIE ROCK-BURAKIN RD</v>
          </cell>
          <cell r="J1404" t="str">
            <v>MOLLERIN WA 6475</v>
          </cell>
          <cell r="K1404" t="str">
            <v>0180026340</v>
          </cell>
        </row>
        <row r="1405">
          <cell r="G1405" t="str">
            <v>YANCHEP BEACH RD SPS</v>
          </cell>
          <cell r="H1405" t="str">
            <v>S2018321</v>
          </cell>
          <cell r="I1405" t="str">
            <v>24 YANCHEP RD</v>
          </cell>
          <cell r="J1405" t="str">
            <v>CARABOODA WA 6033</v>
          </cell>
          <cell r="K1405" t="str">
            <v>0348003119</v>
          </cell>
        </row>
        <row r="1406">
          <cell r="G1406" t="str">
            <v>SPS MARLBOROUGH ST MOSMAN PARK</v>
          </cell>
          <cell r="H1406" t="str">
            <v>S0032654</v>
          </cell>
          <cell r="I1406" t="str">
            <v>34 HAYES TCE</v>
          </cell>
          <cell r="J1406" t="str">
            <v>MOSMAN PARK WA 6012</v>
          </cell>
          <cell r="K1406" t="str">
            <v>0280004124</v>
          </cell>
        </row>
        <row r="1407">
          <cell r="G1407" t="str">
            <v>BOREFIELD BOYANUP</v>
          </cell>
          <cell r="H1407" t="str">
            <v>W0045363</v>
          </cell>
          <cell r="I1407" t="str">
            <v>WILLIAM ST</v>
          </cell>
          <cell r="J1407" t="str">
            <v>BOYANUP WA 6237</v>
          </cell>
          <cell r="K1407" t="str">
            <v>0148003748</v>
          </cell>
        </row>
        <row r="1408">
          <cell r="G1408" t="str">
            <v>SPS BUSSELL HWY WEST BROADWATER</v>
          </cell>
          <cell r="H1408" t="str">
            <v>S0044284</v>
          </cell>
          <cell r="I1408" t="str">
            <v>LOT 4 BUSSELL HWY</v>
          </cell>
          <cell r="J1408" t="str">
            <v>BUSSELTON  WA  6280</v>
          </cell>
          <cell r="K1408" t="str">
            <v>0148005434</v>
          </cell>
        </row>
        <row r="1409">
          <cell r="G1409" t="str">
            <v>SPS BUXTON RD WEMBLEY DOWNS</v>
          </cell>
          <cell r="H1409" t="str">
            <v>S0031986</v>
          </cell>
          <cell r="I1409" t="str">
            <v>35 BUXTON RD</v>
          </cell>
          <cell r="J1409" t="str">
            <v>WEMBLEY WA 6019</v>
          </cell>
          <cell r="K1409" t="str">
            <v>0148003060</v>
          </cell>
        </row>
        <row r="1410">
          <cell r="G1410" t="str">
            <v>WPS PETRUDOR NORTH</v>
          </cell>
          <cell r="H1410" t="str">
            <v>W0019620</v>
          </cell>
          <cell r="I1410" t="str">
            <v>LOC 662 CENTRE RD</v>
          </cell>
          <cell r="J1410" t="str">
            <v>PITHARA WA 6608</v>
          </cell>
          <cell r="K1410" t="str">
            <v>210M36210</v>
          </cell>
        </row>
        <row r="1411">
          <cell r="G1411" t="str">
            <v>SPS CAPEL DR CAPEL</v>
          </cell>
          <cell r="H1411" t="str">
            <v>S0044367</v>
          </cell>
          <cell r="I1411" t="str">
            <v>LOT 23 CAPEL DR</v>
          </cell>
          <cell r="J1411" t="str">
            <v>CAPEL WA 6271</v>
          </cell>
          <cell r="K1411" t="str">
            <v>0248000394</v>
          </cell>
        </row>
        <row r="1412">
          <cell r="G1412" t="str">
            <v>SPS GIBBS RD COLLIE</v>
          </cell>
          <cell r="H1412" t="str">
            <v>S0044400</v>
          </cell>
          <cell r="I1412" t="str">
            <v>GIBBS RD</v>
          </cell>
          <cell r="J1412" t="str">
            <v>COLLIE WA 6225</v>
          </cell>
          <cell r="K1412" t="str">
            <v>0350027254</v>
          </cell>
        </row>
        <row r="1413">
          <cell r="G1413" t="str">
            <v>SPS COUNTRY RD BOVELL</v>
          </cell>
          <cell r="H1413" t="str">
            <v>S0044305</v>
          </cell>
          <cell r="I1413" t="str">
            <v>3 COUNTRY RD</v>
          </cell>
          <cell r="J1413" t="str">
            <v>BOVELL WA 6280</v>
          </cell>
          <cell r="K1413" t="str">
            <v>410M185177</v>
          </cell>
        </row>
        <row r="1414">
          <cell r="G1414" t="str">
            <v>SPS EASTFIELD CT FERNDALE</v>
          </cell>
          <cell r="H1414" t="str">
            <v>S0034284</v>
          </cell>
          <cell r="I1414" t="str">
            <v>U43 LOT 5 EASTFIELD CT</v>
          </cell>
          <cell r="J1414" t="str">
            <v>FERNDALE WA 6148</v>
          </cell>
          <cell r="K1414" t="str">
            <v>0148005918</v>
          </cell>
        </row>
        <row r="1415">
          <cell r="G1415" t="str">
            <v>SPS CLYDESDALE ST COMO</v>
          </cell>
          <cell r="H1415" t="str">
            <v>S0034017</v>
          </cell>
          <cell r="I1415" t="str">
            <v>CLYDESDALE ST</v>
          </cell>
          <cell r="J1415" t="str">
            <v>COMO WA 6152</v>
          </cell>
          <cell r="K1415" t="str">
            <v>410M10078</v>
          </cell>
        </row>
        <row r="1416">
          <cell r="G1416" t="str">
            <v>TANK GL 1 WSC DOODLAKINE</v>
          </cell>
          <cell r="H1416" t="str">
            <v>W0020129</v>
          </cell>
          <cell r="I1416" t="str">
            <v>LOC 26 MORISON RD</v>
          </cell>
          <cell r="J1416" t="str">
            <v>SOUTH DOODLAKINE WA 6411</v>
          </cell>
          <cell r="K1416" t="str">
            <v>0200368943</v>
          </cell>
        </row>
        <row r="1417">
          <cell r="G1417" t="str">
            <v>WPS KALANNIE STANDPIPE</v>
          </cell>
          <cell r="H1417" t="str">
            <v>W0019732</v>
          </cell>
          <cell r="I1417" t="str">
            <v>LOT 160 HATHWAY DR</v>
          </cell>
          <cell r="J1417" t="str">
            <v>KALANNIE WA 6468</v>
          </cell>
          <cell r="K1417" t="str">
            <v>410M87735</v>
          </cell>
        </row>
        <row r="1418">
          <cell r="G1418" t="str">
            <v>WPS SERVICE TANK JERRAMUNGUP</v>
          </cell>
          <cell r="H1418" t="str">
            <v>W0023065</v>
          </cell>
          <cell r="I1418" t="str">
            <v>LOT 221 LANCASTER RD</v>
          </cell>
          <cell r="J1418" t="str">
            <v>JERRAMUNGUP WA 6337</v>
          </cell>
          <cell r="K1418" t="str">
            <v>410M117915</v>
          </cell>
        </row>
        <row r="1419">
          <cell r="G1419" t="str">
            <v>SPS OLD PINJARRA RD GREENFIELDS</v>
          </cell>
          <cell r="H1419" t="str">
            <v>S0044787</v>
          </cell>
          <cell r="I1419" t="str">
            <v>LOT 77 TERANCA RD</v>
          </cell>
          <cell r="J1419" t="str">
            <v>GREENFIELDS WA 6210</v>
          </cell>
          <cell r="K1419" t="str">
            <v>410M41395</v>
          </cell>
        </row>
        <row r="1420">
          <cell r="G1420"/>
          <cell r="H1420" t="e">
            <v>#N/A</v>
          </cell>
          <cell r="I1420" t="str">
            <v>2 PATTERSON ST</v>
          </cell>
          <cell r="J1420" t="str">
            <v>COLLIE WA 6225</v>
          </cell>
          <cell r="K1420" t="str">
            <v>410M97961</v>
          </cell>
        </row>
        <row r="1421">
          <cell r="G1421" t="str">
            <v>SPS DONALD DR SAFETY BAY</v>
          </cell>
          <cell r="H1421" t="str">
            <v>S0030412</v>
          </cell>
          <cell r="I1421" t="str">
            <v>21 DONALD DR</v>
          </cell>
          <cell r="J1421" t="str">
            <v>SAFETY BAY WA 6169</v>
          </cell>
          <cell r="K1421" t="str">
            <v>0081000100</v>
          </cell>
        </row>
        <row r="1422">
          <cell r="G1422" t="str">
            <v>BORE SITE M310</v>
          </cell>
          <cell r="H1422" t="str">
            <v>W1001341</v>
          </cell>
          <cell r="I1422" t="str">
            <v>LOT 310M GNANGARA RD</v>
          </cell>
          <cell r="J1422" t="str">
            <v>CULLACABARDEE WA 6067</v>
          </cell>
          <cell r="K1422" t="str">
            <v>0148004078</v>
          </cell>
        </row>
        <row r="1423">
          <cell r="G1423" t="str">
            <v>SPS BEACH ST FREMANTLE</v>
          </cell>
          <cell r="H1423" t="str">
            <v>S0033186</v>
          </cell>
          <cell r="I1423" t="str">
            <v>BEACH ST</v>
          </cell>
          <cell r="J1423" t="str">
            <v>FREMANTLE WA 6160</v>
          </cell>
          <cell r="K1423" t="str">
            <v>450M22324</v>
          </cell>
        </row>
        <row r="1424">
          <cell r="G1424" t="str">
            <v>SPS FORREST ST PINJARRA</v>
          </cell>
          <cell r="H1424" t="str">
            <v>S0044966</v>
          </cell>
          <cell r="I1424" t="str">
            <v>LOT 77 HENRY ST</v>
          </cell>
          <cell r="J1424" t="str">
            <v>PINJARRA WA 6208</v>
          </cell>
          <cell r="K1424" t="str">
            <v>0148002191</v>
          </cell>
        </row>
        <row r="1425">
          <cell r="G1425" t="str">
            <v>BORE SITE M500</v>
          </cell>
          <cell r="H1425" t="str">
            <v>W1006272</v>
          </cell>
          <cell r="I1425" t="str">
            <v>BEACH RD</v>
          </cell>
          <cell r="J1425" t="str">
            <v>KOONDOOLA  WA  6064</v>
          </cell>
          <cell r="K1425" t="str">
            <v>0148002515</v>
          </cell>
        </row>
        <row r="1426">
          <cell r="G1426" t="str">
            <v>RESERVOIR WSC MINNIVALE</v>
          </cell>
          <cell r="H1426" t="str">
            <v>W0019759</v>
          </cell>
          <cell r="I1426" t="str">
            <v>LOC 9363 RABBIT PROOF FENCE RD</v>
          </cell>
          <cell r="J1426" t="str">
            <v>MINNIVALE WA 6462</v>
          </cell>
          <cell r="K1426" t="str">
            <v>15M20829</v>
          </cell>
        </row>
        <row r="1427">
          <cell r="G1427" t="str">
            <v>WPS PEET RD ROLEYSTONE</v>
          </cell>
          <cell r="H1427" t="str">
            <v>W0035287</v>
          </cell>
          <cell r="I1427" t="str">
            <v>LOT 10 PEET RD</v>
          </cell>
          <cell r="J1427" t="str">
            <v>ROLEYSTONE WA 6111</v>
          </cell>
          <cell r="K1427" t="str">
            <v>0211000733</v>
          </cell>
        </row>
        <row r="1428">
          <cell r="G1428" t="str">
            <v>DPS BEELIAR DR YANGEBUP</v>
          </cell>
          <cell r="H1428" t="str">
            <v>D0036703</v>
          </cell>
          <cell r="I1428" t="str">
            <v>LOT 404 BEELIAR DR</v>
          </cell>
          <cell r="J1428" t="str">
            <v>BEELIAR WA 6164</v>
          </cell>
          <cell r="K1428" t="str">
            <v>450M22854</v>
          </cell>
        </row>
        <row r="1429">
          <cell r="G1429" t="str">
            <v>WPS GRASS VALLEY</v>
          </cell>
          <cell r="H1429" t="str">
            <v>W0021075</v>
          </cell>
          <cell r="I1429" t="str">
            <v>GREAT EASTERN HWY</v>
          </cell>
          <cell r="J1429" t="str">
            <v>GRASS VALLEY WA 6403</v>
          </cell>
          <cell r="K1429" t="str">
            <v>0211000493</v>
          </cell>
        </row>
        <row r="1430">
          <cell r="G1430" t="str">
            <v>WPS DOVER CR WEMBLEY DOWNS</v>
          </cell>
          <cell r="H1430" t="str">
            <v>W0034526</v>
          </cell>
          <cell r="I1430" t="str">
            <v>LOT 653 9 DOVER CRES</v>
          </cell>
          <cell r="J1430" t="str">
            <v>WEMBLEY DOWNS WA 6019</v>
          </cell>
          <cell r="K1430" t="str">
            <v>0248000095</v>
          </cell>
        </row>
        <row r="1431">
          <cell r="G1431" t="str">
            <v>SPS STEERE ST COLLIE</v>
          </cell>
          <cell r="H1431" t="str">
            <v>S0044420</v>
          </cell>
          <cell r="I1431" t="str">
            <v>LOT 22 STEERE ST</v>
          </cell>
          <cell r="J1431" t="str">
            <v>COLLIE WA 6225</v>
          </cell>
          <cell r="K1431" t="str">
            <v>0180013841</v>
          </cell>
        </row>
        <row r="1432">
          <cell r="G1432" t="str">
            <v>BORE SITE W30</v>
          </cell>
          <cell r="H1432" t="str">
            <v>W1001549</v>
          </cell>
          <cell r="I1432" t="str">
            <v>LOT 30W SILVER RD</v>
          </cell>
          <cell r="J1432" t="str">
            <v>JANDABUP WA 6065</v>
          </cell>
          <cell r="K1432" t="str">
            <v>0248000102</v>
          </cell>
        </row>
        <row r="1433">
          <cell r="G1433" t="str">
            <v>SPS IRWIN ST FREMANTLE</v>
          </cell>
          <cell r="H1433" t="str">
            <v>S0033728</v>
          </cell>
          <cell r="I1433" t="str">
            <v>LOT 156 MARMION ST</v>
          </cell>
          <cell r="J1433" t="str">
            <v>FREMANTLE WA 6160</v>
          </cell>
          <cell r="K1433" t="str">
            <v>0380000718</v>
          </cell>
        </row>
        <row r="1434">
          <cell r="G1434" t="str">
            <v>BOREFIELD BADGINGARRA</v>
          </cell>
          <cell r="H1434" t="str">
            <v>W0040456</v>
          </cell>
          <cell r="I1434" t="str">
            <v>U54 LOT 178 MCCANN ST</v>
          </cell>
          <cell r="J1434" t="str">
            <v>BADGINGARRA WA 6521</v>
          </cell>
          <cell r="K1434" t="str">
            <v>0148000079</v>
          </cell>
        </row>
        <row r="1435">
          <cell r="G1435" t="str">
            <v>TANK GL 1 WSC KELLERBERRIN NORTH</v>
          </cell>
          <cell r="H1435" t="str">
            <v>W0019969</v>
          </cell>
          <cell r="I1435" t="str">
            <v>LOT 20032 BENCUBBIN-KELLERBERRIN RD</v>
          </cell>
          <cell r="J1435" t="str">
            <v>KELLERBERRIN WA 6410</v>
          </cell>
          <cell r="K1435" t="str">
            <v>15M142038</v>
          </cell>
        </row>
        <row r="1436">
          <cell r="G1436"/>
          <cell r="H1436" t="e">
            <v>#N/A</v>
          </cell>
          <cell r="I1436" t="str">
            <v>LOT 467 HILLVIEW RD</v>
          </cell>
          <cell r="J1436" t="str">
            <v>AUGUSTA WA 6290</v>
          </cell>
          <cell r="K1436" t="str">
            <v>410M167084</v>
          </cell>
        </row>
        <row r="1437">
          <cell r="G1437"/>
          <cell r="H1437" t="e">
            <v>#N/A</v>
          </cell>
          <cell r="I1437" t="str">
            <v>ELLIS ST</v>
          </cell>
          <cell r="J1437" t="str">
            <v>DALWALLINU WA 6609</v>
          </cell>
          <cell r="K1437" t="str">
            <v>410M109477</v>
          </cell>
        </row>
        <row r="1438">
          <cell r="G1438" t="str">
            <v>BORE SITE M50</v>
          </cell>
          <cell r="H1438" t="str">
            <v>W1001385</v>
          </cell>
          <cell r="I1438" t="str">
            <v>LOT 50M BEECHBORO RD NORTH</v>
          </cell>
          <cell r="J1438" t="str">
            <v>WHITEMAN WA 6068</v>
          </cell>
          <cell r="K1438" t="str">
            <v>0148005953</v>
          </cell>
        </row>
        <row r="1439">
          <cell r="G1439" t="str">
            <v>WPS WALGOOLAN</v>
          </cell>
          <cell r="H1439" t="str">
            <v>W5011995</v>
          </cell>
          <cell r="I1439" t="str">
            <v>LOT 30 GREAT EASTERN HWY</v>
          </cell>
          <cell r="J1439" t="str">
            <v>WALGOOLAN WA 6422</v>
          </cell>
          <cell r="K1439" t="str">
            <v>0295000068</v>
          </cell>
        </row>
        <row r="1440">
          <cell r="G1440" t="str">
            <v>DPS SURREY ST DIANELLA</v>
          </cell>
          <cell r="H1440" t="str">
            <v>D0036073</v>
          </cell>
          <cell r="I1440" t="str">
            <v>SURREY ST</v>
          </cell>
          <cell r="J1440" t="str">
            <v>DIANELLA WA 6059</v>
          </cell>
          <cell r="K1440" t="str">
            <v>0350321498</v>
          </cell>
        </row>
        <row r="1441">
          <cell r="G1441" t="str">
            <v>DPS ABBETT PARK SCARBOROUGH</v>
          </cell>
          <cell r="H1441" t="str">
            <v>D0036260</v>
          </cell>
          <cell r="I1441" t="str">
            <v>JOYCE ST</v>
          </cell>
          <cell r="J1441" t="str">
            <v>SCARBOROUGH WA 6019</v>
          </cell>
          <cell r="K1441" t="str">
            <v>410M117703</v>
          </cell>
        </row>
        <row r="1442">
          <cell r="G1442" t="str">
            <v>SPS FORREST ST PALMYRA</v>
          </cell>
          <cell r="H1442" t="str">
            <v>S0033700</v>
          </cell>
          <cell r="I1442" t="str">
            <v>FORREST ST</v>
          </cell>
          <cell r="J1442" t="str">
            <v>PALMYRA WA 6157</v>
          </cell>
          <cell r="K1442" t="str">
            <v>0148006678</v>
          </cell>
        </row>
        <row r="1443">
          <cell r="G1443" t="str">
            <v>SPS KIDSON ST HARVEY</v>
          </cell>
          <cell r="H1443" t="str">
            <v>S0044674</v>
          </cell>
          <cell r="I1443" t="str">
            <v>KIDSON ST</v>
          </cell>
          <cell r="J1443" t="str">
            <v>HARVEY WA 6220</v>
          </cell>
          <cell r="K1443" t="str">
            <v>0180033277</v>
          </cell>
        </row>
        <row r="1444">
          <cell r="G1444" t="str">
            <v>SPS KARRI LOOP MARGARET RIVER</v>
          </cell>
          <cell r="H1444" t="str">
            <v>S0044913</v>
          </cell>
          <cell r="I1444" t="str">
            <v>28 KARRI LOOP</v>
          </cell>
          <cell r="J1444" t="str">
            <v>MARGARET RIVER WA 6285</v>
          </cell>
          <cell r="K1444" t="str">
            <v>0148005435</v>
          </cell>
        </row>
        <row r="1445">
          <cell r="G1445" t="str">
            <v>SPS LUCY VICTORIA AV WEST AUSTRALIND</v>
          </cell>
          <cell r="H1445" t="str">
            <v>S8008403</v>
          </cell>
          <cell r="I1445" t="str">
            <v>LOT 502 LUCY VICTORIA AVE</v>
          </cell>
          <cell r="J1445" t="str">
            <v>AUSTRALIND WA 6233</v>
          </cell>
          <cell r="K1445" t="str">
            <v>0380009291</v>
          </cell>
        </row>
        <row r="1446">
          <cell r="G1446" t="str">
            <v>SPS BADGERUP BVD LAKELANDS</v>
          </cell>
          <cell r="H1446" t="str">
            <v>S8009182</v>
          </cell>
          <cell r="I1446" t="str">
            <v>LOT 3000 BADGERUP AVE</v>
          </cell>
          <cell r="J1446" t="str">
            <v>LAKELANDS WA 6180</v>
          </cell>
          <cell r="K1446" t="str">
            <v>0380015906</v>
          </cell>
        </row>
        <row r="1447">
          <cell r="G1447" t="str">
            <v>SPS HELSTON AV CITY BEACH</v>
          </cell>
          <cell r="H1447" t="str">
            <v>S0031993</v>
          </cell>
          <cell r="I1447" t="str">
            <v>U42 LOT 42 HELSTON AVE</v>
          </cell>
          <cell r="J1447" t="str">
            <v>CITY BEACH WA 6015</v>
          </cell>
          <cell r="K1447" t="str">
            <v>0148001056</v>
          </cell>
        </row>
        <row r="1448">
          <cell r="G1448" t="str">
            <v>BORE SITE WT90</v>
          </cell>
          <cell r="H1448" t="str">
            <v>W1001258</v>
          </cell>
          <cell r="I1448" t="str">
            <v>LOT 8850 COPPERHEAD AVE</v>
          </cell>
          <cell r="J1448" t="str">
            <v>PADBURY WA 6025</v>
          </cell>
          <cell r="K1448" t="str">
            <v>0211000453</v>
          </cell>
        </row>
        <row r="1449">
          <cell r="G1449" t="str">
            <v>SPS BURRENDAH BVD WILLETTON</v>
          </cell>
          <cell r="H1449" t="str">
            <v>S0034230</v>
          </cell>
          <cell r="I1449" t="str">
            <v>130 BURRENDAH BVD</v>
          </cell>
          <cell r="J1449" t="str">
            <v>WILLETTON WA 6155</v>
          </cell>
          <cell r="K1449" t="str">
            <v>0081000148</v>
          </cell>
        </row>
        <row r="1450">
          <cell r="G1450" t="str">
            <v>BULK WATER TRANSFER SCHEMES</v>
          </cell>
          <cell r="H1450" t="str">
            <v>W002</v>
          </cell>
          <cell r="I1450" t="str">
            <v>GOSSAGE RD</v>
          </cell>
          <cell r="J1450" t="str">
            <v>BYFORD WA 6122</v>
          </cell>
          <cell r="K1450" t="str">
            <v>15D085911</v>
          </cell>
        </row>
        <row r="1451">
          <cell r="G1451" t="str">
            <v>WPS CHARDONNAY AV MARGARET RIVER BOOSTER</v>
          </cell>
          <cell r="H1451" t="str">
            <v>W0046084</v>
          </cell>
          <cell r="I1451" t="str">
            <v>2 CHARDONNAY AVE</v>
          </cell>
          <cell r="J1451" t="str">
            <v>MARGARET RIVER WA 6285</v>
          </cell>
          <cell r="K1451" t="str">
            <v>410M186388</v>
          </cell>
        </row>
        <row r="1452">
          <cell r="G1452" t="str">
            <v>SPS CORANDER GARDENS CARINE</v>
          </cell>
          <cell r="H1452" t="str">
            <v>S0028397</v>
          </cell>
          <cell r="I1452" t="str">
            <v>U42 EVERINGHAM ST</v>
          </cell>
          <cell r="J1452" t="str">
            <v>CARINE WA 6020</v>
          </cell>
          <cell r="K1452" t="str">
            <v>0348000597</v>
          </cell>
        </row>
        <row r="1453">
          <cell r="G1453" t="str">
            <v>CHLORINATOR 2 CHL WARDELOCKING</v>
          </cell>
          <cell r="H1453" t="str">
            <v>WZ012539</v>
          </cell>
          <cell r="I1453" t="str">
            <v>LOT 15676 GT SOUTHERN HWAY</v>
          </cell>
          <cell r="J1453" t="str">
            <v>WAGIN</v>
          </cell>
          <cell r="K1453" t="str">
            <v>15D054863</v>
          </cell>
        </row>
        <row r="1454">
          <cell r="G1454" t="str">
            <v>SPS DALYELLUP BVD DALYELLUP</v>
          </cell>
          <cell r="H1454" t="str">
            <v>S8000443</v>
          </cell>
          <cell r="I1454" t="str">
            <v>LOT 805 NORTON PROM</v>
          </cell>
          <cell r="J1454" t="str">
            <v>DALYELLUP WA 6230</v>
          </cell>
          <cell r="K1454" t="str">
            <v>0148004565</v>
          </cell>
        </row>
        <row r="1455">
          <cell r="G1455" t="str">
            <v>TANK GL 2250M3 WSC WILLIAMS WAY AUSTRALI</v>
          </cell>
          <cell r="H1455" t="str">
            <v>W0045177</v>
          </cell>
          <cell r="I1455" t="str">
            <v>U51 19 WILLIAMS WAY</v>
          </cell>
          <cell r="J1455" t="str">
            <v>AUSTRALIND WA 6233</v>
          </cell>
          <cell r="K1455" t="str">
            <v>000000000136006350</v>
          </cell>
        </row>
        <row r="1456">
          <cell r="G1456" t="str">
            <v>BOREFIELD WEST BOLGART</v>
          </cell>
          <cell r="H1456" t="str">
            <v>W0040468</v>
          </cell>
          <cell r="I1456" t="str">
            <v>LOC 317 BOLGART WEST RD</v>
          </cell>
          <cell r="J1456" t="str">
            <v>BOLGART WA 6568</v>
          </cell>
          <cell r="K1456" t="str">
            <v>0200368084</v>
          </cell>
        </row>
        <row r="1457">
          <cell r="G1457" t="str">
            <v>BORE 16-85 MT HILL ALLANOOKA</v>
          </cell>
          <cell r="H1457" t="str">
            <v>W0039249</v>
          </cell>
          <cell r="I1457" t="str">
            <v>LOCN 640M ALLANOOKA SPRINGS RD</v>
          </cell>
          <cell r="J1457" t="str">
            <v>ALLANOOKA WA 6525</v>
          </cell>
          <cell r="K1457" t="str">
            <v>0148006161</v>
          </cell>
        </row>
        <row r="1458">
          <cell r="G1458" t="str">
            <v>CHL SYS HYPO BULLS ST KULIN</v>
          </cell>
          <cell r="H1458" t="str">
            <v>W7000385</v>
          </cell>
          <cell r="I1458" t="str">
            <v>LOT 14185 KULIN-LAKE GRACE RD</v>
          </cell>
          <cell r="J1458" t="str">
            <v>KULIN WA 6365</v>
          </cell>
          <cell r="K1458" t="str">
            <v>15M300173</v>
          </cell>
        </row>
        <row r="1459">
          <cell r="G1459" t="str">
            <v>SPS BUSSELL HWY STH MARGARET RIVER</v>
          </cell>
          <cell r="H1459" t="str">
            <v>S8000907</v>
          </cell>
          <cell r="I1459" t="str">
            <v>LOT 54 BUSSELL HWY</v>
          </cell>
          <cell r="J1459" t="str">
            <v>MARGARET RIVER WA 6285</v>
          </cell>
          <cell r="K1459" t="str">
            <v>0136000805</v>
          </cell>
        </row>
        <row r="1460">
          <cell r="G1460" t="str">
            <v>SPS ANACONDA DR GOSNELLS</v>
          </cell>
          <cell r="H1460" t="str">
            <v>S0033360</v>
          </cell>
          <cell r="I1460" t="str">
            <v>LOT 2 ANACONDA DRVE</v>
          </cell>
          <cell r="J1460" t="str">
            <v>GOSNELLS WA 6110</v>
          </cell>
          <cell r="K1460" t="str">
            <v>0221000020</v>
          </cell>
        </row>
        <row r="1461">
          <cell r="G1461" t="str">
            <v>WPS DAM 3 RAVENSTHORPE</v>
          </cell>
          <cell r="H1461" t="str">
            <v>W0023881</v>
          </cell>
          <cell r="I1461" t="str">
            <v>HOPETOUN RD</v>
          </cell>
          <cell r="J1461" t="str">
            <v>RAVENSTHORPE WA 6346</v>
          </cell>
          <cell r="K1461" t="str">
            <v>0348002914</v>
          </cell>
        </row>
        <row r="1462">
          <cell r="G1462" t="str">
            <v>WPS ALBANY HWY CHORKERUP</v>
          </cell>
          <cell r="H1462" t="str">
            <v>W0023096</v>
          </cell>
          <cell r="I1462" t="str">
            <v>LOCN 5737 MILLSTREAM RD</v>
          </cell>
          <cell r="J1462" t="str">
            <v>ALBANY WA 6330</v>
          </cell>
          <cell r="K1462" t="str">
            <v>0211001438</v>
          </cell>
        </row>
        <row r="1463">
          <cell r="G1463" t="str">
            <v>DEPOT HURLEY ST QUAIRADING</v>
          </cell>
          <cell r="H1463" t="str">
            <v>C0013639</v>
          </cell>
          <cell r="I1463" t="str">
            <v>LOT 365 HURLEY ST</v>
          </cell>
          <cell r="J1463" t="str">
            <v>QUAIRADING WA 6383</v>
          </cell>
          <cell r="K1463" t="str">
            <v>0180010889</v>
          </cell>
        </row>
        <row r="1464">
          <cell r="G1464" t="str">
            <v>WPS 1 BEVERLEY BOOSTER</v>
          </cell>
          <cell r="H1464" t="str">
            <v>W0018925</v>
          </cell>
          <cell r="I1464" t="str">
            <v>SUBURBAN RD</v>
          </cell>
          <cell r="J1464" t="str">
            <v>YORK</v>
          </cell>
          <cell r="K1464" t="str">
            <v>0134000180</v>
          </cell>
        </row>
        <row r="1465">
          <cell r="G1465" t="str">
            <v>BORE SITE L600</v>
          </cell>
          <cell r="H1465" t="str">
            <v>W1001411</v>
          </cell>
          <cell r="I1465" t="str">
            <v>LOT 600 GALAH RD</v>
          </cell>
          <cell r="J1465" t="str">
            <v>BULLSBROOK WA 6084</v>
          </cell>
          <cell r="K1465" t="str">
            <v>0148006320</v>
          </cell>
        </row>
        <row r="1466">
          <cell r="G1466" t="str">
            <v>SPS EPSOM AV CLOVERDALE</v>
          </cell>
          <cell r="H1466" t="str">
            <v>S0034034</v>
          </cell>
          <cell r="I1466" t="str">
            <v>LOT 61 EPSOM AVE</v>
          </cell>
          <cell r="J1466" t="str">
            <v>REDCLIFFE WA 6104</v>
          </cell>
          <cell r="K1466" t="str">
            <v>410M187738</v>
          </cell>
        </row>
        <row r="1467">
          <cell r="G1467" t="str">
            <v>SPS BUCKINGHAM WAY COLLIE</v>
          </cell>
          <cell r="H1467" t="str">
            <v>S0044385</v>
          </cell>
          <cell r="I1467" t="str">
            <v>46 BUCKINGHAM WAY</v>
          </cell>
          <cell r="J1467" t="str">
            <v>COLLIE WA 6225</v>
          </cell>
          <cell r="K1467" t="str">
            <v>410M154802</v>
          </cell>
        </row>
        <row r="1468">
          <cell r="G1468" t="str">
            <v>SPS MARITIME DR JINDALEE</v>
          </cell>
          <cell r="H1468" t="str">
            <v>S2023084</v>
          </cell>
          <cell r="I1468" t="str">
            <v>LOT 8016 MARITIME DRIVE</v>
          </cell>
          <cell r="J1468" t="str">
            <v>JINDALEE  WA  6036</v>
          </cell>
          <cell r="K1468" t="str">
            <v>0350030635</v>
          </cell>
        </row>
        <row r="1469">
          <cell r="G1469" t="str">
            <v>SPS FOURTH AVE MANDURAH</v>
          </cell>
          <cell r="H1469" t="str">
            <v>S0044710</v>
          </cell>
          <cell r="I1469" t="str">
            <v>FIFTH AVE</v>
          </cell>
          <cell r="J1469" t="str">
            <v>MANDURAH WA 6210</v>
          </cell>
          <cell r="K1469" t="str">
            <v>410M178082</v>
          </cell>
        </row>
        <row r="1470">
          <cell r="G1470" t="str">
            <v>SP TREATED WATER WPS ARROWSMITH</v>
          </cell>
          <cell r="H1470" t="str">
            <v>W4000518</v>
          </cell>
          <cell r="I1470" t="str">
            <v>LOCN 973 INDIAN OCEAN DR</v>
          </cell>
          <cell r="J1470" t="str">
            <v>ARROWSMITH WA 6525</v>
          </cell>
          <cell r="K1470" t="str">
            <v>0136006009</v>
          </cell>
        </row>
        <row r="1471">
          <cell r="G1471" t="str">
            <v>SPS KING RD STH EAST BUNBURY</v>
          </cell>
          <cell r="H1471" t="str">
            <v>S0044070</v>
          </cell>
          <cell r="I1471" t="str">
            <v>LOT 39 KING RD</v>
          </cell>
          <cell r="J1471" t="str">
            <v>BUNBURY WA 6230</v>
          </cell>
          <cell r="K1471" t="str">
            <v>410M107954</v>
          </cell>
        </row>
        <row r="1472">
          <cell r="G1472" t="str">
            <v>WSC GRIFFES REWARD RD TARIN ROCK</v>
          </cell>
          <cell r="H1472" t="str">
            <v>W7000007</v>
          </cell>
          <cell r="I1472" t="str">
            <v>LOC 10790 GRIFFINS REWARD ROAD</v>
          </cell>
          <cell r="J1472" t="str">
            <v>NEENDALING WA 6353</v>
          </cell>
          <cell r="K1472" t="str">
            <v>410M305089</v>
          </cell>
        </row>
        <row r="1473">
          <cell r="G1473" t="str">
            <v>BORE SITE J380</v>
          </cell>
          <cell r="H1473" t="str">
            <v>W1001479</v>
          </cell>
          <cell r="I1473" t="str">
            <v>LOT 380 SOLOMON RD</v>
          </cell>
          <cell r="J1473" t="str">
            <v>JANDAKOT WA 6164</v>
          </cell>
          <cell r="K1473" t="str">
            <v>0148006124</v>
          </cell>
        </row>
        <row r="1474">
          <cell r="G1474" t="str">
            <v>SPS VERMILION BVD HILBERT</v>
          </cell>
          <cell r="H1474" t="str">
            <v>S2019226</v>
          </cell>
          <cell r="I1474" t="str">
            <v>60 VERMILION BVD</v>
          </cell>
          <cell r="J1474" t="str">
            <v>HILBERT WA 6112</v>
          </cell>
          <cell r="K1474" t="str">
            <v>0380014500</v>
          </cell>
        </row>
        <row r="1475">
          <cell r="G1475" t="str">
            <v>BORE SITE P100</v>
          </cell>
          <cell r="H1475" t="str">
            <v>W1001510</v>
          </cell>
          <cell r="I1475" t="str">
            <v>LOT 100P PERRY RD</v>
          </cell>
          <cell r="J1475" t="str">
            <v>PINJAR WA 6065</v>
          </cell>
          <cell r="K1475" t="str">
            <v>0136000393</v>
          </cell>
        </row>
        <row r="1476">
          <cell r="G1476" t="str">
            <v>SPS ALBERT ST NORTH PERTH</v>
          </cell>
          <cell r="H1476" t="str">
            <v>S0031642</v>
          </cell>
          <cell r="I1476" t="str">
            <v>ALBERT ST</v>
          </cell>
          <cell r="J1476" t="str">
            <v>NORTH PERTH WA 6006</v>
          </cell>
          <cell r="K1476" t="str">
            <v>0350008515</v>
          </cell>
        </row>
        <row r="1477">
          <cell r="G1477" t="str">
            <v>CDP BOUNDARY RD WAGERUP</v>
          </cell>
          <cell r="H1477" t="str">
            <v>W0046419</v>
          </cell>
          <cell r="I1477" t="str">
            <v>LOCN 4201 HOFFMAN RD</v>
          </cell>
          <cell r="J1477" t="str">
            <v>YARLOOP WA 6218</v>
          </cell>
          <cell r="K1477" t="str">
            <v>0148006243</v>
          </cell>
        </row>
        <row r="1478">
          <cell r="G1478" t="str">
            <v>SPS WANNEROO RD HAMERSLEY</v>
          </cell>
          <cell r="H1478" t="str">
            <v>S0028687</v>
          </cell>
          <cell r="I1478" t="str">
            <v>WANNEROO RD</v>
          </cell>
          <cell r="J1478" t="str">
            <v>BALGA WA 6061</v>
          </cell>
          <cell r="K1478" t="str">
            <v>410M128451</v>
          </cell>
        </row>
        <row r="1479">
          <cell r="G1479" t="str">
            <v>MAIN PM SPS MAY ST NARROGIN</v>
          </cell>
          <cell r="H1479" t="str">
            <v>S028-002-002-001</v>
          </cell>
          <cell r="I1479" t="str">
            <v>25 MAY ST</v>
          </cell>
          <cell r="J1479" t="str">
            <v>NARROGIN WA 6312</v>
          </cell>
          <cell r="K1479" t="str">
            <v>410M113312</v>
          </cell>
        </row>
        <row r="1480">
          <cell r="G1480" t="str">
            <v>SPS NEWTON ST SPEARWOOD</v>
          </cell>
          <cell r="H1480" t="str">
            <v>S0033293</v>
          </cell>
          <cell r="I1480" t="str">
            <v>LOT 508 NEWTON ST</v>
          </cell>
          <cell r="J1480" t="str">
            <v>SPEARWOOD WA 6163</v>
          </cell>
          <cell r="K1480" t="str">
            <v>410M108521</v>
          </cell>
        </row>
        <row r="1481">
          <cell r="G1481" t="str">
            <v>BORE SITE M530</v>
          </cell>
          <cell r="H1481" t="str">
            <v>W1006278</v>
          </cell>
          <cell r="I1481" t="str">
            <v>REDCLIFFE AVE</v>
          </cell>
          <cell r="J1481" t="str">
            <v>BALGA WA 6061</v>
          </cell>
          <cell r="K1481" t="str">
            <v>0148002518</v>
          </cell>
        </row>
        <row r="1482">
          <cell r="G1482"/>
          <cell r="H1482" t="e">
            <v>#N/A</v>
          </cell>
          <cell r="I1482" t="str">
            <v>U42 COBHAM AVE</v>
          </cell>
          <cell r="J1482" t="str">
            <v>NOLLAMARA</v>
          </cell>
          <cell r="K1482" t="str">
            <v>410L07523</v>
          </cell>
        </row>
        <row r="1483">
          <cell r="G1483" t="str">
            <v>SPS DISTINCTION RD WANGARA</v>
          </cell>
          <cell r="H1483" t="str">
            <v>S2019213</v>
          </cell>
          <cell r="I1483" t="str">
            <v>112 DISTINCTION RD</v>
          </cell>
          <cell r="J1483" t="str">
            <v>WANGARA WA 6065</v>
          </cell>
          <cell r="K1483" t="str">
            <v>0350002857</v>
          </cell>
        </row>
        <row r="1484">
          <cell r="G1484" t="str">
            <v>BORE 01-95 HAPPY VALLEY</v>
          </cell>
          <cell r="H1484" t="str">
            <v>W0022825</v>
          </cell>
          <cell r="I1484" t="str">
            <v>LOC 8523 GREAT SOUTHERN HWY</v>
          </cell>
          <cell r="J1484" t="str">
            <v>BROOKTON WA 6307</v>
          </cell>
          <cell r="K1484" t="str">
            <v>0148005022</v>
          </cell>
        </row>
        <row r="1485">
          <cell r="G1485" t="str">
            <v>JUDD STREET CVS</v>
          </cell>
          <cell r="H1485" t="str">
            <v>W0012648</v>
          </cell>
          <cell r="I1485" t="str">
            <v>JUDD ST</v>
          </cell>
          <cell r="J1485" t="str">
            <v>SOUTH PERTH WA 6151</v>
          </cell>
          <cell r="K1485" t="str">
            <v>410M2003870</v>
          </cell>
        </row>
        <row r="1486">
          <cell r="G1486" t="str">
            <v>CADDADUP WWTP OLD COAST RD DAWESVILLE</v>
          </cell>
          <cell r="H1486" t="str">
            <v>S096-001-003</v>
          </cell>
          <cell r="I1486" t="str">
            <v>LOT 1955 OLD COAST RD</v>
          </cell>
          <cell r="J1486" t="str">
            <v>DAWESVILLE WA 6211</v>
          </cell>
          <cell r="K1486" t="str">
            <v>0214000077</v>
          </cell>
        </row>
        <row r="1487">
          <cell r="G1487" t="str">
            <v>WPS ATFIELD RD YORK</v>
          </cell>
          <cell r="H1487" t="str">
            <v>W5007230</v>
          </cell>
          <cell r="I1487" t="str">
            <v>LOT 290 ATTFIELD RD</v>
          </cell>
          <cell r="J1487" t="str">
            <v>YORK WA 6302</v>
          </cell>
          <cell r="K1487" t="str">
            <v>210M38005</v>
          </cell>
        </row>
        <row r="1488">
          <cell r="G1488" t="str">
            <v>BORE 02-95 SANDPATCH</v>
          </cell>
          <cell r="H1488" t="str">
            <v>W0023614</v>
          </cell>
          <cell r="I1488" t="str">
            <v>LOT 78 SPRING ST</v>
          </cell>
          <cell r="J1488" t="str">
            <v>LITTLE GROVE WA 6330</v>
          </cell>
          <cell r="K1488" t="str">
            <v>0148006437</v>
          </cell>
        </row>
        <row r="1489">
          <cell r="G1489" t="str">
            <v>SPS MH881 FITZGERALD ST NORTHAM</v>
          </cell>
          <cell r="H1489" t="str">
            <v>S0016644</v>
          </cell>
          <cell r="I1489" t="str">
            <v>LOT 358 FITZGERALD ST</v>
          </cell>
          <cell r="J1489" t="str">
            <v>NORTHAM WA 6401</v>
          </cell>
          <cell r="K1489" t="str">
            <v>410M45845</v>
          </cell>
        </row>
        <row r="1490">
          <cell r="G1490" t="str">
            <v>SPS DARWIN TCE DUDLEY PARK</v>
          </cell>
          <cell r="H1490" t="str">
            <v>S8000822</v>
          </cell>
          <cell r="I1490" t="str">
            <v>LOT 9001 DARWIN TCE</v>
          </cell>
          <cell r="J1490" t="str">
            <v>DUDLEY PARK WA 6210</v>
          </cell>
          <cell r="K1490" t="str">
            <v>410M230703</v>
          </cell>
        </row>
        <row r="1491">
          <cell r="G1491" t="str">
            <v>WPS OAKOVER RD MIDDLE SWAN</v>
          </cell>
          <cell r="H1491" t="str">
            <v>W0035374</v>
          </cell>
          <cell r="I1491" t="str">
            <v>246 OAKOVER RD</v>
          </cell>
          <cell r="J1491" t="str">
            <v>MIDDLE SWAN WA 6056</v>
          </cell>
          <cell r="K1491" t="str">
            <v>001100303</v>
          </cell>
        </row>
        <row r="1492">
          <cell r="G1492" t="str">
            <v>CHL SYS VARLEY RD PINGARING</v>
          </cell>
          <cell r="H1492" t="str">
            <v>W7003393</v>
          </cell>
          <cell r="I1492" t="str">
            <v>LOT 1300 PINGARING-VARLEY RD</v>
          </cell>
          <cell r="J1492" t="str">
            <v>PINGARING WA 6357</v>
          </cell>
          <cell r="K1492" t="str">
            <v>0149000221</v>
          </cell>
        </row>
        <row r="1493">
          <cell r="G1493" t="str">
            <v>SPS BISHOP RILEY WY CHURCHLANDS</v>
          </cell>
          <cell r="H1493" t="str">
            <v>S0031982</v>
          </cell>
          <cell r="I1493" t="str">
            <v>8 BISHOP RILEY WAY</v>
          </cell>
          <cell r="J1493" t="str">
            <v>CHURCHLANDS WA 6018</v>
          </cell>
          <cell r="K1493" t="str">
            <v>450M22335</v>
          </cell>
        </row>
        <row r="1494">
          <cell r="G1494" t="str">
            <v>SPS SHINES CR BRUNSWICK</v>
          </cell>
          <cell r="H1494" t="str">
            <v>S0043989</v>
          </cell>
          <cell r="I1494" t="str">
            <v>28A SHINES CRES</v>
          </cell>
          <cell r="J1494" t="str">
            <v>BRUNSWICK WA 6224</v>
          </cell>
          <cell r="K1494" t="str">
            <v>410M156592</v>
          </cell>
        </row>
        <row r="1495">
          <cell r="G1495" t="str">
            <v>BOREFIELD BOLGART</v>
          </cell>
          <cell r="H1495" t="str">
            <v>W0040486</v>
          </cell>
          <cell r="I1495" t="str">
            <v>LOT 6 BULL RD</v>
          </cell>
          <cell r="J1495" t="str">
            <v>BOLGART WA 6568</v>
          </cell>
          <cell r="K1495" t="str">
            <v>15M3000346</v>
          </cell>
        </row>
        <row r="1496">
          <cell r="G1496" t="str">
            <v>WPS HORSLEY RD DENMARK TRANFER</v>
          </cell>
          <cell r="H1496" t="str">
            <v>W045-002-001-004</v>
          </cell>
          <cell r="I1496" t="str">
            <v>RESERVE 26277 HORSLEY RD</v>
          </cell>
          <cell r="J1496" t="str">
            <v>DENMARK WA 6333</v>
          </cell>
          <cell r="K1496" t="str">
            <v>0148002025</v>
          </cell>
        </row>
        <row r="1497">
          <cell r="G1497" t="str">
            <v>BORE SITE J110</v>
          </cell>
          <cell r="H1497" t="str">
            <v>W1001451</v>
          </cell>
          <cell r="I1497" t="str">
            <v>LOT 3 WARTON RD</v>
          </cell>
          <cell r="J1497" t="str">
            <v>BANJUP WA 6164</v>
          </cell>
          <cell r="K1497" t="str">
            <v>0148006116</v>
          </cell>
        </row>
        <row r="1498">
          <cell r="G1498" t="str">
            <v>TREATMENT MODULE</v>
          </cell>
          <cell r="H1498" t="str">
            <v>W0004465</v>
          </cell>
          <cell r="I1498" t="str">
            <v>33 A BRYAN PL</v>
          </cell>
          <cell r="J1498" t="str">
            <v>STIRLING WA 6021</v>
          </cell>
          <cell r="K1498" t="str">
            <v>0095005010</v>
          </cell>
        </row>
        <row r="1499">
          <cell r="G1499" t="str">
            <v>SPS FORSYTH ST O'CONNOR</v>
          </cell>
          <cell r="H1499" t="str">
            <v>S0033217</v>
          </cell>
          <cell r="I1499" t="str">
            <v>LOT 3 FORSYTH ST</v>
          </cell>
          <cell r="J1499" t="str">
            <v>O'CONNOR WA 6163</v>
          </cell>
          <cell r="K1499" t="str">
            <v>410M132500</v>
          </cell>
        </row>
        <row r="1500">
          <cell r="G1500" t="str">
            <v>SPS DURLACHER ST GERALDTON</v>
          </cell>
          <cell r="H1500" t="str">
            <v>S0037788</v>
          </cell>
          <cell r="I1500" t="str">
            <v>LOT 33 DURLACHER ST</v>
          </cell>
          <cell r="J1500" t="str">
            <v>GERALDTON WA 6530</v>
          </cell>
          <cell r="K1500" t="str">
            <v>0136002739</v>
          </cell>
        </row>
        <row r="1501">
          <cell r="G1501" t="str">
            <v>SPS CHEDWORTH WY EDEN HILL</v>
          </cell>
          <cell r="H1501" t="str">
            <v>S0030092</v>
          </cell>
          <cell r="I1501" t="str">
            <v>LOT 1 CHEDWORTH WAY</v>
          </cell>
          <cell r="J1501" t="str">
            <v>EDEN HILL WA 6054</v>
          </cell>
          <cell r="K1501" t="str">
            <v>0148002665</v>
          </cell>
        </row>
        <row r="1502">
          <cell r="G1502" t="str">
            <v>SPS BLUESTONE PKWY SECRET HARBOUR</v>
          </cell>
          <cell r="H1502" t="str">
            <v>S2018407</v>
          </cell>
          <cell r="I1502" t="str">
            <v>LOT 9027 BLUESTONE PKWY</v>
          </cell>
          <cell r="J1502" t="str">
            <v>SECRET HARBOUR WA 6173</v>
          </cell>
          <cell r="K1502" t="str">
            <v>0380011927</v>
          </cell>
        </row>
        <row r="1503">
          <cell r="G1503" t="str">
            <v>WSC CARNAMAH</v>
          </cell>
          <cell r="H1503" t="str">
            <v>W0040277</v>
          </cell>
          <cell r="I1503" t="str">
            <v>LOT 1 TELEGRAPH RD</v>
          </cell>
          <cell r="J1503" t="str">
            <v>CARNAMAH WA 6517</v>
          </cell>
          <cell r="K1503" t="str">
            <v>15D107477</v>
          </cell>
        </row>
        <row r="1504">
          <cell r="G1504" t="str">
            <v>SPS NOLAN PL BAYSWATER</v>
          </cell>
          <cell r="H1504" t="str">
            <v>S0030196</v>
          </cell>
          <cell r="I1504" t="str">
            <v>LOT 121 NOLAN PL</v>
          </cell>
          <cell r="J1504" t="str">
            <v>BAYSWATER WA 6053</v>
          </cell>
          <cell r="K1504" t="str">
            <v>410M2002572</v>
          </cell>
        </row>
        <row r="1505">
          <cell r="G1505" t="str">
            <v>SPS RENDALL CL MARGARET RIVER</v>
          </cell>
          <cell r="H1505" t="str">
            <v>S0044919</v>
          </cell>
          <cell r="I1505" t="str">
            <v>LOT 3698 WATERS EDGE</v>
          </cell>
          <cell r="J1505" t="str">
            <v>MARGARET RIVER WA 6285</v>
          </cell>
          <cell r="K1505" t="str">
            <v>0148002187</v>
          </cell>
        </row>
        <row r="1506">
          <cell r="G1506" t="str">
            <v>TANK GL 1 MAIN CONDUIT BAKERS HILL</v>
          </cell>
          <cell r="H1506" t="str">
            <v>W0021251</v>
          </cell>
          <cell r="I1506" t="str">
            <v>LOT 254 KOOJEDDA RD</v>
          </cell>
          <cell r="J1506" t="str">
            <v>BAKERS HILL WA 6562</v>
          </cell>
          <cell r="K1506" t="str">
            <v>0348002901</v>
          </cell>
        </row>
        <row r="1507">
          <cell r="G1507" t="str">
            <v>VPS LAYMAN RD PORT GEOGRAPHE</v>
          </cell>
          <cell r="H1507" t="str">
            <v>S0044348</v>
          </cell>
          <cell r="I1507" t="str">
            <v>LOT 620 LAYMAN RD</v>
          </cell>
          <cell r="J1507" t="str">
            <v>BUSSELTON WA 6280</v>
          </cell>
          <cell r="K1507" t="str">
            <v>0148002010</v>
          </cell>
        </row>
        <row r="1508">
          <cell r="G1508" t="str">
            <v>RIVER STREET CMS</v>
          </cell>
          <cell r="H1508" t="str">
            <v>W0010753</v>
          </cell>
          <cell r="I1508" t="str">
            <v>LOT 12 RIVER ST</v>
          </cell>
          <cell r="J1508" t="str">
            <v>BASSENDEAN WA 6054</v>
          </cell>
          <cell r="K1508" t="str">
            <v>0200050591</v>
          </cell>
        </row>
        <row r="1509">
          <cell r="G1509" t="str">
            <v>SPS WEST COAST DR TRIGG</v>
          </cell>
          <cell r="H1509" t="str">
            <v>S2016892</v>
          </cell>
          <cell r="I1509" t="str">
            <v>WEST COAST DRIVE</v>
          </cell>
          <cell r="J1509" t="str">
            <v>TRIGG WA 6029</v>
          </cell>
          <cell r="K1509" t="str">
            <v>0380001459</v>
          </cell>
        </row>
        <row r="1510">
          <cell r="G1510" t="str">
            <v>SPS HOPE ST NORTH BEACH</v>
          </cell>
          <cell r="H1510" t="str">
            <v>S2013748</v>
          </cell>
          <cell r="I1510" t="str">
            <v>HOPE ST</v>
          </cell>
          <cell r="J1510" t="str">
            <v>NORTH BEACH WA 6020</v>
          </cell>
          <cell r="K1510" t="str">
            <v>0180020319</v>
          </cell>
        </row>
        <row r="1511">
          <cell r="G1511" t="str">
            <v>SPS NAVIGATOR DR SINGLETON</v>
          </cell>
          <cell r="H1511" t="str">
            <v>S0030533</v>
          </cell>
          <cell r="I1511" t="str">
            <v>LOT 993 NAVIGATOR DR</v>
          </cell>
          <cell r="J1511" t="str">
            <v>SINGLETON WA 6175</v>
          </cell>
          <cell r="K1511" t="str">
            <v>450M9803</v>
          </cell>
        </row>
        <row r="1512">
          <cell r="G1512" t="str">
            <v>SPS SHELDRAKE ST STIRLING</v>
          </cell>
          <cell r="H1512" t="str">
            <v>S0028629</v>
          </cell>
          <cell r="I1512" t="str">
            <v>LOT 183 SHELDRAKE ST</v>
          </cell>
          <cell r="J1512" t="str">
            <v>STIRLING WA 6021</v>
          </cell>
          <cell r="K1512" t="str">
            <v>0136004332</v>
          </cell>
        </row>
        <row r="1513">
          <cell r="G1513" t="str">
            <v>SPS HARRIS WY WESTMINSTER</v>
          </cell>
          <cell r="H1513" t="str">
            <v>S0028467</v>
          </cell>
          <cell r="I1513" t="str">
            <v>HARRIS WAY</v>
          </cell>
          <cell r="J1513" t="str">
            <v>WESTMINSTER WA 6061</v>
          </cell>
          <cell r="K1513" t="str">
            <v>410M84429</v>
          </cell>
        </row>
        <row r="1514">
          <cell r="G1514" t="str">
            <v>GARRETT ROAD NTH CMS</v>
          </cell>
          <cell r="H1514" t="str">
            <v>W0012564</v>
          </cell>
          <cell r="I1514" t="str">
            <v>GARRATT RD</v>
          </cell>
          <cell r="J1514" t="str">
            <v>BAYSWATER WA 6053</v>
          </cell>
          <cell r="K1514" t="str">
            <v>0280001245</v>
          </cell>
        </row>
        <row r="1515">
          <cell r="G1515" t="str">
            <v>SPS CASSOWARY DR BALLAJURA</v>
          </cell>
          <cell r="H1515" t="str">
            <v>S0028291</v>
          </cell>
          <cell r="I1515" t="str">
            <v>39 CASSOWARY DR</v>
          </cell>
          <cell r="J1515" t="str">
            <v>BALLAJURA WA 6066</v>
          </cell>
          <cell r="K1515" t="str">
            <v>0081000907</v>
          </cell>
        </row>
        <row r="1516">
          <cell r="G1516" t="str">
            <v>TANK BRONTI (OLD)</v>
          </cell>
          <cell r="H1516" t="str">
            <v>W0021259</v>
          </cell>
          <cell r="I1516" t="str">
            <v>LOC 5653 GREAT EASTERN HWY</v>
          </cell>
          <cell r="J1516" t="str">
            <v>SOUTHERN CROSS WA 6426</v>
          </cell>
          <cell r="K1516" t="str">
            <v>0200052792</v>
          </cell>
        </row>
        <row r="1517">
          <cell r="G1517" t="str">
            <v>WPS PORONGURUP</v>
          </cell>
          <cell r="H1517" t="str">
            <v>W058-001-001-001</v>
          </cell>
          <cell r="I1517" t="str">
            <v>L17 BOLGANUP DAM RD</v>
          </cell>
          <cell r="J1517" t="str">
            <v>PORONGORUP</v>
          </cell>
          <cell r="K1517" t="str">
            <v>210M17941</v>
          </cell>
        </row>
        <row r="1518">
          <cell r="G1518" t="str">
            <v>SPS RILEY ST COLLIE</v>
          </cell>
          <cell r="H1518" t="str">
            <v>S0044431</v>
          </cell>
          <cell r="I1518" t="str">
            <v>RILEY ST</v>
          </cell>
          <cell r="J1518" t="str">
            <v>COLLIE WA 6225</v>
          </cell>
          <cell r="K1518" t="str">
            <v>410M173477</v>
          </cell>
        </row>
        <row r="1519">
          <cell r="G1519"/>
          <cell r="H1519" t="e">
            <v>#N/A</v>
          </cell>
          <cell r="I1519" t="str">
            <v>LOT 22302 MOUNT BAKEWELL RD</v>
          </cell>
          <cell r="J1519" t="str">
            <v>YORK WA 6302</v>
          </cell>
          <cell r="K1519" t="str">
            <v>15M88201</v>
          </cell>
        </row>
        <row r="1520">
          <cell r="G1520" t="str">
            <v>SPS LEICESTER RMBL EATON</v>
          </cell>
          <cell r="H1520" t="str">
            <v>S8000806</v>
          </cell>
          <cell r="I1520" t="str">
            <v>LEICESTER RA</v>
          </cell>
          <cell r="J1520" t="str">
            <v>EATON WA 6232</v>
          </cell>
          <cell r="K1520" t="str">
            <v>410M204972</v>
          </cell>
        </row>
        <row r="1521">
          <cell r="G1521" t="str">
            <v>SPS AMAZON DR GREENFIELDS</v>
          </cell>
          <cell r="H1521" t="str">
            <v>S8006190</v>
          </cell>
          <cell r="I1521" t="str">
            <v>LOT 352 AMAZON DR</v>
          </cell>
          <cell r="J1521" t="str">
            <v>GREENFIELDS WA 6210</v>
          </cell>
          <cell r="K1521" t="str">
            <v>0180017695</v>
          </cell>
        </row>
        <row r="1522">
          <cell r="G1522" t="str">
            <v>SPS VILLAGE GRN MARGARET RIVER</v>
          </cell>
          <cell r="H1522" t="str">
            <v>S8000870</v>
          </cell>
          <cell r="I1522" t="str">
            <v>19 BOVELL AVE</v>
          </cell>
          <cell r="J1522" t="str">
            <v>MARGARET RIVER WA 6285</v>
          </cell>
          <cell r="K1522" t="str">
            <v>410M230071</v>
          </cell>
        </row>
        <row r="1523">
          <cell r="G1523" t="str">
            <v>STIRLING REG VALVE SITE</v>
          </cell>
          <cell r="H1523" t="str">
            <v>W1014271</v>
          </cell>
          <cell r="I1523" t="str">
            <v>LOT 230 SOUTH WEST HWY</v>
          </cell>
          <cell r="J1523" t="str">
            <v>HARVEY WA 6220</v>
          </cell>
          <cell r="K1523" t="str">
            <v>000000000348000057</v>
          </cell>
        </row>
        <row r="1524">
          <cell r="G1524" t="str">
            <v>BORE SITE W260</v>
          </cell>
          <cell r="H1524" t="str">
            <v>W1001579</v>
          </cell>
          <cell r="I1524" t="str">
            <v>LOT 260W TOWNSEND RD</v>
          </cell>
          <cell r="J1524" t="str">
            <v>JANDABUP WA 6065</v>
          </cell>
          <cell r="K1524" t="str">
            <v>0148004342</v>
          </cell>
        </row>
        <row r="1525">
          <cell r="G1525" t="str">
            <v>SPS TYDEMAN RD NORTH FREMANTLE</v>
          </cell>
          <cell r="H1525" t="str">
            <v>S0033156</v>
          </cell>
          <cell r="I1525" t="str">
            <v>54 TYDEMAN RD</v>
          </cell>
          <cell r="J1525" t="str">
            <v>NORTH FREMANTLE WA 6159</v>
          </cell>
          <cell r="K1525" t="str">
            <v>0148001613</v>
          </cell>
        </row>
        <row r="1526">
          <cell r="G1526" t="str">
            <v>SPS NEWTON ST ROBINSON</v>
          </cell>
          <cell r="H1526" t="str">
            <v>S7010422</v>
          </cell>
          <cell r="I1526" t="str">
            <v>LOT 0 NEWTON ST</v>
          </cell>
          <cell r="J1526" t="str">
            <v>ROBINSON WA 6330</v>
          </cell>
          <cell r="K1526" t="str">
            <v>000000000211000615</v>
          </cell>
        </row>
        <row r="1527">
          <cell r="G1527" t="str">
            <v>WTP DUNNET ST NANNUP</v>
          </cell>
          <cell r="H1527" t="str">
            <v>W0046143</v>
          </cell>
          <cell r="I1527" t="str">
            <v>44 CAREY ST</v>
          </cell>
          <cell r="J1527" t="str">
            <v>NANNUP WA 6275</v>
          </cell>
          <cell r="K1527" t="str">
            <v>410AM502170</v>
          </cell>
        </row>
        <row r="1528">
          <cell r="G1528" t="str">
            <v>SPS CLUBHOUSE DR DUNSBOROUGH</v>
          </cell>
          <cell r="H1528" t="str">
            <v>S0044465</v>
          </cell>
          <cell r="I1528" t="str">
            <v>LOT 702 CLUBHOUSE DR</v>
          </cell>
          <cell r="J1528" t="str">
            <v>DUNSBOROUGH WA 6281</v>
          </cell>
          <cell r="K1528" t="str">
            <v>0148005803</v>
          </cell>
        </row>
        <row r="1529">
          <cell r="G1529" t="str">
            <v>VPS SAFETY BAY RD NTH PERON</v>
          </cell>
          <cell r="H1529" t="str">
            <v>S0030467</v>
          </cell>
          <cell r="I1529" t="str">
            <v>SAFETY BAY RD</v>
          </cell>
          <cell r="J1529" t="str">
            <v>SAFETY BAY WA 6169</v>
          </cell>
          <cell r="K1529" t="str">
            <v>0148002003</v>
          </cell>
        </row>
        <row r="1530">
          <cell r="G1530" t="str">
            <v>BOREFIELD LANCELIN</v>
          </cell>
          <cell r="H1530" t="str">
            <v>W0041883</v>
          </cell>
          <cell r="I1530" t="str">
            <v>LOC 7268 BOOTOO ST</v>
          </cell>
          <cell r="J1530" t="str">
            <v>LANCELIN WA 6044</v>
          </cell>
          <cell r="K1530" t="str">
            <v>450M2000021</v>
          </cell>
        </row>
        <row r="1531">
          <cell r="G1531" t="str">
            <v>SPS WYNDHAM ST ST JAMES</v>
          </cell>
          <cell r="H1531" t="str">
            <v>S0033140</v>
          </cell>
          <cell r="I1531" t="str">
            <v>33 WYNDHAM ST</v>
          </cell>
          <cell r="J1531" t="str">
            <v>ST JAMES WA 6102</v>
          </cell>
          <cell r="K1531" t="str">
            <v>410M181851</v>
          </cell>
        </row>
        <row r="1532">
          <cell r="G1532" t="str">
            <v>BORE 01-97 PORT KALBARRI</v>
          </cell>
          <cell r="H1532" t="str">
            <v>W0041857</v>
          </cell>
          <cell r="I1532" t="str">
            <v>LOT 316 STILES ST</v>
          </cell>
          <cell r="J1532" t="str">
            <v>KALBARRI WA 6536</v>
          </cell>
          <cell r="K1532" t="str">
            <v>0148006443</v>
          </cell>
        </row>
        <row r="1533">
          <cell r="G1533" t="str">
            <v>SPS CONIFER PL BEECHBORO</v>
          </cell>
          <cell r="H1533" t="str">
            <v>S0030106</v>
          </cell>
          <cell r="I1533" t="str">
            <v>LOT 407 CONIFER PL</v>
          </cell>
          <cell r="J1533" t="str">
            <v>BEECHBORO WA 6063</v>
          </cell>
          <cell r="K1533" t="str">
            <v>410M13283</v>
          </cell>
        </row>
        <row r="1534">
          <cell r="G1534" t="str">
            <v>SPS WHIPPLE ST BALCATTA</v>
          </cell>
          <cell r="H1534" t="str">
            <v>S0028710</v>
          </cell>
          <cell r="I1534" t="str">
            <v>WHIPPLE ST</v>
          </cell>
          <cell r="J1534" t="str">
            <v>BALCATTA WA 6021</v>
          </cell>
          <cell r="K1534" t="str">
            <v>0136004151</v>
          </cell>
        </row>
        <row r="1535">
          <cell r="G1535" t="str">
            <v>WPS BAANDEE</v>
          </cell>
          <cell r="H1535" t="str">
            <v>W0020978</v>
          </cell>
          <cell r="I1535" t="str">
            <v>LOCN 2 GREAT EASTERN HWY</v>
          </cell>
          <cell r="J1535" t="str">
            <v>BAANDEE WA 6412</v>
          </cell>
          <cell r="K1535" t="str">
            <v>0204000133</v>
          </cell>
        </row>
        <row r="1536">
          <cell r="G1536" t="str">
            <v>TWELFTH RD CMS</v>
          </cell>
          <cell r="H1536" t="str">
            <v>W0013210</v>
          </cell>
          <cell r="I1536" t="str">
            <v>LOT 79 ARMADALE RD</v>
          </cell>
          <cell r="J1536" t="str">
            <v>ARMADALE WA 6112</v>
          </cell>
          <cell r="K1536" t="str">
            <v>15M64373</v>
          </cell>
        </row>
        <row r="1537">
          <cell r="G1537" t="str">
            <v>TANK GL 1 WSC BEACON</v>
          </cell>
          <cell r="H1537" t="str">
            <v>W0020265</v>
          </cell>
          <cell r="I1537" t="str">
            <v>1406 BIMBIJY RD</v>
          </cell>
          <cell r="J1537" t="str">
            <v>BEACON WA 6472</v>
          </cell>
          <cell r="K1537" t="str">
            <v>15M152736</v>
          </cell>
        </row>
        <row r="1538">
          <cell r="G1538" t="str">
            <v>SPS VICTORIA RD WEST MALAGA</v>
          </cell>
          <cell r="H1538" t="str">
            <v>S0028683</v>
          </cell>
          <cell r="I1538" t="str">
            <v>350 (LOT 13) VICTORIA RD</v>
          </cell>
          <cell r="J1538" t="str">
            <v>MALAGA WA 6090</v>
          </cell>
          <cell r="K1538" t="str">
            <v>0211000391</v>
          </cell>
        </row>
        <row r="1539">
          <cell r="G1539" t="str">
            <v>SPS MILL POINT RD SOUTH PERTH</v>
          </cell>
          <cell r="H1539" t="str">
            <v>S0034137</v>
          </cell>
          <cell r="I1539" t="str">
            <v>MILL POINT RD</v>
          </cell>
          <cell r="J1539" t="str">
            <v>SOUTH PERTH WA 6151</v>
          </cell>
          <cell r="K1539" t="str">
            <v>0148001658</v>
          </cell>
        </row>
        <row r="1540">
          <cell r="G1540" t="str">
            <v>WPS DOOKANOOKA TRANSFER</v>
          </cell>
          <cell r="H1540" t="str">
            <v>W0040366</v>
          </cell>
          <cell r="I1540" t="str">
            <v>LOCN 8820 NEBRU RD</v>
          </cell>
          <cell r="J1540" t="str">
            <v>ARRINO WA 6519</v>
          </cell>
          <cell r="K1540" t="str">
            <v>0136002150</v>
          </cell>
        </row>
        <row r="1541">
          <cell r="G1541" t="str">
            <v>DPS MCGRATH PL NORANDA</v>
          </cell>
          <cell r="H1541" t="str">
            <v>D0036218</v>
          </cell>
          <cell r="I1541" t="str">
            <v>LOT 441 MCGRATH PL</v>
          </cell>
          <cell r="J1541" t="str">
            <v>NORANDA WA 6062</v>
          </cell>
          <cell r="K1541" t="str">
            <v>0136003772</v>
          </cell>
        </row>
        <row r="1542">
          <cell r="G1542" t="str">
            <v>CP SYSTEM XING 101.2KM MAIN CONDUIT</v>
          </cell>
          <cell r="H1542" t="str">
            <v>W5014720</v>
          </cell>
          <cell r="I1542" t="str">
            <v>LOT 1 BURGES RD</v>
          </cell>
          <cell r="J1542" t="str">
            <v>MECKERING WA 6405</v>
          </cell>
          <cell r="K1542" t="str">
            <v>0200051237</v>
          </cell>
        </row>
        <row r="1543">
          <cell r="G1543" t="str">
            <v>WPS MARCHMONT ESTATE GINGIN BOOSTER</v>
          </cell>
          <cell r="H1543" t="str">
            <v>W4002041</v>
          </cell>
          <cell r="I1543" t="str">
            <v>LOT 339 MCHAVLOE DRIVE</v>
          </cell>
          <cell r="J1543" t="str">
            <v>GINGIN WA 6503</v>
          </cell>
          <cell r="K1543" t="str">
            <v>0380010019</v>
          </cell>
        </row>
        <row r="1544">
          <cell r="G1544"/>
          <cell r="H1544" t="e">
            <v>#N/A</v>
          </cell>
          <cell r="I1544" t="str">
            <v>LOC 8153 EGAN RD</v>
          </cell>
          <cell r="J1544" t="str">
            <v>WALYORMOURING WA 6460</v>
          </cell>
          <cell r="K1544" t="str">
            <v>15M191120</v>
          </cell>
        </row>
        <row r="1545">
          <cell r="G1545" t="str">
            <v>DPS SLATER CT KARDINYA</v>
          </cell>
          <cell r="H1545" t="str">
            <v>D0036493</v>
          </cell>
          <cell r="I1545" t="str">
            <v>U43 LOT 412 SLATER CT</v>
          </cell>
          <cell r="J1545" t="str">
            <v>KARDINYA WA 6163</v>
          </cell>
          <cell r="K1545" t="str">
            <v>001401464</v>
          </cell>
        </row>
        <row r="1546">
          <cell r="G1546" t="str">
            <v>ELECT INSTALL TANK SOUTH WEST HWY</v>
          </cell>
          <cell r="H1546" t="str">
            <v>W8004064</v>
          </cell>
          <cell r="I1546" t="str">
            <v>L1634 STH WEST HWY</v>
          </cell>
          <cell r="J1546" t="str">
            <v>DANDALUP</v>
          </cell>
          <cell r="K1546" t="str">
            <v>15M254839</v>
          </cell>
        </row>
        <row r="1547">
          <cell r="G1547"/>
          <cell r="H1547" t="e">
            <v>#N/A</v>
          </cell>
          <cell r="I1547" t="str">
            <v>LOT 362 LINDSAY ST</v>
          </cell>
          <cell r="J1547" t="str">
            <v>BEACON WA 6472</v>
          </cell>
          <cell r="K1547" t="str">
            <v>0200076129</v>
          </cell>
        </row>
        <row r="1548">
          <cell r="G1548" t="str">
            <v>WEIR 1146 CATCHMENT WONNERUP ESTUARY</v>
          </cell>
          <cell r="H1548" t="str">
            <v>D8000055</v>
          </cell>
          <cell r="I1548" t="str">
            <v>LOT 7 FORREST BEACH RD</v>
          </cell>
          <cell r="J1548" t="str">
            <v>WONNERUP WA 6280</v>
          </cell>
          <cell r="K1548" t="str">
            <v>15D082176</v>
          </cell>
        </row>
        <row r="1549">
          <cell r="G1549" t="str">
            <v>TANK GL1 WSC SWEETMANS THREE SPRINGS</v>
          </cell>
          <cell r="H1549" t="str">
            <v>W0040355</v>
          </cell>
          <cell r="I1549" t="str">
            <v>LOT 11310 NEBRU RD</v>
          </cell>
          <cell r="J1549" t="str">
            <v>ARROWSMITH EAST WA 6519</v>
          </cell>
          <cell r="K1549" t="str">
            <v>15D048775</v>
          </cell>
        </row>
        <row r="1550">
          <cell r="G1550" t="str">
            <v>BORE SITE #2 RAVENSWOOD BOREFIELD</v>
          </cell>
          <cell r="H1550" t="str">
            <v>W0046027</v>
          </cell>
          <cell r="I1550" t="str">
            <v>U51 OLD MANDURAH RD</v>
          </cell>
          <cell r="J1550" t="str">
            <v>RAVENSWOOD WA 6208</v>
          </cell>
          <cell r="K1550" t="str">
            <v>0148000212</v>
          </cell>
        </row>
        <row r="1551">
          <cell r="G1551" t="str">
            <v>BORE 71-77 RACECOURSE</v>
          </cell>
          <cell r="H1551" t="str">
            <v>W0023513</v>
          </cell>
          <cell r="I1551" t="str">
            <v>U56 LOT 71R PRINCESS AVE</v>
          </cell>
          <cell r="J1551" t="str">
            <v>ROBINSON WA 6330</v>
          </cell>
          <cell r="K1551" t="str">
            <v>410M75029</v>
          </cell>
        </row>
        <row r="1552">
          <cell r="G1552" t="str">
            <v>WWTP ROSAMEL RD KEMERTON</v>
          </cell>
          <cell r="H1552" t="str">
            <v>S104-001-003</v>
          </cell>
          <cell r="I1552" t="str">
            <v>LOT 21 MARRIOTT RD</v>
          </cell>
          <cell r="J1552" t="str">
            <v>PARKFIELD WA 6233</v>
          </cell>
          <cell r="K1552" t="str">
            <v>0140000580</v>
          </cell>
        </row>
        <row r="1553">
          <cell r="G1553" t="str">
            <v>WSC NOEL RD GOOSEBERRY HILL</v>
          </cell>
          <cell r="H1553" t="str">
            <v>W0035157</v>
          </cell>
          <cell r="I1553" t="str">
            <v>LOT 58 NOEL RD</v>
          </cell>
          <cell r="J1553" t="str">
            <v>GOOSEBERRY HILL WA 6076</v>
          </cell>
          <cell r="K1553" t="str">
            <v>15M162025</v>
          </cell>
        </row>
        <row r="1554">
          <cell r="G1554"/>
          <cell r="H1554" t="e">
            <v>#N/A</v>
          </cell>
          <cell r="I1554" t="str">
            <v>LOC 223 GREAT EASTERN HWY</v>
          </cell>
          <cell r="J1554" t="str">
            <v>BOORABBIN WA 6431</v>
          </cell>
          <cell r="K1554" t="str">
            <v>0200051235</v>
          </cell>
        </row>
        <row r="1555">
          <cell r="G1555" t="str">
            <v>BORE 56-75 RACECOURSE</v>
          </cell>
          <cell r="H1555" t="str">
            <v>W0023457</v>
          </cell>
          <cell r="I1555" t="str">
            <v>LOT 56R ROBERTS RD</v>
          </cell>
          <cell r="J1555" t="str">
            <v>ROBINSON  WA  6330</v>
          </cell>
          <cell r="K1555" t="str">
            <v>002101645</v>
          </cell>
        </row>
        <row r="1556">
          <cell r="G1556" t="str">
            <v>LOWER CANNING DAM - ARALUEN</v>
          </cell>
          <cell r="H1556" t="str">
            <v>W0006617</v>
          </cell>
          <cell r="I1556" t="str">
            <v>U41 MCNESS DR</v>
          </cell>
          <cell r="J1556" t="str">
            <v>ROLEYSTONE WA 6111</v>
          </cell>
          <cell r="K1556" t="str">
            <v>0211001155</v>
          </cell>
        </row>
        <row r="1557">
          <cell r="G1557" t="str">
            <v>BORE SITE W10</v>
          </cell>
          <cell r="H1557" t="str">
            <v>W1001545</v>
          </cell>
          <cell r="I1557" t="str">
            <v>U41 LOT 10W SILVER RD</v>
          </cell>
          <cell r="J1557" t="str">
            <v>JANDABUP WA 6077</v>
          </cell>
          <cell r="K1557" t="str">
            <v xml:space="preserve">0148006119     </v>
          </cell>
        </row>
        <row r="1558">
          <cell r="G1558" t="str">
            <v>SPS LANTANA LANE MARGARET RIVER</v>
          </cell>
          <cell r="H1558" t="str">
            <v>S8007842</v>
          </cell>
          <cell r="I1558" t="str">
            <v>LOT 637 LANTANA LANE</v>
          </cell>
          <cell r="J1558" t="str">
            <v>MARGARET RIVER WA 6285</v>
          </cell>
          <cell r="K1558" t="str">
            <v>0136003132</v>
          </cell>
        </row>
        <row r="1559">
          <cell r="G1559" t="str">
            <v>WPS CATHEDRAL AV BRIGADOON</v>
          </cell>
          <cell r="H1559" t="str">
            <v>W0035360</v>
          </cell>
          <cell r="I1559" t="str">
            <v>HSE NO 399 LOT 45 CATHEDRAL AVE</v>
          </cell>
          <cell r="J1559" t="str">
            <v>BRIGADOON WA 6069</v>
          </cell>
          <cell r="K1559" t="str">
            <v>0136004390</v>
          </cell>
        </row>
        <row r="1560">
          <cell r="G1560" t="str">
            <v>TANK WSC BORDEAUX LA ELLENBROOK</v>
          </cell>
          <cell r="H1560" t="str">
            <v>W2000093</v>
          </cell>
          <cell r="I1560" t="str">
            <v>U42 LOT 408 BORDEAUX LANE</v>
          </cell>
          <cell r="J1560" t="str">
            <v>THE VINES WA 6069</v>
          </cell>
          <cell r="K1560" t="str">
            <v>001401933</v>
          </cell>
        </row>
        <row r="1561">
          <cell r="G1561" t="str">
            <v>SPS HAYES ST BUNBURY</v>
          </cell>
          <cell r="H1561" t="str">
            <v>S0044056</v>
          </cell>
          <cell r="I1561" t="str">
            <v>LOT 596 HAYES ST</v>
          </cell>
          <cell r="J1561" t="str">
            <v>BUNBURY WA 6230</v>
          </cell>
          <cell r="K1561" t="str">
            <v>0148006294</v>
          </cell>
        </row>
        <row r="1562">
          <cell r="G1562" t="str">
            <v>SPS LINTOTT ST MANJIMUP</v>
          </cell>
          <cell r="H1562" t="str">
            <v>S0044887</v>
          </cell>
          <cell r="I1562" t="str">
            <v>LOT 100 LINTOTT ST</v>
          </cell>
          <cell r="J1562" t="str">
            <v>MANJIMUP WA 6258</v>
          </cell>
          <cell r="K1562" t="str">
            <v>0148005970</v>
          </cell>
        </row>
        <row r="1563">
          <cell r="G1563"/>
          <cell r="H1563" t="e">
            <v>#N/A</v>
          </cell>
          <cell r="I1563" t="str">
            <v>U55 MELDRUM AVE</v>
          </cell>
          <cell r="J1563" t="str">
            <v>KALGOORLIE WA 6430</v>
          </cell>
          <cell r="K1563" t="str">
            <v>MCO8273</v>
          </cell>
        </row>
        <row r="1564">
          <cell r="G1564" t="str">
            <v>SPS DEE RD APPLECROSS</v>
          </cell>
          <cell r="H1564" t="str">
            <v>S0033657</v>
          </cell>
          <cell r="I1564" t="str">
            <v>DEE RD</v>
          </cell>
          <cell r="J1564" t="str">
            <v>APPLECROSS WA 6153</v>
          </cell>
          <cell r="K1564" t="str">
            <v>450M22340</v>
          </cell>
        </row>
        <row r="1565">
          <cell r="G1565" t="str">
            <v>WSC MT SHADFORTH RD SHADFORTH</v>
          </cell>
          <cell r="H1565" t="str">
            <v>W7001550</v>
          </cell>
          <cell r="I1565" t="str">
            <v>LOT 300 MOUNT SHADFORTH RD</v>
          </cell>
          <cell r="J1565" t="str">
            <v>DENMARK WA 6333</v>
          </cell>
          <cell r="K1565" t="str">
            <v>0180035708</v>
          </cell>
        </row>
        <row r="1566">
          <cell r="G1566" t="str">
            <v>SPS TEWSON RD CAMILLO</v>
          </cell>
          <cell r="H1566" t="str">
            <v>S0032786</v>
          </cell>
          <cell r="I1566" t="str">
            <v>LOT 379 GROVELANDS DR</v>
          </cell>
          <cell r="J1566" t="str">
            <v>CAMILLO WA 6111</v>
          </cell>
          <cell r="K1566" t="str">
            <v>0148003210</v>
          </cell>
        </row>
        <row r="1567">
          <cell r="G1567" t="str">
            <v>SPS ROSE ST BUNBURY</v>
          </cell>
          <cell r="H1567" t="str">
            <v>S0044125</v>
          </cell>
          <cell r="I1567" t="str">
            <v>12 ROSE ST</v>
          </cell>
          <cell r="J1567" t="str">
            <v>BUNBURY WA 6230</v>
          </cell>
          <cell r="K1567" t="str">
            <v>410M148974</v>
          </cell>
        </row>
        <row r="1568">
          <cell r="G1568" t="str">
            <v>WPS MOCARDY DAM</v>
          </cell>
          <cell r="H1568" t="str">
            <v>W0019255</v>
          </cell>
          <cell r="I1568" t="str">
            <v>LOC 6418 KOORDA-WONGAN HILLS RD</v>
          </cell>
          <cell r="J1568" t="str">
            <v>WONGAN HILL WA 6603</v>
          </cell>
          <cell r="K1568" t="str">
            <v>450M6221</v>
          </cell>
        </row>
        <row r="1569">
          <cell r="G1569" t="str">
            <v>SPS FRANCISCO ST BELMONT</v>
          </cell>
          <cell r="H1569" t="str">
            <v>S0034046</v>
          </cell>
          <cell r="I1569" t="str">
            <v>U43 FRANCISCO ST</v>
          </cell>
          <cell r="J1569" t="str">
            <v>BELMONT WA 6104</v>
          </cell>
          <cell r="K1569" t="str">
            <v>0148004179</v>
          </cell>
        </row>
        <row r="1570">
          <cell r="G1570" t="str">
            <v>SPS BLACKWALL REACH PDE BICTON</v>
          </cell>
          <cell r="H1570" t="str">
            <v>S0033600</v>
          </cell>
          <cell r="I1570" t="str">
            <v>U43 LOT 0 BLACKWALL REACH PDE</v>
          </cell>
          <cell r="J1570" t="str">
            <v>BICTON WA 6157</v>
          </cell>
          <cell r="K1570" t="str">
            <v>0148001628</v>
          </cell>
        </row>
        <row r="1571">
          <cell r="G1571" t="str">
            <v>BORE SITE L510</v>
          </cell>
          <cell r="H1571" t="str">
            <v>W1001404</v>
          </cell>
          <cell r="I1571" t="str">
            <v>LOT 510L TICK RD</v>
          </cell>
          <cell r="J1571" t="str">
            <v>LEXIA WA 6079</v>
          </cell>
          <cell r="K1571" t="str">
            <v>0148002839</v>
          </cell>
        </row>
        <row r="1572">
          <cell r="G1572" t="str">
            <v>WPS MITCHELL RD DARLINGTON</v>
          </cell>
          <cell r="H1572" t="str">
            <v>W0035522</v>
          </cell>
          <cell r="I1572" t="str">
            <v>LOT 35447 DARLINGTON RD</v>
          </cell>
          <cell r="J1572" t="str">
            <v>DARLINGTON WA 6070</v>
          </cell>
          <cell r="K1572" t="str">
            <v>0211001250</v>
          </cell>
        </row>
        <row r="1573">
          <cell r="G1573" t="str">
            <v>SPS HOLMESDALE RD WOODBRIDGE</v>
          </cell>
          <cell r="H1573" t="str">
            <v>S0030152</v>
          </cell>
          <cell r="I1573" t="str">
            <v>HOLMESDALE RD</v>
          </cell>
          <cell r="J1573" t="str">
            <v>WOODBRIDGE WA 6056</v>
          </cell>
          <cell r="K1573" t="str">
            <v>450M22357</v>
          </cell>
        </row>
        <row r="1574">
          <cell r="G1574" t="str">
            <v>SPS CLIFTON RD BRUNSWICK</v>
          </cell>
          <cell r="H1574" t="str">
            <v>S0043985</v>
          </cell>
          <cell r="I1574" t="str">
            <v>CLIFTON RD</v>
          </cell>
          <cell r="J1574" t="str">
            <v>BRUNSWICK WA 6224</v>
          </cell>
          <cell r="K1574" t="str">
            <v>410M123584</v>
          </cell>
        </row>
        <row r="1575">
          <cell r="G1575"/>
          <cell r="H1575" t="e">
            <v>#N/A</v>
          </cell>
          <cell r="I1575" t="str">
            <v>L39644 / 1250 MUNDARING WEIR RD</v>
          </cell>
          <cell r="J1575" t="str">
            <v>MUNDARING WA 6073</v>
          </cell>
          <cell r="K1575" t="str">
            <v>0180028385</v>
          </cell>
        </row>
        <row r="1576">
          <cell r="G1576" t="str">
            <v>HALE &amp; TONKIN CVS</v>
          </cell>
          <cell r="H1576" t="str">
            <v>W0011765</v>
          </cell>
          <cell r="I1576" t="str">
            <v>HALE RD</v>
          </cell>
          <cell r="J1576" t="str">
            <v>FORRESTFIELD WA 6058</v>
          </cell>
          <cell r="K1576" t="str">
            <v>0350013590</v>
          </cell>
        </row>
        <row r="1577">
          <cell r="G1577" t="str">
            <v>SPS KNUTSFORD AV KEWDALE</v>
          </cell>
          <cell r="H1577" t="str">
            <v>S0034113</v>
          </cell>
          <cell r="I1577" t="str">
            <v>KNUTSFORD AVE</v>
          </cell>
          <cell r="J1577" t="str">
            <v>KEWDALE WA 6105</v>
          </cell>
          <cell r="K1577" t="str">
            <v>0116000146</v>
          </cell>
        </row>
        <row r="1578">
          <cell r="G1578" t="str">
            <v>DEPOT FITZGERALD STREET NORTHAM</v>
          </cell>
          <cell r="H1578" t="str">
            <v>C0013624</v>
          </cell>
          <cell r="I1578" t="str">
            <v>FITZGERALD ST</v>
          </cell>
          <cell r="J1578" t="str">
            <v>NORTHAM WA 6401</v>
          </cell>
          <cell r="K1578" t="str">
            <v>450M11970</v>
          </cell>
        </row>
        <row r="1579">
          <cell r="G1579" t="str">
            <v>CDP BINNINGUP RD BINNINGUP</v>
          </cell>
          <cell r="H1579" t="str">
            <v>W0045351</v>
          </cell>
          <cell r="I1579" t="str">
            <v>U51 LOT 4 BINNINGUP RD</v>
          </cell>
          <cell r="J1579" t="str">
            <v>BINNINGUP WA 6233</v>
          </cell>
          <cell r="K1579" t="str">
            <v>0136001674</v>
          </cell>
        </row>
        <row r="1580">
          <cell r="G1580" t="str">
            <v>DEPOT DRUMMOND ST MOORA</v>
          </cell>
          <cell r="H1580" t="str">
            <v>C0036872</v>
          </cell>
          <cell r="I1580" t="str">
            <v>18 DRUMMOND ST</v>
          </cell>
          <cell r="J1580" t="str">
            <v>MOORA WA 6510</v>
          </cell>
          <cell r="K1580" t="str">
            <v>0136006457</v>
          </cell>
        </row>
        <row r="1581">
          <cell r="G1581" t="str">
            <v>SPS HERBERT RD SHENTON PARK</v>
          </cell>
          <cell r="H1581" t="str">
            <v>S0032263</v>
          </cell>
          <cell r="I1581" t="str">
            <v>HERBERT RD</v>
          </cell>
          <cell r="J1581" t="str">
            <v>SHENTON PARK WA 6008</v>
          </cell>
          <cell r="K1581" t="str">
            <v>410M106976</v>
          </cell>
        </row>
        <row r="1582">
          <cell r="G1582" t="str">
            <v>SPS SYMMONS ST BUNBURY</v>
          </cell>
          <cell r="H1582" t="str">
            <v>S0044140</v>
          </cell>
          <cell r="I1582" t="str">
            <v>U51 SYMMONS ST</v>
          </cell>
          <cell r="J1582" t="str">
            <v>BUNBURY WA 6230</v>
          </cell>
          <cell r="K1582" t="str">
            <v>001000297</v>
          </cell>
        </row>
        <row r="1583">
          <cell r="G1583" t="str">
            <v>BORE SITE W70</v>
          </cell>
          <cell r="H1583" t="str">
            <v>W1001557</v>
          </cell>
          <cell r="I1583" t="str">
            <v>LOT 70W SILVER RD</v>
          </cell>
          <cell r="J1583" t="str">
            <v>MARIGINIUP WA 6065</v>
          </cell>
          <cell r="K1583" t="str">
            <v>0248000060</v>
          </cell>
        </row>
        <row r="1584">
          <cell r="G1584" t="str">
            <v>SPS BROUGHTON WY ORELIA</v>
          </cell>
          <cell r="H1584" t="str">
            <v>S0030271</v>
          </cell>
          <cell r="I1584" t="str">
            <v>LOT 695 BROUGHTON WAY</v>
          </cell>
          <cell r="J1584" t="str">
            <v>ORELIA WA 6167</v>
          </cell>
          <cell r="K1584" t="str">
            <v>0081000114</v>
          </cell>
        </row>
        <row r="1585">
          <cell r="G1585" t="str">
            <v>BORE SITE L620</v>
          </cell>
          <cell r="H1585" t="str">
            <v>W1001413</v>
          </cell>
          <cell r="I1585" t="str">
            <v>LOT 620L WARBROOK RD</v>
          </cell>
          <cell r="J1585" t="str">
            <v>BULLSBROOK WA 6084</v>
          </cell>
          <cell r="K1585" t="str">
            <v>001300200</v>
          </cell>
        </row>
        <row r="1586">
          <cell r="G1586" t="str">
            <v>#WPS QUINNS RD QUINNS ROCKS</v>
          </cell>
          <cell r="H1586" t="str">
            <v>W0035576</v>
          </cell>
          <cell r="I1586" t="str">
            <v>QUINNS ROCKS RD</v>
          </cell>
          <cell r="J1586" t="str">
            <v>QUINNS ROCKS WA 6030</v>
          </cell>
          <cell r="K1586" t="str">
            <v>001100298</v>
          </cell>
        </row>
        <row r="1587">
          <cell r="G1587" t="str">
            <v>CP SYSTEM XING 135.12KM MAIN CONDUIT</v>
          </cell>
          <cell r="H1587" t="str">
            <v>W5014750</v>
          </cell>
          <cell r="I1587" t="str">
            <v>LIVERSEY CROSSING</v>
          </cell>
          <cell r="J1587" t="str">
            <v>TAMIN  WA  6409</v>
          </cell>
          <cell r="K1587" t="str">
            <v>15D043782</v>
          </cell>
        </row>
        <row r="1588">
          <cell r="G1588" t="str">
            <v>BORE SITE M100</v>
          </cell>
          <cell r="H1588" t="str">
            <v>W1001323</v>
          </cell>
          <cell r="I1588" t="str">
            <v>U41 LOT 50 MARANGAROO DR</v>
          </cell>
          <cell r="J1588" t="str">
            <v>BALLAJURA WA 6066</v>
          </cell>
          <cell r="K1588" t="str">
            <v>002100180</v>
          </cell>
        </row>
        <row r="1589">
          <cell r="G1589" t="str">
            <v>WPS RAILS CR WUNGONG</v>
          </cell>
          <cell r="H1589" t="str">
            <v>W0035076</v>
          </cell>
          <cell r="I1589" t="str">
            <v>LOT 50 SOUTH WESTERN HWY</v>
          </cell>
          <cell r="J1589" t="str">
            <v>ARMADALE WA 6112</v>
          </cell>
          <cell r="K1589" t="str">
            <v>410M99130</v>
          </cell>
        </row>
        <row r="1590">
          <cell r="G1590" t="str">
            <v>WPS BATEMAN ST ROCKY GULLY</v>
          </cell>
          <cell r="H1590" t="str">
            <v>W0023906</v>
          </cell>
          <cell r="I1590" t="str">
            <v>LOT 133 BATEMAN ST</v>
          </cell>
          <cell r="J1590" t="str">
            <v>ROCKY GULLY WA 6397</v>
          </cell>
          <cell r="K1590" t="str">
            <v>210M12674</v>
          </cell>
        </row>
        <row r="1591">
          <cell r="G1591" t="str">
            <v>SPS WHITEHILL RD DRUMMOND COVE</v>
          </cell>
          <cell r="H1591" t="str">
            <v>S0037884</v>
          </cell>
          <cell r="I1591" t="str">
            <v>117 WHITEHILL RD</v>
          </cell>
          <cell r="J1591" t="str">
            <v>DRUMMOND COVE WA 6532</v>
          </cell>
          <cell r="K1591" t="str">
            <v>0350002858</v>
          </cell>
        </row>
        <row r="1592">
          <cell r="G1592" t="str">
            <v>SPS ACKLAND WY COTTESLOE</v>
          </cell>
          <cell r="H1592" t="str">
            <v>S0032586</v>
          </cell>
          <cell r="I1592" t="str">
            <v>LOT 305 MARMION ST</v>
          </cell>
          <cell r="J1592" t="str">
            <v>COTTESLOE WA 6011</v>
          </cell>
          <cell r="K1592" t="str">
            <v>0280004430</v>
          </cell>
        </row>
        <row r="1593">
          <cell r="G1593" t="str">
            <v>WPS FORREST RD MARGARET RIVER</v>
          </cell>
          <cell r="H1593" t="str">
            <v>W8001044</v>
          </cell>
          <cell r="I1593" t="str">
            <v>32 FORREST RD</v>
          </cell>
          <cell r="J1593" t="str">
            <v>MARGARET RIVER WA 6285</v>
          </cell>
          <cell r="K1593" t="str">
            <v>001300689</v>
          </cell>
        </row>
        <row r="1594">
          <cell r="G1594" t="str">
            <v>SPS CENTRAL AV MT LAWLEY</v>
          </cell>
          <cell r="H1594" t="str">
            <v>S0031668</v>
          </cell>
          <cell r="I1594" t="str">
            <v>U42 CENTRAL AVE</v>
          </cell>
          <cell r="J1594" t="str">
            <v>INGLEWOOD WA 6052</v>
          </cell>
          <cell r="K1594" t="str">
            <v>0148001621</v>
          </cell>
        </row>
        <row r="1595">
          <cell r="G1595" t="str">
            <v>SPS KARRI ST MANJIMUP</v>
          </cell>
          <cell r="H1595" t="str">
            <v>S0044882</v>
          </cell>
          <cell r="I1595" t="str">
            <v>LOT 179 KARRI ST</v>
          </cell>
          <cell r="J1595" t="str">
            <v>MANJIMUP WA 6258</v>
          </cell>
          <cell r="K1595" t="str">
            <v>410M112366</v>
          </cell>
        </row>
        <row r="1596">
          <cell r="G1596" t="str">
            <v>SPS SNOWDONIA CT BALLAJURA</v>
          </cell>
          <cell r="H1596" t="str">
            <v>S0028636</v>
          </cell>
          <cell r="I1596" t="str">
            <v>LOT 219 SNOWDONIA CT</v>
          </cell>
          <cell r="J1596" t="str">
            <v>BALLAJURA WA 6066</v>
          </cell>
          <cell r="K1596" t="str">
            <v>0148002663</v>
          </cell>
        </row>
        <row r="1597">
          <cell r="G1597" t="str">
            <v>BORE 64-75 RACECOURSE</v>
          </cell>
          <cell r="H1597" t="str">
            <v>W0023480</v>
          </cell>
          <cell r="I1597" t="str">
            <v>LOT 64R ROBERTS RD</v>
          </cell>
          <cell r="J1597" t="str">
            <v>ROBINSON WA 6330</v>
          </cell>
          <cell r="K1597" t="str">
            <v>0148001936</v>
          </cell>
        </row>
        <row r="1598">
          <cell r="G1598" t="str">
            <v>SPS HALSTEAD ST HAMILTON HILL</v>
          </cell>
          <cell r="H1598" t="str">
            <v>S0033222</v>
          </cell>
          <cell r="I1598" t="str">
            <v>HALSTEAD ST</v>
          </cell>
          <cell r="J1598" t="str">
            <v>HAMILTON HILL WA 6163</v>
          </cell>
          <cell r="K1598" t="str">
            <v>410M180811</v>
          </cell>
        </row>
        <row r="1599">
          <cell r="G1599" t="str">
            <v>METER SITE UC1 14.01KM QUANDONG RD</v>
          </cell>
          <cell r="H1599" t="str">
            <v>W6005400</v>
          </cell>
          <cell r="I1599" t="str">
            <v>QUANDONG RD</v>
          </cell>
          <cell r="J1599" t="str">
            <v>KAMBALDA WA 6442</v>
          </cell>
          <cell r="K1599" t="str">
            <v>15M166903</v>
          </cell>
        </row>
        <row r="1600">
          <cell r="G1600" t="str">
            <v>SPS JAMES ST GOSNELLS</v>
          </cell>
          <cell r="H1600" t="str">
            <v>S0033443</v>
          </cell>
          <cell r="I1600" t="str">
            <v>COULSTON WAY</v>
          </cell>
          <cell r="J1600" t="str">
            <v>GOSNELLS WA 6110</v>
          </cell>
          <cell r="K1600" t="str">
            <v>410M187796</v>
          </cell>
        </row>
        <row r="1601">
          <cell r="G1601" t="str">
            <v>TANK GL 1 WSC WEIR RD QUAIRADING</v>
          </cell>
          <cell r="H1601" t="str">
            <v>W0019859</v>
          </cell>
          <cell r="I1601" t="str">
            <v>LOC 27967 HAYES RD</v>
          </cell>
          <cell r="J1601" t="str">
            <v>QUAIRADING WA 6383</v>
          </cell>
          <cell r="K1601" t="str">
            <v>210M30348</v>
          </cell>
        </row>
        <row r="1602">
          <cell r="G1602" t="str">
            <v>SPS ANTHONY RD GEOGRAPHE</v>
          </cell>
          <cell r="H1602" t="str">
            <v>S0044269</v>
          </cell>
          <cell r="I1602" t="str">
            <v>LOT 113 ANTHONY RD</v>
          </cell>
          <cell r="J1602" t="str">
            <v>BUSSELTON WA 6280</v>
          </cell>
          <cell r="K1602" t="str">
            <v>410M132855</v>
          </cell>
        </row>
        <row r="1603">
          <cell r="G1603" t="str">
            <v>SPS GLYDE ST MOSMAN PARK</v>
          </cell>
          <cell r="H1603" t="str">
            <v>S0032627</v>
          </cell>
          <cell r="I1603" t="str">
            <v>76 GLYDE ST</v>
          </cell>
          <cell r="J1603" t="str">
            <v>MOSMAN PARK WA 6012</v>
          </cell>
          <cell r="K1603" t="str">
            <v>410M104335</v>
          </cell>
        </row>
        <row r="1604">
          <cell r="G1604" t="str">
            <v>SPS VENTNOR ST SCARBOROUGH</v>
          </cell>
          <cell r="H1604" t="str">
            <v>S0032046</v>
          </cell>
          <cell r="I1604" t="str">
            <v>VENTNOR ST</v>
          </cell>
          <cell r="J1604" t="str">
            <v>SCARBOROUGH WA 6019</v>
          </cell>
          <cell r="K1604" t="str">
            <v>0148002888</v>
          </cell>
        </row>
        <row r="1605">
          <cell r="G1605" t="str">
            <v>SPS BRENTHAM ST LEEDERVILLE</v>
          </cell>
          <cell r="H1605" t="str">
            <v>S0031654</v>
          </cell>
          <cell r="I1605" t="str">
            <v>WYLIE PL</v>
          </cell>
          <cell r="J1605" t="str">
            <v>LEEDERVILLE WA 6007</v>
          </cell>
          <cell r="K1605" t="str">
            <v>410M14624</v>
          </cell>
        </row>
        <row r="1606">
          <cell r="G1606" t="str">
            <v>ELECT INSTALL SPS INFLUENT ARGYLE</v>
          </cell>
          <cell r="H1606" t="str">
            <v>S8004778</v>
          </cell>
          <cell r="I1606" t="str">
            <v>HSE NO 18088 LOT 836 SOUTH WESTERN HWY</v>
          </cell>
          <cell r="J1606" t="str">
            <v>ARGYLE WA 6239</v>
          </cell>
          <cell r="K1606" t="str">
            <v>0148006449</v>
          </cell>
        </row>
        <row r="1607">
          <cell r="G1607" t="str">
            <v>WPS MUNDARING B</v>
          </cell>
          <cell r="H1607" t="str">
            <v>W0021183</v>
          </cell>
          <cell r="I1607" t="str">
            <v>LOT 3848 MUNDARING WEIR RD</v>
          </cell>
          <cell r="J1607" t="str">
            <v>MUNDARING WA 6073</v>
          </cell>
          <cell r="K1607" t="str">
            <v>meter removed Aug 2014 and returned to Forrestfield0214002373</v>
          </cell>
        </row>
        <row r="1608">
          <cell r="G1608" t="str">
            <v>SPS ARCADIA DR SHOALWATER</v>
          </cell>
          <cell r="H1608" t="str">
            <v>S2000009</v>
          </cell>
          <cell r="I1608" t="str">
            <v>LOT 5 ARCADIA DR</v>
          </cell>
          <cell r="J1608" t="str">
            <v>SHOALWATER WA 6169</v>
          </cell>
          <cell r="K1608" t="str">
            <v>410M189867</v>
          </cell>
        </row>
        <row r="1609">
          <cell r="G1609" t="str">
            <v>SPS HARTUNG ST MUNDARING</v>
          </cell>
          <cell r="H1609" t="str">
            <v>S0030319</v>
          </cell>
          <cell r="I1609" t="str">
            <v>LOT 2 HARTUNG ST</v>
          </cell>
          <cell r="J1609" t="str">
            <v>MUNDARING WA 6073</v>
          </cell>
          <cell r="K1609" t="str">
            <v>0248002317</v>
          </cell>
        </row>
        <row r="1610">
          <cell r="G1610" t="str">
            <v>SPS FERN RD WILSON</v>
          </cell>
          <cell r="H1610" t="str">
            <v>S0032987</v>
          </cell>
          <cell r="I1610" t="str">
            <v>160 FERN RD</v>
          </cell>
          <cell r="J1610" t="str">
            <v>WILSON WA 6107</v>
          </cell>
          <cell r="K1610" t="str">
            <v>450M22327</v>
          </cell>
        </row>
        <row r="1611">
          <cell r="G1611" t="str">
            <v>SPS HOWARD PDE SALTER POINT</v>
          </cell>
          <cell r="H1611" t="str">
            <v>S0034099</v>
          </cell>
          <cell r="I1611" t="str">
            <v>SALTER POINT PDE</v>
          </cell>
          <cell r="J1611" t="str">
            <v>SALTER POINT WA 6152</v>
          </cell>
          <cell r="K1611" t="str">
            <v>450M22350</v>
          </cell>
        </row>
        <row r="1612">
          <cell r="G1612" t="str">
            <v>CP ZONE MELVILLE PDE 190S DEEP</v>
          </cell>
          <cell r="H1612" t="str">
            <v>W1014867</v>
          </cell>
          <cell r="I1612" t="str">
            <v>29 MELVILLE PDE</v>
          </cell>
          <cell r="J1612" t="str">
            <v>SOUTH PERTH WA 6151</v>
          </cell>
          <cell r="K1612" t="str">
            <v>0200099812</v>
          </cell>
        </row>
        <row r="1613">
          <cell r="G1613" t="str">
            <v>BOREFIELD WYE FARM</v>
          </cell>
          <cell r="H1613" t="str">
            <v>W0039639</v>
          </cell>
          <cell r="I1613" t="str">
            <v>LOCN 100 WYE FARM RD</v>
          </cell>
          <cell r="J1613" t="str">
            <v>IRWIN WA 6525</v>
          </cell>
          <cell r="K1613" t="str">
            <v>0148006262</v>
          </cell>
        </row>
        <row r="1614">
          <cell r="G1614" t="str">
            <v>SPS WILLIS ST EAST VICTORIA PARK</v>
          </cell>
          <cell r="H1614" t="str">
            <v>S0034188</v>
          </cell>
          <cell r="I1614" t="str">
            <v>WILLIS ST</v>
          </cell>
          <cell r="J1614" t="str">
            <v>VICTORIA PARK WA 6100</v>
          </cell>
          <cell r="K1614" t="str">
            <v>410M106803</v>
          </cell>
        </row>
        <row r="1615">
          <cell r="G1615" t="str">
            <v>WPS VALENTINE RD F/LANDS YUNA</v>
          </cell>
          <cell r="H1615" t="str">
            <v>W4002195</v>
          </cell>
          <cell r="I1615" t="str">
            <v>LOT 6789 VALENTINE RD</v>
          </cell>
          <cell r="J1615" t="str">
            <v>VALENTINE WA 6532</v>
          </cell>
          <cell r="K1615" t="str">
            <v>0380011299</v>
          </cell>
        </row>
        <row r="1616">
          <cell r="G1616" t="str">
            <v>SPS TRANBY DR BALDIVIS</v>
          </cell>
          <cell r="H1616" t="str">
            <v>S0030349</v>
          </cell>
          <cell r="I1616" t="str">
            <v>LOT 280 EIGHTY RD</v>
          </cell>
          <cell r="J1616" t="str">
            <v>BALDIVIS WA 6171</v>
          </cell>
          <cell r="K1616" t="str">
            <v>0148006329</v>
          </cell>
        </row>
        <row r="1617">
          <cell r="G1617" t="str">
            <v>WPS TURNBULL WY MOSMAN PARK</v>
          </cell>
          <cell r="H1617" t="str">
            <v>W0034560</v>
          </cell>
          <cell r="I1617" t="str">
            <v>WELLINGTON ST</v>
          </cell>
          <cell r="J1617" t="str">
            <v>MOSMAN PARK WA 6012</v>
          </cell>
          <cell r="K1617" t="str">
            <v>0248000149</v>
          </cell>
        </row>
        <row r="1618">
          <cell r="G1618" t="str">
            <v>SPS BROOKSIDE GDNS CAVERSHAM</v>
          </cell>
          <cell r="H1618" t="str">
            <v>S0030086</v>
          </cell>
          <cell r="I1618" t="str">
            <v>LORD ST</v>
          </cell>
          <cell r="J1618" t="str">
            <v>BEECHBORO WA 6063</v>
          </cell>
          <cell r="K1618" t="str">
            <v>410M172555</v>
          </cell>
        </row>
        <row r="1619">
          <cell r="G1619" t="str">
            <v>#SPS KARANGI CIR BYFORD</v>
          </cell>
          <cell r="H1619" t="str">
            <v>S2019369</v>
          </cell>
          <cell r="I1619" t="str">
            <v>LOT 9010 KARANGI CIR</v>
          </cell>
          <cell r="J1619" t="str">
            <v>BYFORD WA 6122</v>
          </cell>
          <cell r="K1619" t="str">
            <v>0350013239</v>
          </cell>
        </row>
        <row r="1620">
          <cell r="G1620" t="str">
            <v>MILLAR RD CVS</v>
          </cell>
          <cell r="H1620" t="str">
            <v>W0012803</v>
          </cell>
          <cell r="I1620" t="str">
            <v>LOT 1310 MILLAR RD</v>
          </cell>
          <cell r="J1620" t="str">
            <v>LEDA WA 6170</v>
          </cell>
          <cell r="K1620" t="str">
            <v>0148001755</v>
          </cell>
        </row>
        <row r="1621">
          <cell r="G1621" t="str">
            <v>BOYLE LANE CMS</v>
          </cell>
          <cell r="H1621" t="str">
            <v>W0011375</v>
          </cell>
          <cell r="I1621" t="str">
            <v>U41 BOYLE LANE</v>
          </cell>
          <cell r="J1621" t="str">
            <v>ORANGE GROVE WA 6109</v>
          </cell>
          <cell r="K1621" t="str">
            <v>450M6210</v>
          </cell>
        </row>
        <row r="1622">
          <cell r="G1622" t="str">
            <v>SPS ENEABBA DR ENEABBA</v>
          </cell>
          <cell r="H1622" t="str">
            <v>S0037426</v>
          </cell>
          <cell r="I1622" t="str">
            <v>KING ST</v>
          </cell>
          <cell r="J1622" t="str">
            <v>ENEABBA WA 6518</v>
          </cell>
          <cell r="K1622" t="str">
            <v>0350045032</v>
          </cell>
        </row>
        <row r="1623">
          <cell r="G1623" t="str">
            <v>SPS TENNANT ST ST JAMES</v>
          </cell>
          <cell r="H1623" t="str">
            <v>S0033109</v>
          </cell>
          <cell r="I1623" t="str">
            <v>U43 LOT 628 TENNANT ST</v>
          </cell>
          <cell r="J1623" t="str">
            <v>ST JAMES WA 6102</v>
          </cell>
          <cell r="K1623" t="str">
            <v>002101382</v>
          </cell>
        </row>
        <row r="1624">
          <cell r="G1624" t="str">
            <v>SPS MINDALONG CL STH BUNBURY</v>
          </cell>
          <cell r="H1624" t="str">
            <v>S0044089</v>
          </cell>
          <cell r="I1624" t="str">
            <v>LOT 26 MINDALONG CL</v>
          </cell>
          <cell r="J1624" t="str">
            <v>BUNBURY WA 6230</v>
          </cell>
          <cell r="K1624" t="str">
            <v>410M158736</v>
          </cell>
        </row>
        <row r="1625">
          <cell r="G1625" t="str">
            <v>SPS OLD COAST RD HALLS HEAD</v>
          </cell>
          <cell r="H1625" t="str">
            <v>S0044594</v>
          </cell>
          <cell r="I1625" t="str">
            <v>OLD COAST RD</v>
          </cell>
          <cell r="J1625" t="str">
            <v>HALLS HEAD WA 6210</v>
          </cell>
          <cell r="K1625" t="str">
            <v>410M159224</v>
          </cell>
        </row>
        <row r="1626">
          <cell r="G1626" t="str">
            <v>SPS TROODE ST SPEARWOOD</v>
          </cell>
          <cell r="H1626" t="str">
            <v>S0033336</v>
          </cell>
          <cell r="I1626" t="str">
            <v>TROODE ST</v>
          </cell>
          <cell r="J1626" t="str">
            <v>MUNSTER WA 6166</v>
          </cell>
          <cell r="K1626" t="str">
            <v>0081000115</v>
          </cell>
        </row>
        <row r="1627">
          <cell r="G1627" t="str">
            <v>WPS MCDONALD ST JOONDANNA</v>
          </cell>
          <cell r="H1627" t="str">
            <v>W0034647</v>
          </cell>
          <cell r="I1627" t="str">
            <v>LOT 42 MCDONALD ST</v>
          </cell>
          <cell r="J1627" t="str">
            <v>JOONDANNA WA 6060</v>
          </cell>
          <cell r="K1627" t="str">
            <v>0136004376</v>
          </cell>
        </row>
        <row r="1628">
          <cell r="G1628" t="str">
            <v>TANK WSC CAMPERSIC RD RED HILL</v>
          </cell>
          <cell r="H1628" t="str">
            <v>W0035372</v>
          </cell>
          <cell r="I1628" t="str">
            <v>LOT 23 CAMPERSIC RD</v>
          </cell>
          <cell r="J1628" t="str">
            <v>HERNE HILL WA 6056</v>
          </cell>
          <cell r="K1628" t="str">
            <v>0181021120</v>
          </cell>
        </row>
        <row r="1629">
          <cell r="G1629" t="str">
            <v>SPS CROYDON ST DIANELLA</v>
          </cell>
          <cell r="H1629" t="str">
            <v>S0030122</v>
          </cell>
          <cell r="I1629" t="str">
            <v>COODE ST</v>
          </cell>
          <cell r="J1629" t="str">
            <v>DIANELLA WA 6059</v>
          </cell>
          <cell r="K1629" t="str">
            <v>0248000177</v>
          </cell>
        </row>
        <row r="1630">
          <cell r="G1630" t="str">
            <v>MANNING RD CMS</v>
          </cell>
          <cell r="H1630" t="str">
            <v>W0012748</v>
          </cell>
          <cell r="I1630" t="str">
            <v>LOT 2242 PARKHILL WAY</v>
          </cell>
          <cell r="J1630" t="str">
            <v>WILSON WA 6107</v>
          </cell>
          <cell r="K1630" t="str">
            <v>0181056466</v>
          </cell>
        </row>
        <row r="1631">
          <cell r="G1631" t="str">
            <v>SPS HAWKINS ST ROCKINGHAM</v>
          </cell>
          <cell r="H1631" t="str">
            <v>S0030431</v>
          </cell>
          <cell r="I1631" t="str">
            <v>U43 LOT 55 HAWKINS ST</v>
          </cell>
          <cell r="J1631" t="str">
            <v>ROCKINGHAM WA 6168</v>
          </cell>
          <cell r="K1631" t="str">
            <v>002101571</v>
          </cell>
        </row>
        <row r="1632">
          <cell r="G1632" t="str">
            <v>BORE 01-07 CERVANTES</v>
          </cell>
          <cell r="H1632" t="str">
            <v>W4002300</v>
          </cell>
          <cell r="I1632" t="str">
            <v>LOCN 85</v>
          </cell>
          <cell r="J1632" t="str">
            <v>CERVANTES WA 6511</v>
          </cell>
          <cell r="K1632" t="str">
            <v>0148006166</v>
          </cell>
        </row>
        <row r="1633">
          <cell r="G1633" t="str">
            <v>DPS JOYCE ST SCARBOROUGH</v>
          </cell>
          <cell r="H1633" t="str">
            <v>D0036289</v>
          </cell>
          <cell r="I1633" t="str">
            <v>SCARBOROUGH BEACH RD</v>
          </cell>
          <cell r="J1633" t="str">
            <v>SCARBOROUGH WA 6019</v>
          </cell>
          <cell r="K1633" t="str">
            <v>410AM100633</v>
          </cell>
        </row>
        <row r="1634">
          <cell r="G1634" t="str">
            <v>COMMON FACILITIES LEXIA GWTP</v>
          </cell>
          <cell r="H1634" t="str">
            <v>W1001650</v>
          </cell>
          <cell r="I1634" t="str">
            <v>TICK RD</v>
          </cell>
          <cell r="J1634" t="str">
            <v>LEXIA WA 6065</v>
          </cell>
          <cell r="K1634" t="str">
            <v>0104000295</v>
          </cell>
        </row>
        <row r="1635">
          <cell r="G1635" t="str">
            <v>BORE SITE G17</v>
          </cell>
          <cell r="H1635" t="str">
            <v>W1006210</v>
          </cell>
          <cell r="I1635" t="str">
            <v>LOT 9604 MARMION AVE</v>
          </cell>
          <cell r="J1635" t="str">
            <v>NORTH BEACH WA 6020</v>
          </cell>
          <cell r="K1635" t="str">
            <v>0295000013</v>
          </cell>
        </row>
        <row r="1636">
          <cell r="G1636" t="str">
            <v>BICKLEY RESERVOIR</v>
          </cell>
          <cell r="H1636" t="str">
            <v>W0008558</v>
          </cell>
          <cell r="I1636" t="str">
            <v>LOT 302 HARDINGE RD</v>
          </cell>
          <cell r="J1636" t="str">
            <v>ORANGE GROVE WA 6109</v>
          </cell>
          <cell r="K1636" t="str">
            <v>0204000102</v>
          </cell>
        </row>
        <row r="1637">
          <cell r="G1637" t="str">
            <v>SPS CALADENIA PDE MT CLAREMONT</v>
          </cell>
          <cell r="H1637" t="str">
            <v>S0032596</v>
          </cell>
          <cell r="I1637" t="str">
            <v>52 CALADENIA PDE</v>
          </cell>
          <cell r="J1637" t="str">
            <v>MOUNT CLAREMONT WA 6010</v>
          </cell>
          <cell r="K1637" t="str">
            <v>0280003434</v>
          </cell>
        </row>
        <row r="1638">
          <cell r="G1638" t="str">
            <v>CDP MONTEM ST MT BARKER</v>
          </cell>
          <cell r="H1638" t="str">
            <v>W0023755</v>
          </cell>
          <cell r="I1638" t="str">
            <v>LOT 9 MONTEM ST</v>
          </cell>
          <cell r="J1638" t="str">
            <v>MOUNT BARKER WA 6324</v>
          </cell>
          <cell r="K1638" t="str">
            <v>0148004878</v>
          </cell>
        </row>
        <row r="1639">
          <cell r="G1639" t="str">
            <v>SPS PERRY LAKES FLOREAT</v>
          </cell>
          <cell r="H1639" t="str">
            <v>S0032021</v>
          </cell>
          <cell r="I1639" t="str">
            <v>LOT 1 LICHENDALE ST</v>
          </cell>
          <cell r="J1639" t="str">
            <v>FLOREAT WA 6014</v>
          </cell>
          <cell r="K1639" t="str">
            <v>0148001670</v>
          </cell>
        </row>
        <row r="1640">
          <cell r="G1640" t="str">
            <v>WTP PLAIN RD WALPOLE</v>
          </cell>
          <cell r="H1640" t="str">
            <v>W0046348</v>
          </cell>
          <cell r="I1640" t="str">
            <v>U51 SOUTH COAST HWY</v>
          </cell>
          <cell r="J1640" t="str">
            <v>WALPOLE WA 6398</v>
          </cell>
          <cell r="K1640" t="str">
            <v>0136003286</v>
          </cell>
        </row>
        <row r="1641">
          <cell r="G1641" t="str">
            <v>DPS SHAFTESBURY AV BEDFORD</v>
          </cell>
          <cell r="H1641" t="str">
            <v>D0036111</v>
          </cell>
          <cell r="I1641" t="str">
            <v>SHAFTESBURY AVE</v>
          </cell>
          <cell r="J1641" t="str">
            <v>BEDFORD WA 6052</v>
          </cell>
          <cell r="K1641" t="str">
            <v>410M103685</v>
          </cell>
        </row>
        <row r="1642">
          <cell r="G1642" t="str">
            <v>SPS MANNING RD WEST KARAWARA</v>
          </cell>
          <cell r="H1642" t="str">
            <v>S0033047</v>
          </cell>
          <cell r="I1642" t="str">
            <v>U43 MANNING RD</v>
          </cell>
          <cell r="J1642" t="str">
            <v>MANNING WA 6152</v>
          </cell>
          <cell r="K1642" t="str">
            <v>0136005084</v>
          </cell>
        </row>
        <row r="1643">
          <cell r="G1643" t="str">
            <v>SPS LYREBIRD WY THORNLIE</v>
          </cell>
          <cell r="H1643" t="str">
            <v>S0033455</v>
          </cell>
          <cell r="I1643" t="str">
            <v>6 LYREBIRD WAY</v>
          </cell>
          <cell r="J1643" t="str">
            <v>THORNLIE WA 6108</v>
          </cell>
          <cell r="K1643" t="str">
            <v>0148001620</v>
          </cell>
        </row>
        <row r="1644">
          <cell r="G1644" t="str">
            <v>SPS ESTUARY RD NTH DAWESVILLE</v>
          </cell>
          <cell r="H1644" t="str">
            <v>S8007324</v>
          </cell>
          <cell r="I1644" t="str">
            <v>LOT 68 ESTUARY RD</v>
          </cell>
          <cell r="J1644" t="str">
            <v>DAWESVILLE WA 6210</v>
          </cell>
          <cell r="K1644" t="str">
            <v>0180029762</v>
          </cell>
        </row>
        <row r="1645">
          <cell r="G1645" t="str">
            <v>SPS HYLAND ST BASSENDEAN</v>
          </cell>
          <cell r="H1645" t="str">
            <v>S0030159</v>
          </cell>
          <cell r="I1645" t="str">
            <v>U42 LOT 191 HYLAND ST</v>
          </cell>
          <cell r="J1645" t="str">
            <v>BASSENDEAN WA 6054</v>
          </cell>
          <cell r="K1645" t="str">
            <v>0148004178</v>
          </cell>
        </row>
        <row r="1646">
          <cell r="G1646" t="str">
            <v>SPS MANDURAH TCE MANDURAH</v>
          </cell>
          <cell r="H1646" t="str">
            <v>S0044725</v>
          </cell>
          <cell r="I1646" t="str">
            <v>LOT 2250 MANDURAH TCE</v>
          </cell>
          <cell r="J1646" t="str">
            <v>MANDURAH WA 6210</v>
          </cell>
          <cell r="K1646" t="str">
            <v>0136004361</v>
          </cell>
        </row>
        <row r="1647">
          <cell r="G1647" t="str">
            <v>SPS THELMA ST WEST COMO</v>
          </cell>
          <cell r="H1647" t="str">
            <v>S0034181</v>
          </cell>
          <cell r="I1647" t="str">
            <v>U43 THELMA ST</v>
          </cell>
          <cell r="J1647" t="str">
            <v>COMO WA 6152</v>
          </cell>
          <cell r="K1647" t="str">
            <v>0148002296</v>
          </cell>
        </row>
        <row r="1648">
          <cell r="G1648" t="str">
            <v>SPS BAKER ST GERALDTON</v>
          </cell>
          <cell r="H1648" t="str">
            <v>S4000010</v>
          </cell>
          <cell r="I1648" t="str">
            <v>LOT 102 BAKER ST</v>
          </cell>
          <cell r="J1648" t="str">
            <v>GERALDTON WA 6530</v>
          </cell>
          <cell r="K1648" t="str">
            <v>410M190649</v>
          </cell>
        </row>
        <row r="1649">
          <cell r="G1649" t="str">
            <v>WPS MOONYOONOOKA</v>
          </cell>
          <cell r="H1649" t="str">
            <v>W0040003</v>
          </cell>
          <cell r="I1649" t="str">
            <v>LOT 9711 MOONYOONOOKA-NARNGULU RD</v>
          </cell>
          <cell r="J1649" t="str">
            <v>MOONYOONOOKA WA 6532</v>
          </cell>
          <cell r="K1649" t="str">
            <v>0148006439</v>
          </cell>
        </row>
        <row r="1650">
          <cell r="G1650" t="str">
            <v>WPS GNANGARA BOOSTER PUMP STATION</v>
          </cell>
          <cell r="H1650" t="str">
            <v>W1014413</v>
          </cell>
          <cell r="I1650" t="str">
            <v>LOT 3000 GNANGARA RD</v>
          </cell>
          <cell r="J1650" t="str">
            <v>LEXIA WA 6065</v>
          </cell>
          <cell r="K1650" t="str">
            <v>0295000178</v>
          </cell>
        </row>
        <row r="1651">
          <cell r="G1651" t="str">
            <v>SPS ARITI AV WANNEROO</v>
          </cell>
          <cell r="H1651" t="str">
            <v>S0029333</v>
          </cell>
          <cell r="I1651" t="str">
            <v>ARITI AVE</v>
          </cell>
          <cell r="J1651" t="str">
            <v>WANNEROO WA 6065</v>
          </cell>
          <cell r="K1651" t="str">
            <v>0136004524</v>
          </cell>
        </row>
        <row r="1652">
          <cell r="G1652" t="str">
            <v>SPS 1 ACACIA ST KAMBALDA EAST</v>
          </cell>
          <cell r="H1652" t="str">
            <v>S6000701</v>
          </cell>
          <cell r="I1652" t="str">
            <v>ACACIA RD</v>
          </cell>
          <cell r="J1652" t="str">
            <v>KAMBALDA EAST WA 6442</v>
          </cell>
          <cell r="K1652" t="str">
            <v>0350030739</v>
          </cell>
        </row>
        <row r="1653">
          <cell r="G1653" t="str">
            <v>RANGERS RESIDENCE, CHURCHMANS BK</v>
          </cell>
          <cell r="H1653" t="str">
            <v>W0006795</v>
          </cell>
          <cell r="I1653" t="str">
            <v>CHURCHMANS BROOK RD</v>
          </cell>
          <cell r="J1653" t="str">
            <v>BEDFORDALE WA 6112</v>
          </cell>
          <cell r="K1653" t="str">
            <v>410M128527</v>
          </cell>
        </row>
        <row r="1654">
          <cell r="G1654" t="str">
            <v>BORE SITE Q180</v>
          </cell>
          <cell r="H1654" t="str">
            <v>W1001214</v>
          </cell>
          <cell r="I1654" t="str">
            <v>LOT 8008 MARMION AVE</v>
          </cell>
          <cell r="J1654" t="str">
            <v>JINDALEE WA 6036</v>
          </cell>
          <cell r="K1654" t="str">
            <v>0148003951</v>
          </cell>
        </row>
        <row r="1655">
          <cell r="G1655" t="str">
            <v>SPS WILLCOCK DR MAHOMETS FLATS</v>
          </cell>
          <cell r="H1655" t="str">
            <v>S0037781</v>
          </cell>
          <cell r="I1655" t="str">
            <v>LOT 140 WILLCOCK DR</v>
          </cell>
          <cell r="J1655" t="str">
            <v>MAHOMETS FLATS WA 6530</v>
          </cell>
          <cell r="K1655" t="str">
            <v>0148002557</v>
          </cell>
        </row>
        <row r="1656">
          <cell r="G1656" t="str">
            <v>SPS ZOE ST SOUTH BUNBURY</v>
          </cell>
          <cell r="H1656" t="str">
            <v>S0044173</v>
          </cell>
          <cell r="I1656" t="str">
            <v>ZOE ST</v>
          </cell>
          <cell r="J1656" t="str">
            <v>BUNBURY WA 6230</v>
          </cell>
          <cell r="K1656" t="str">
            <v>450M5778</v>
          </cell>
        </row>
        <row r="1657">
          <cell r="G1657" t="str">
            <v>WPS BINDULI</v>
          </cell>
          <cell r="H1657" t="str">
            <v>W5023150</v>
          </cell>
          <cell r="I1657" t="str">
            <v>LOT 469 GREAT EASTERN HWY</v>
          </cell>
          <cell r="J1657" t="str">
            <v>KALGOORLIE WA 6430</v>
          </cell>
          <cell r="K1657" t="str">
            <v>0295000228</v>
          </cell>
        </row>
        <row r="1658">
          <cell r="G1658" t="str">
            <v>WPS KALAMUNDA RD MAIDA VALE</v>
          </cell>
          <cell r="H1658" t="str">
            <v>W0035885</v>
          </cell>
          <cell r="I1658" t="str">
            <v>KALAMUNDA RD</v>
          </cell>
          <cell r="J1658" t="str">
            <v>MAIDA VALE WA 6057</v>
          </cell>
          <cell r="K1658" t="str">
            <v>0211001221</v>
          </cell>
        </row>
        <row r="1659">
          <cell r="G1659" t="str">
            <v>BORE SITE G12</v>
          </cell>
          <cell r="H1659" t="str">
            <v>W1001263</v>
          </cell>
          <cell r="I1659" t="str">
            <v>U 41 DUTTON CRES</v>
          </cell>
          <cell r="J1659" t="str">
            <v>HAMERSLEY WA 6022</v>
          </cell>
          <cell r="K1659" t="str">
            <v>0211001095</v>
          </cell>
        </row>
        <row r="1660">
          <cell r="G1660" t="str">
            <v>WPS BRINGO</v>
          </cell>
          <cell r="H1660" t="str">
            <v>W0039990</v>
          </cell>
          <cell r="I1660" t="str">
            <v>LOCN 1815 GERALDTON-MOUNT MAGNET RD</v>
          </cell>
          <cell r="J1660" t="str">
            <v>BRINGO WA 6532</v>
          </cell>
          <cell r="K1660" t="str">
            <v>0148005792</v>
          </cell>
        </row>
        <row r="1661">
          <cell r="G1661" t="str">
            <v>WPS KOONDOOLA AV KOONDOOLA</v>
          </cell>
          <cell r="H1661" t="str">
            <v>W0035641</v>
          </cell>
          <cell r="I1661" t="str">
            <v>LOT 3 KOONDOOLA AVE</v>
          </cell>
          <cell r="J1661" t="str">
            <v>KOONDOOLA WA 6064</v>
          </cell>
          <cell r="K1661" t="str">
            <v>0211001159</v>
          </cell>
        </row>
        <row r="1662">
          <cell r="G1662" t="str">
            <v>WPS BOOSTER EAKINS CR OCEAN RIDGE</v>
          </cell>
          <cell r="H1662" t="str">
            <v>W0039791</v>
          </cell>
          <cell r="I1662" t="str">
            <v>50 EAKINS CRES</v>
          </cell>
          <cell r="J1662" t="str">
            <v>WANDINA WA 6530</v>
          </cell>
          <cell r="K1662" t="str">
            <v>0148006442</v>
          </cell>
        </row>
        <row r="1663">
          <cell r="G1663" t="str">
            <v>BORE SITE M182</v>
          </cell>
          <cell r="H1663" t="str">
            <v>W1001315</v>
          </cell>
          <cell r="I1663" t="str">
            <v>LOT 182M WOOLLCOTT AVE</v>
          </cell>
          <cell r="J1663" t="str">
            <v>WHITEMAN WA 6068</v>
          </cell>
          <cell r="K1663" t="str">
            <v>0248000112</v>
          </cell>
        </row>
        <row r="1664">
          <cell r="G1664" t="str">
            <v>DPS SANDERS LOOP KARDINYA</v>
          </cell>
          <cell r="H1664" t="str">
            <v>D0036487</v>
          </cell>
          <cell r="I1664" t="str">
            <v>U43 NORTH LAKE RD</v>
          </cell>
          <cell r="J1664" t="str">
            <v>KARDINYA WA 6163</v>
          </cell>
          <cell r="K1664" t="str">
            <v>001401405</v>
          </cell>
        </row>
        <row r="1665">
          <cell r="G1665" t="str">
            <v>BORE SITE J370</v>
          </cell>
          <cell r="H1665" t="str">
            <v>W1001477</v>
          </cell>
          <cell r="I1665" t="str">
            <v>LOT 370J HOULT MEWS</v>
          </cell>
          <cell r="J1665" t="str">
            <v>ATWELL WA 6164</v>
          </cell>
          <cell r="K1665" t="str">
            <v>0248000173</v>
          </cell>
        </row>
        <row r="1666">
          <cell r="G1666" t="str">
            <v>TANK WSC GT EASTERN HWY GREENMOUNT</v>
          </cell>
          <cell r="H1666" t="str">
            <v>W0035458</v>
          </cell>
          <cell r="I1666" t="str">
            <v>550 GREAT EASTERN HWY</v>
          </cell>
          <cell r="J1666" t="str">
            <v>DARLINGTON WA 6070</v>
          </cell>
          <cell r="K1666" t="str">
            <v>4150AM640</v>
          </cell>
        </row>
        <row r="1667">
          <cell r="G1667" t="str">
            <v>WTP HAMILTON RD DENMARK</v>
          </cell>
          <cell r="H1667" t="str">
            <v>W7001755</v>
          </cell>
          <cell r="I1667" t="str">
            <v>LOT 2064 HAMILTON RD</v>
          </cell>
          <cell r="J1667" t="str">
            <v>DENMARK WA 6333</v>
          </cell>
          <cell r="K1667" t="str">
            <v>0211001121</v>
          </cell>
        </row>
        <row r="1668">
          <cell r="G1668" t="str">
            <v>BOREFIELD GUILDERTON</v>
          </cell>
          <cell r="H1668" t="str">
            <v>W0041644</v>
          </cell>
          <cell r="I1668" t="str">
            <v>LOC 9415 GUILDERTON RD</v>
          </cell>
          <cell r="J1668" t="str">
            <v>GINGIN WA 6503</v>
          </cell>
          <cell r="K1668" t="str">
            <v>0081000171</v>
          </cell>
        </row>
        <row r="1669">
          <cell r="G1669" t="str">
            <v>SPS PARKHILL WY WILSON</v>
          </cell>
          <cell r="H1669" t="str">
            <v>S2019016</v>
          </cell>
          <cell r="I1669" t="str">
            <v>LOT 280 PARKHILL WAY</v>
          </cell>
          <cell r="J1669" t="str">
            <v>WILSON WA 6107</v>
          </cell>
          <cell r="K1669" t="str">
            <v>0350044869</v>
          </cell>
        </row>
        <row r="1670">
          <cell r="G1670" t="str">
            <v>SPS KARALUNDIE WY MULLALOO</v>
          </cell>
          <cell r="H1670" t="str">
            <v>S0027289</v>
          </cell>
          <cell r="I1670" t="str">
            <v>KARALUNDIE WAY</v>
          </cell>
          <cell r="J1670" t="str">
            <v>MULLALOO WA 6027</v>
          </cell>
          <cell r="K1670" t="str">
            <v>0102000459</v>
          </cell>
        </row>
        <row r="1671">
          <cell r="G1671" t="str">
            <v>DEPOT UNA ST WAGIN</v>
          </cell>
          <cell r="H1671" t="str">
            <v>C7000015</v>
          </cell>
          <cell r="I1671" t="str">
            <v>LOT 171 UNA ST</v>
          </cell>
          <cell r="J1671" t="str">
            <v>WAGIN WA 6315</v>
          </cell>
          <cell r="K1671" t="str">
            <v>410M96431</v>
          </cell>
        </row>
        <row r="1672">
          <cell r="G1672" t="str">
            <v>WPS YERBILLON</v>
          </cell>
          <cell r="H1672" t="str">
            <v>W0021236</v>
          </cell>
          <cell r="I1672" t="str">
            <v>GREAT EASTERN HWY</v>
          </cell>
          <cell r="J1672" t="str">
            <v>BODALLIN WA 6424</v>
          </cell>
          <cell r="K1672" t="str">
            <v>0214002372</v>
          </cell>
        </row>
        <row r="1673">
          <cell r="G1673" t="str">
            <v>WADE ROAD CMS</v>
          </cell>
          <cell r="H1673" t="str">
            <v>W0012249</v>
          </cell>
          <cell r="I1673" t="str">
            <v>LOT 51 WADE RD</v>
          </cell>
          <cell r="J1673" t="str">
            <v>NORTH DANDALUP WA 6207</v>
          </cell>
          <cell r="K1673" t="str">
            <v>15M10478</v>
          </cell>
        </row>
        <row r="1674">
          <cell r="G1674" t="str">
            <v>BORE 72-77 WERILLUP</v>
          </cell>
          <cell r="H1674" t="str">
            <v>W0023399</v>
          </cell>
          <cell r="I1674" t="str">
            <v>LOT 72P SANDPATCH RD</v>
          </cell>
          <cell r="J1674" t="str">
            <v>ALBANY  WA 6330</v>
          </cell>
          <cell r="K1674" t="str">
            <v>0148005395</v>
          </cell>
        </row>
        <row r="1675">
          <cell r="G1675" t="str">
            <v>SPS FLYNN ST CHURCHLANDS</v>
          </cell>
          <cell r="H1675" t="str">
            <v>S0031690</v>
          </cell>
          <cell r="I1675" t="str">
            <v>LOT 1015 THE FORESHORE</v>
          </cell>
          <cell r="J1675" t="str">
            <v>CHURCHLANDS WA 6018</v>
          </cell>
          <cell r="K1675" t="str">
            <v>450M22418</v>
          </cell>
        </row>
        <row r="1676">
          <cell r="G1676" t="str">
            <v>WTP WHEATLEY COAST RD QUINNINUP</v>
          </cell>
          <cell r="H1676" t="str">
            <v>W0046321</v>
          </cell>
          <cell r="I1676" t="str">
            <v>U51 WHEATLEY COAST RD</v>
          </cell>
          <cell r="J1676" t="str">
            <v>QUINNINUP WA 6258</v>
          </cell>
          <cell r="K1676" t="str">
            <v>0248000849</v>
          </cell>
        </row>
        <row r="1677">
          <cell r="G1677" t="str">
            <v>BORE 01-99 MINNINUP RD DALYELLUP</v>
          </cell>
          <cell r="H1677" t="str">
            <v>W8000915</v>
          </cell>
          <cell r="I1677" t="str">
            <v>LOT 304 MINNINUP RD</v>
          </cell>
          <cell r="J1677" t="str">
            <v>BUNBURY WA 6230</v>
          </cell>
          <cell r="K1677" t="str">
            <v>0136001978</v>
          </cell>
        </row>
        <row r="1678">
          <cell r="G1678" t="str">
            <v>SPS MASON ST CRANBROOK</v>
          </cell>
          <cell r="H1678" t="str">
            <v>S7000172</v>
          </cell>
          <cell r="I1678" t="str">
            <v>LOT 29695 MASON ST</v>
          </cell>
          <cell r="J1678" t="str">
            <v>CRANBROOK WA 6321</v>
          </cell>
          <cell r="K1678" t="str">
            <v>450M21594</v>
          </cell>
        </row>
        <row r="1679">
          <cell r="G1679" t="str">
            <v>SPS WEST ST BUSSELTON</v>
          </cell>
          <cell r="H1679" t="str">
            <v>S8000849</v>
          </cell>
          <cell r="I1679" t="str">
            <v>LOT 28 WEST ST</v>
          </cell>
          <cell r="J1679" t="str">
            <v>BUSSELTON WA 6280</v>
          </cell>
          <cell r="K1679" t="str">
            <v>0136002207</v>
          </cell>
        </row>
        <row r="1680">
          <cell r="G1680" t="str">
            <v>CATHODIC SITE, SEVENOAKS (4C) (Deep)</v>
          </cell>
          <cell r="H1680" t="str">
            <v>W1015517</v>
          </cell>
          <cell r="I1680" t="str">
            <v>LOT 44 SEVENOAKS ST</v>
          </cell>
          <cell r="J1680" t="str">
            <v>BECKENHAM WA 6107</v>
          </cell>
          <cell r="K1680" t="str">
            <v>0200093050</v>
          </cell>
        </row>
        <row r="1681">
          <cell r="G1681" t="str">
            <v>SPS JARVIS ST O'CONNOR</v>
          </cell>
          <cell r="H1681" t="str">
            <v>S2013768</v>
          </cell>
          <cell r="I1681" t="str">
            <v>JARVIS ST</v>
          </cell>
          <cell r="J1681" t="str">
            <v>O'CONNOR WA 6163</v>
          </cell>
          <cell r="K1681" t="str">
            <v>0180011393</v>
          </cell>
        </row>
        <row r="1682">
          <cell r="G1682" t="str">
            <v>SPS CREWE ST BICTON</v>
          </cell>
          <cell r="H1682" t="str">
            <v>S0033640</v>
          </cell>
          <cell r="I1682" t="str">
            <v>U43 LOT 0 CREWE ST</v>
          </cell>
          <cell r="J1682" t="str">
            <v>BICTON WA 6157</v>
          </cell>
          <cell r="K1682" t="str">
            <v>0148001626</v>
          </cell>
        </row>
        <row r="1683">
          <cell r="G1683" t="str">
            <v>WPS SCARP RD JARRAHDALE</v>
          </cell>
          <cell r="H1683" t="str">
            <v>W2000005</v>
          </cell>
          <cell r="I1683" t="str">
            <v>KINGSBURY DR</v>
          </cell>
          <cell r="J1683" t="str">
            <v>JARRAHDALE WA 6124</v>
          </cell>
          <cell r="K1683" t="str">
            <v>0148001509</v>
          </cell>
        </row>
        <row r="1684">
          <cell r="G1684" t="str">
            <v>WPS GREENHILLS</v>
          </cell>
          <cell r="H1684" t="str">
            <v>W0018920</v>
          </cell>
          <cell r="I1684" t="str">
            <v>LOT 9 TOP BEVERLEY RD</v>
          </cell>
          <cell r="J1684" t="str">
            <v>YORK WA 6302</v>
          </cell>
          <cell r="K1684" t="str">
            <v>210AM2474</v>
          </cell>
        </row>
        <row r="1685">
          <cell r="G1685" t="str">
            <v>BORE 06 MOOKARDY HILL MOORA</v>
          </cell>
          <cell r="H1685" t="str">
            <v>W0042185</v>
          </cell>
          <cell r="I1685" t="str">
            <v>LOT 908 ATBARA ST</v>
          </cell>
          <cell r="J1685" t="str">
            <v>MOORA WA 6510</v>
          </cell>
          <cell r="K1685" t="str">
            <v>0148006165</v>
          </cell>
        </row>
        <row r="1686">
          <cell r="G1686" t="str">
            <v>WWTP GAS BAY RD GNARABUP</v>
          </cell>
          <cell r="H1686" t="str">
            <v>S088-001-003</v>
          </cell>
          <cell r="I1686" t="str">
            <v>LOT 603 GASBAY RD</v>
          </cell>
          <cell r="J1686" t="str">
            <v>PREVELLY WA 6285</v>
          </cell>
          <cell r="K1686" t="str">
            <v>0148002075</v>
          </cell>
        </row>
        <row r="1687">
          <cell r="G1687" t="str">
            <v>BOREFIELD NEW NORCIA</v>
          </cell>
          <cell r="H1687" t="str">
            <v>W0042435</v>
          </cell>
          <cell r="I1687" t="str">
            <v>LOC 3511 LOC #</v>
          </cell>
          <cell r="J1687" t="str">
            <v>NEW NORCIA WA 6509</v>
          </cell>
          <cell r="K1687" t="str">
            <v>0149000187</v>
          </cell>
        </row>
        <row r="1688">
          <cell r="G1688"/>
          <cell r="H1688" t="e">
            <v>#N/A</v>
          </cell>
          <cell r="I1688" t="str">
            <v>GREAT EASTERN HWY</v>
          </cell>
          <cell r="J1688" t="str">
            <v>GHOOLI WA 6426</v>
          </cell>
          <cell r="K1688" t="str">
            <v>0200083976</v>
          </cell>
        </row>
        <row r="1689">
          <cell r="G1689" t="str">
            <v>SPS HASLER RD OSBORNE PARK</v>
          </cell>
          <cell r="H1689" t="str">
            <v>S0031709</v>
          </cell>
          <cell r="I1689" t="str">
            <v>LOT 179 HASLER RD</v>
          </cell>
          <cell r="J1689" t="str">
            <v>OSBORNE PARK WA 6017</v>
          </cell>
          <cell r="K1689" t="str">
            <v>0136004123</v>
          </cell>
        </row>
        <row r="1690">
          <cell r="G1690" t="str">
            <v>TANK WSC MILLS RD EAST MARTIN</v>
          </cell>
          <cell r="H1690" t="str">
            <v>W0035925</v>
          </cell>
          <cell r="I1690" t="str">
            <v>LOT 40 MILLEARA RD</v>
          </cell>
          <cell r="J1690" t="str">
            <v>MARTIN WA 6110</v>
          </cell>
          <cell r="K1690" t="str">
            <v>15M312885</v>
          </cell>
        </row>
        <row r="1691">
          <cell r="G1691" t="str">
            <v>BORE SITE M27</v>
          </cell>
          <cell r="H1691" t="str">
            <v>W1001333</v>
          </cell>
          <cell r="I1691" t="str">
            <v>LOT 4 PREMIER PL</v>
          </cell>
          <cell r="J1691" t="str">
            <v>BALLAJURA WA 6066</v>
          </cell>
          <cell r="K1691" t="str">
            <v>0148005746</v>
          </cell>
        </row>
        <row r="1692">
          <cell r="G1692" t="str">
            <v>SPS LYNTON ST MT HAWTHORN</v>
          </cell>
          <cell r="H1692" t="str">
            <v>S0031747</v>
          </cell>
          <cell r="I1692" t="str">
            <v>LYNTON ST</v>
          </cell>
          <cell r="J1692" t="str">
            <v>MOUNT HAWTHORN WA 6016</v>
          </cell>
          <cell r="K1692" t="str">
            <v>410M53762</v>
          </cell>
        </row>
        <row r="1693">
          <cell r="G1693" t="str">
            <v>NEERABUP GWTP</v>
          </cell>
          <cell r="H1693" t="str">
            <v>W0007709</v>
          </cell>
          <cell r="I1693" t="str">
            <v>LOT 12520 CONNOLLY DR</v>
          </cell>
          <cell r="J1693" t="str">
            <v>NEERABUP WA 6031</v>
          </cell>
          <cell r="K1693" t="str">
            <v>0204000016</v>
          </cell>
        </row>
        <row r="1694">
          <cell r="G1694" t="str">
            <v>SPS BROCKMAN RD PEMBERTON</v>
          </cell>
          <cell r="H1694" t="str">
            <v>S0044936</v>
          </cell>
          <cell r="I1694" t="str">
            <v>BROCKMAN ST</v>
          </cell>
          <cell r="J1694" t="str">
            <v>PEMBERTON WA 6260</v>
          </cell>
          <cell r="K1694" t="str">
            <v>410M169902</v>
          </cell>
        </row>
        <row r="1695">
          <cell r="G1695" t="str">
            <v>SPS UNIVERSITY AV CHURCHLANDS</v>
          </cell>
          <cell r="H1695" t="str">
            <v>S2019013</v>
          </cell>
          <cell r="I1695" t="str">
            <v>LOT 3002 UNIVERSITY AVE</v>
          </cell>
          <cell r="J1695" t="str">
            <v>CHURCHLANDS WA 6018</v>
          </cell>
          <cell r="K1695" t="str">
            <v>0380015368</v>
          </cell>
        </row>
        <row r="1696">
          <cell r="G1696" t="str">
            <v>CDP LEEUWIN SPRINGS LEEUWIN</v>
          </cell>
          <cell r="H1696" t="str">
            <v>W8001298</v>
          </cell>
          <cell r="I1696" t="str">
            <v>LOT 450 LEEUWIN RD</v>
          </cell>
          <cell r="J1696" t="str">
            <v>AUGUSTA WA 6290</v>
          </cell>
          <cell r="K1696" t="str">
            <v>002101077</v>
          </cell>
        </row>
        <row r="1697">
          <cell r="G1697" t="str">
            <v>SPS RODGERS ST GREENWOOD</v>
          </cell>
          <cell r="H1697" t="str">
            <v>S0028615</v>
          </cell>
          <cell r="I1697" t="str">
            <v>15 RODGERS ST</v>
          </cell>
          <cell r="J1697" t="str">
            <v>GREENWOOD WA 6024</v>
          </cell>
          <cell r="K1697" t="str">
            <v>410M107791</v>
          </cell>
        </row>
        <row r="1698">
          <cell r="G1698" t="str">
            <v>SPS WELWYN AV YANCHEP</v>
          </cell>
          <cell r="H1698" t="str">
            <v>S0030338</v>
          </cell>
          <cell r="I1698" t="str">
            <v>WELWYN AVE</v>
          </cell>
          <cell r="J1698" t="str">
            <v>YANCHEP WA 6035</v>
          </cell>
          <cell r="K1698" t="str">
            <v>0180023319</v>
          </cell>
        </row>
        <row r="1699">
          <cell r="G1699" t="str">
            <v>SPS WORDSWORTH AV YOKINE</v>
          </cell>
          <cell r="H1699" t="str">
            <v>S0038055</v>
          </cell>
          <cell r="I1699" t="str">
            <v>U45 WORDSWORTH AVE</v>
          </cell>
          <cell r="J1699" t="str">
            <v>YOKINE WA 6060</v>
          </cell>
          <cell r="K1699" t="str">
            <v>0148002462</v>
          </cell>
        </row>
        <row r="1700">
          <cell r="G1700" t="str">
            <v>SPS CULWORTH RD BASSENDEAN</v>
          </cell>
          <cell r="H1700" t="str">
            <v>S0030127</v>
          </cell>
          <cell r="I1700" t="str">
            <v>22 CULWORTH RD</v>
          </cell>
          <cell r="J1700" t="str">
            <v>BASSENDEAN WA 6054</v>
          </cell>
          <cell r="K1700" t="str">
            <v>0148006169</v>
          </cell>
        </row>
        <row r="1701">
          <cell r="G1701" t="str">
            <v>WPS HALIFAX PL MUNDARING</v>
          </cell>
          <cell r="H1701" t="str">
            <v>W0035484</v>
          </cell>
          <cell r="I1701" t="str">
            <v>U42 HALIFAX PL</v>
          </cell>
          <cell r="J1701" t="str">
            <v>MUNDARING WA 6073</v>
          </cell>
          <cell r="K1701" t="str">
            <v>0248002346</v>
          </cell>
        </row>
        <row r="1702">
          <cell r="G1702" t="str">
            <v>WATER TREATMENT HORROCKS</v>
          </cell>
          <cell r="H1702" t="str">
            <v>W236-001-004</v>
          </cell>
          <cell r="I1702" t="str">
            <v>LOC 6863 HORROCKS BEACH RD</v>
          </cell>
          <cell r="J1702" t="str">
            <v>NORTHAMPTON WA 6535</v>
          </cell>
          <cell r="K1702" t="str">
            <v>410M161913</v>
          </cell>
        </row>
        <row r="1703">
          <cell r="G1703" t="str">
            <v>SERPENTINE MAIN DAM</v>
          </cell>
          <cell r="H1703" t="str">
            <v>W0007961</v>
          </cell>
          <cell r="I1703" t="str">
            <v>KINGSBURY DR</v>
          </cell>
          <cell r="J1703" t="str">
            <v>JARRAHDALE WA 6124</v>
          </cell>
          <cell r="K1703" t="str">
            <v>000000000148004227</v>
          </cell>
        </row>
        <row r="1704">
          <cell r="G1704" t="str">
            <v>SPS FENELLIA CR CRAIGIE</v>
          </cell>
          <cell r="H1704" t="str">
            <v>S0028404</v>
          </cell>
          <cell r="I1704" t="str">
            <v>3 FENELLIA CRES</v>
          </cell>
          <cell r="J1704" t="str">
            <v>CRAIGIE WA 6025</v>
          </cell>
          <cell r="K1704" t="str">
            <v>0081000866</v>
          </cell>
        </row>
        <row r="1705">
          <cell r="G1705" t="str">
            <v>SPS 1 FORREST ST KELLERBERRIN</v>
          </cell>
          <cell r="H1705" t="str">
            <v>S0015419</v>
          </cell>
          <cell r="I1705" t="str">
            <v>LOT 1 RASON ST</v>
          </cell>
          <cell r="J1705" t="str">
            <v>KELLERBERRIN WA 6410</v>
          </cell>
          <cell r="K1705" t="str">
            <v>410M58984</v>
          </cell>
        </row>
        <row r="1706">
          <cell r="G1706" t="str">
            <v>SPS BARNET ST NORTH PERTH</v>
          </cell>
          <cell r="H1706" t="str">
            <v>S0031649</v>
          </cell>
          <cell r="I1706" t="str">
            <v>BARNET ST</v>
          </cell>
          <cell r="J1706" t="str">
            <v>NORTH PERTH WA 6006</v>
          </cell>
          <cell r="K1706" t="str">
            <v>410M103818</v>
          </cell>
        </row>
        <row r="1707">
          <cell r="G1707" t="str">
            <v>SPS SHAFTESBURY AVE BEDFORD</v>
          </cell>
          <cell r="H1707" t="str">
            <v>S2002874</v>
          </cell>
          <cell r="I1707" t="str">
            <v>107 SHAFTESBURY AVE</v>
          </cell>
          <cell r="J1707" t="str">
            <v>BEDFORD WA 6052</v>
          </cell>
          <cell r="K1707" t="str">
            <v>410M199896</v>
          </cell>
        </row>
        <row r="1708">
          <cell r="G1708" t="str">
            <v>SPS NAPLES PL SECRET HARBOUR</v>
          </cell>
          <cell r="H1708" t="str">
            <v>S0030528</v>
          </cell>
          <cell r="I1708" t="str">
            <v>NAPLES PL</v>
          </cell>
          <cell r="J1708" t="str">
            <v>SECRET HARBOUR WA 6173</v>
          </cell>
          <cell r="K1708" t="str">
            <v>0148005769</v>
          </cell>
        </row>
        <row r="1709">
          <cell r="G1709" t="str">
            <v>CHL SYS CORRIGIN TANK</v>
          </cell>
          <cell r="H1709" t="str">
            <v>W5009970</v>
          </cell>
          <cell r="I1709" t="str">
            <v>25 COURBOULES CRES</v>
          </cell>
          <cell r="J1709" t="str">
            <v>CORRIGIN WA 6375</v>
          </cell>
          <cell r="K1709" t="str">
            <v>15D058396</v>
          </cell>
        </row>
        <row r="1710">
          <cell r="G1710" t="str">
            <v>SPS BERYL AV SHELLEY</v>
          </cell>
          <cell r="H1710" t="str">
            <v>S0034218</v>
          </cell>
          <cell r="I1710" t="str">
            <v>RIVERTON NORTH DR</v>
          </cell>
          <cell r="J1710" t="str">
            <v>SHELLEY WA 6148</v>
          </cell>
          <cell r="K1710" t="str">
            <v>450M22333</v>
          </cell>
        </row>
        <row r="1711">
          <cell r="G1711" t="str">
            <v>SDOOL F/WATER ISOLATION VALVE VA16508</v>
          </cell>
          <cell r="H1711" t="str">
            <v>S1004859</v>
          </cell>
          <cell r="I1711" t="str">
            <v>LOT 605 MASON RD</v>
          </cell>
          <cell r="J1711" t="str">
            <v>KWINANA WA 6167</v>
          </cell>
          <cell r="K1711" t="str">
            <v>0350026796</v>
          </cell>
        </row>
        <row r="1712">
          <cell r="G1712" t="str">
            <v>SPS MARCHAMLEY ST CARLISLE</v>
          </cell>
          <cell r="H1712" t="str">
            <v>S0034118</v>
          </cell>
          <cell r="I1712" t="str">
            <v>7 MARCHAMLEY ST</v>
          </cell>
          <cell r="J1712" t="str">
            <v>CARLISLE WA 6101</v>
          </cell>
          <cell r="K1712" t="str">
            <v>410M46629</v>
          </cell>
        </row>
        <row r="1713">
          <cell r="G1713" t="str">
            <v>DPS SOMERSET ST EAST VICTORIA PARK</v>
          </cell>
          <cell r="H1713" t="str">
            <v>D0036472</v>
          </cell>
          <cell r="I1713" t="str">
            <v>SOMERSET ST</v>
          </cell>
          <cell r="J1713" t="str">
            <v>EAST VICTORIA PARK WA 6101</v>
          </cell>
          <cell r="K1713" t="str">
            <v>410M42239</v>
          </cell>
        </row>
        <row r="1714">
          <cell r="G1714" t="str">
            <v>BORE 08-57 SANDPATCH</v>
          </cell>
          <cell r="H1714" t="str">
            <v>W0023693</v>
          </cell>
          <cell r="I1714" t="str">
            <v>U56 LOC 6475 LOC #</v>
          </cell>
          <cell r="J1714" t="str">
            <v>LITTLE GROVE WA 6330</v>
          </cell>
          <cell r="K1714" t="str">
            <v>410M87807</v>
          </cell>
        </row>
        <row r="1715">
          <cell r="G1715" t="str">
            <v>WPS BRITTANIA PDE SEACREST DECOM</v>
          </cell>
          <cell r="H1715" t="str">
            <v>W4001601</v>
          </cell>
          <cell r="I1715" t="str">
            <v>LOT 456 BRITTANIA RD</v>
          </cell>
          <cell r="J1715" t="str">
            <v>WANDINA WA 6530</v>
          </cell>
          <cell r="K1715" t="str">
            <v>0180018846</v>
          </cell>
        </row>
        <row r="1716">
          <cell r="G1716" t="str">
            <v>SPS SUMMERLAKES PDE BALLAJURA</v>
          </cell>
          <cell r="H1716" t="e">
            <v>#N/A</v>
          </cell>
          <cell r="I1716" t="str">
            <v>SUMMERLAKES PDE</v>
          </cell>
          <cell r="J1716" t="str">
            <v>BALLAJURA WA 6066</v>
          </cell>
          <cell r="K1716" t="str">
            <v>410M132140</v>
          </cell>
        </row>
        <row r="1717">
          <cell r="G1717" t="str">
            <v>MUNDARING WASTEWATER TREATMENT PLANT</v>
          </cell>
          <cell r="H1717" t="str">
            <v>S001-001-015</v>
          </cell>
          <cell r="I1717" t="str">
            <v>L304 DARKAN ST</v>
          </cell>
          <cell r="J1717" t="str">
            <v>MUNDARING 6073</v>
          </cell>
          <cell r="K1717" t="str">
            <v>0148005897</v>
          </cell>
        </row>
        <row r="1718">
          <cell r="G1718" t="str">
            <v>BOREFIELD CALINGIRI</v>
          </cell>
          <cell r="H1718" t="str">
            <v>W0040507</v>
          </cell>
          <cell r="I1718" t="str">
            <v>LOC 1134</v>
          </cell>
          <cell r="J1718" t="str">
            <v>CALINGIRI WA 6569</v>
          </cell>
          <cell r="K1718" t="str">
            <v>0249000095</v>
          </cell>
        </row>
        <row r="1719">
          <cell r="G1719" t="str">
            <v>SPS WELLYA CR SOUTH YUNDERUP</v>
          </cell>
          <cell r="H1719" t="str">
            <v>S0045078</v>
          </cell>
          <cell r="I1719" t="str">
            <v>WELLYA CRES</v>
          </cell>
          <cell r="J1719" t="str">
            <v>SOUTH YUNDERUP WA 6208</v>
          </cell>
          <cell r="K1719" t="str">
            <v>410M127414</v>
          </cell>
        </row>
        <row r="1720">
          <cell r="G1720" t="str">
            <v>BORE 01-85 LAKESIDE TCE PRESTON BCH</v>
          </cell>
          <cell r="H1720" t="str">
            <v>W0046292</v>
          </cell>
          <cell r="I1720" t="str">
            <v>LAKESIDE TCE</v>
          </cell>
          <cell r="J1720" t="str">
            <v>PRESTON BEACH 6215</v>
          </cell>
          <cell r="K1720" t="str">
            <v>0148001499</v>
          </cell>
        </row>
        <row r="1721">
          <cell r="G1721" t="str">
            <v>SPS ARMANTA DR CAREY PARK</v>
          </cell>
          <cell r="H1721" t="str">
            <v>S0044164</v>
          </cell>
          <cell r="I1721" t="str">
            <v>LOT 215 ARMANTA DR</v>
          </cell>
          <cell r="J1721" t="str">
            <v>BUNBURY WA 6230</v>
          </cell>
          <cell r="K1721" t="str">
            <v>0350027992</v>
          </cell>
        </row>
        <row r="1722">
          <cell r="G1722" t="str">
            <v>SPS STH WEST HWY STH BRIDGETOWN</v>
          </cell>
          <cell r="H1722" t="str">
            <v>S8000517</v>
          </cell>
          <cell r="I1722" t="str">
            <v xml:space="preserve">23855 SOUTH WESTERN HWY </v>
          </cell>
          <cell r="J1722" t="str">
            <v>BRIDGETOWN 6255</v>
          </cell>
          <cell r="K1722" t="str">
            <v>0136000382</v>
          </cell>
        </row>
        <row r="1723">
          <cell r="G1723" t="str">
            <v>CHLORINATOR 1 CHL KOORDA</v>
          </cell>
          <cell r="H1723" t="str">
            <v>W5008080</v>
          </cell>
          <cell r="I1723" t="str">
            <v>KOORDA RD</v>
          </cell>
          <cell r="J1723" t="str">
            <v>KOORDA WA 6475</v>
          </cell>
          <cell r="K1723" t="str">
            <v>15D050683</v>
          </cell>
        </row>
        <row r="1724">
          <cell r="G1724" t="str">
            <v>SPS LILAC PL HUNTINGDALE</v>
          </cell>
          <cell r="H1724" t="str">
            <v>S0033448</v>
          </cell>
          <cell r="I1724" t="str">
            <v>U43 LOT 0 LILAC PL</v>
          </cell>
          <cell r="J1724" t="str">
            <v>THORNLIE WA 6108</v>
          </cell>
          <cell r="K1724" t="str">
            <v>0211000563</v>
          </cell>
        </row>
        <row r="1725">
          <cell r="G1725" t="str">
            <v>SPS DIXON ST CAREY PARK</v>
          </cell>
          <cell r="H1725" t="str">
            <v>S0044038</v>
          </cell>
          <cell r="I1725" t="str">
            <v>LOT 436 DIXON ST</v>
          </cell>
          <cell r="J1725" t="str">
            <v>BUNBURY WA 6230</v>
          </cell>
          <cell r="K1725" t="str">
            <v>0350029983</v>
          </cell>
        </row>
        <row r="1726">
          <cell r="G1726" t="str">
            <v>SITE INFRA DAM WAROONA</v>
          </cell>
          <cell r="H1726" t="str">
            <v>W8000367</v>
          </cell>
          <cell r="I1726" t="str">
            <v>NANGA BROOK RD</v>
          </cell>
          <cell r="J1726" t="str">
            <v>WAROONA  WA 6215</v>
          </cell>
          <cell r="K1726" t="str">
            <v>0180025687</v>
          </cell>
        </row>
        <row r="1727">
          <cell r="G1727" t="str">
            <v>SPS BAYSIDE DRUMMOND COVE</v>
          </cell>
          <cell r="H1727" t="str">
            <v>S0037870</v>
          </cell>
          <cell r="I1727" t="str">
            <v>LOT 750 WHITEHILL RD</v>
          </cell>
          <cell r="J1727" t="str">
            <v>DRUMMOND COVE WA 6532</v>
          </cell>
          <cell r="K1727" t="str">
            <v>410M178211</v>
          </cell>
        </row>
        <row r="1728">
          <cell r="G1728" t="str">
            <v>DAM LOGUE BROOK SW SCHEMES</v>
          </cell>
          <cell r="H1728" t="str">
            <v>W0046440</v>
          </cell>
          <cell r="I1728" t="str">
            <v>LOT 1000 LOGUE BROOK DAM RD</v>
          </cell>
          <cell r="J1728" t="str">
            <v>COOKERNUP WA 6220</v>
          </cell>
          <cell r="K1728" t="str">
            <v>15M280231</v>
          </cell>
        </row>
        <row r="1729">
          <cell r="G1729" t="str">
            <v>SPS GRENVILLE ST TUART HILL</v>
          </cell>
          <cell r="H1729" t="str">
            <v>S0028437</v>
          </cell>
          <cell r="I1729" t="str">
            <v>41 GRENVILLE ST</v>
          </cell>
          <cell r="J1729" t="str">
            <v>TUART HILL WA 6060</v>
          </cell>
          <cell r="K1729" t="str">
            <v>410M170378</v>
          </cell>
        </row>
        <row r="1730">
          <cell r="G1730" t="str">
            <v>SPS CRONIN ST MANJIMUP</v>
          </cell>
          <cell r="H1730" t="str">
            <v>S8010678</v>
          </cell>
          <cell r="I1730" t="str">
            <v>LOT 51 CRONIN ST</v>
          </cell>
          <cell r="J1730" t="str">
            <v>MANJIMUP WA 6258</v>
          </cell>
          <cell r="K1730" t="str">
            <v>0350031228</v>
          </cell>
        </row>
        <row r="1731">
          <cell r="G1731" t="str">
            <v>SPS COOLIBAH DR GREENWOOD</v>
          </cell>
          <cell r="H1731" t="str">
            <v>S0028313</v>
          </cell>
          <cell r="I1731" t="str">
            <v>U42 LESCHENAULTIA ST</v>
          </cell>
          <cell r="J1731" t="str">
            <v>GREENWOOD WA 6024</v>
          </cell>
          <cell r="K1731" t="str">
            <v>0081000911</v>
          </cell>
        </row>
        <row r="1732">
          <cell r="G1732" t="str">
            <v>DEPOT WHITEHEAD RD GNOWANGERUP</v>
          </cell>
          <cell r="H1732" t="str">
            <v>C7000006</v>
          </cell>
          <cell r="I1732" t="str">
            <v>5 WHITEHEAD RD</v>
          </cell>
          <cell r="J1732" t="str">
            <v>GNOWANGERUP WA 6335</v>
          </cell>
          <cell r="K1732" t="str">
            <v>410M111579</v>
          </cell>
        </row>
        <row r="1733">
          <cell r="G1733" t="str">
            <v>WPS WS5H NEWDEGATE EXT LAKE GRACE</v>
          </cell>
          <cell r="H1733" t="str">
            <v>W7000009</v>
          </cell>
          <cell r="I1733" t="str">
            <v>U54/1053 BURNS RD NORTH</v>
          </cell>
          <cell r="J1733" t="str">
            <v>LAKE GRACE WA 6353</v>
          </cell>
          <cell r="K1733" t="str">
            <v>410M194190</v>
          </cell>
        </row>
        <row r="1734">
          <cell r="G1734" t="str">
            <v>WWTP 2 MARGARET RIVER LONG RD BRAMELY</v>
          </cell>
          <cell r="H1734" t="str">
            <v>S093-001-004</v>
          </cell>
          <cell r="I1734" t="str">
            <v>LOT 56 BUSSELL HWY</v>
          </cell>
          <cell r="J1734" t="str">
            <v>MARGARET RIVER WA 6285</v>
          </cell>
          <cell r="K1734" t="str">
            <v>0140000377</v>
          </cell>
        </row>
        <row r="1735">
          <cell r="G1735" t="str">
            <v>SPS BURNS BEACH RD ILUKA</v>
          </cell>
          <cell r="H1735" t="str">
            <v>S0027264</v>
          </cell>
          <cell r="I1735" t="str">
            <v>BURNS BEACH RD</v>
          </cell>
          <cell r="J1735" t="str">
            <v>BURNS BEACH WA 6028</v>
          </cell>
          <cell r="K1735" t="str">
            <v>0248000437</v>
          </cell>
        </row>
        <row r="1736">
          <cell r="G1736" t="str">
            <v>SPS SOUTHERN DR BUSSELTON</v>
          </cell>
          <cell r="H1736" t="str">
            <v>S0044356</v>
          </cell>
          <cell r="I1736" t="str">
            <v>LOT 353 SOUTHERN DR</v>
          </cell>
          <cell r="J1736" t="str">
            <v>BUSSELTON WA 6280</v>
          </cell>
          <cell r="K1736" t="str">
            <v>410M113431</v>
          </cell>
        </row>
        <row r="1737">
          <cell r="G1737" t="str">
            <v>SPS BENARA RD WEST NORANDA</v>
          </cell>
          <cell r="H1737" t="str">
            <v>S0030042</v>
          </cell>
          <cell r="I1737" t="str">
            <v>LOT 480 BENARA RD</v>
          </cell>
          <cell r="J1737" t="str">
            <v>NORANDA WA 6062</v>
          </cell>
          <cell r="K1737" t="str">
            <v>410M98556</v>
          </cell>
        </row>
        <row r="1738">
          <cell r="G1738" t="str">
            <v>WPS NK WOODANILLING</v>
          </cell>
          <cell r="H1738" t="str">
            <v>W0022947</v>
          </cell>
          <cell r="I1738" t="str">
            <v>LOT 9175 BURT ST</v>
          </cell>
          <cell r="J1738" t="str">
            <v>WOODANILLING WA 6316</v>
          </cell>
          <cell r="K1738" t="str">
            <v>0136004492</v>
          </cell>
        </row>
        <row r="1739">
          <cell r="G1739" t="str">
            <v>BOREFIELD ALLANOOKA</v>
          </cell>
          <cell r="H1739" t="str">
            <v>W0039083</v>
          </cell>
          <cell r="I1739" t="str">
            <v>LOCN 1020 MOUNT HORNER WEST RD</v>
          </cell>
          <cell r="J1739" t="str">
            <v>ALLANOOKA WA 6525</v>
          </cell>
          <cell r="K1739" t="str">
            <v>0221000101</v>
          </cell>
        </row>
        <row r="1740">
          <cell r="G1740" t="str">
            <v>WPS WILLIAM RD MT HELENA</v>
          </cell>
          <cell r="H1740" t="str">
            <v>W0035510</v>
          </cell>
          <cell r="I1740" t="str">
            <v>495 SAMUEL ST</v>
          </cell>
          <cell r="J1740" t="str">
            <v>MOUNT HELENA WA 6082</v>
          </cell>
          <cell r="K1740" t="str">
            <v>410M180321</v>
          </cell>
        </row>
        <row r="1741">
          <cell r="G1741" t="str">
            <v>SPS THE COOMBE MOSMAN PARK</v>
          </cell>
          <cell r="H1741" t="str">
            <v>S0032695</v>
          </cell>
          <cell r="I1741" t="str">
            <v>RIVERVIEW PL</v>
          </cell>
          <cell r="J1741" t="str">
            <v>MOSMAN PARK WA 6012</v>
          </cell>
          <cell r="K1741" t="str">
            <v>450M22313</v>
          </cell>
        </row>
        <row r="1742">
          <cell r="G1742" t="str">
            <v>DEPOT SEVILLE ST CERVANTES</v>
          </cell>
          <cell r="H1742" t="str">
            <v>C0036878</v>
          </cell>
          <cell r="I1742" t="str">
            <v>LOT 337 SEVILLE ST</v>
          </cell>
          <cell r="J1742" t="str">
            <v>CERVANTES WA 6511</v>
          </cell>
          <cell r="K1742" t="str">
            <v>410M126766</v>
          </cell>
        </row>
        <row r="1743">
          <cell r="G1743" t="str">
            <v>WPS WINDJAMMER PWY JINDALEE</v>
          </cell>
          <cell r="H1743" t="str">
            <v>W2000525</v>
          </cell>
          <cell r="I1743" t="str">
            <v>20 WINDJAMMER PARKWAY</v>
          </cell>
          <cell r="J1743" t="str">
            <v>JINDALEE WA 6036</v>
          </cell>
          <cell r="K1743" t="str">
            <v>0148005752</v>
          </cell>
        </row>
        <row r="1744">
          <cell r="G1744" t="str">
            <v>WSC NORTH LAKE GRACE</v>
          </cell>
          <cell r="H1744" t="str">
            <v>W049-003-004-035-033-001</v>
          </cell>
          <cell r="I1744" t="str">
            <v>UNIT 54, LOC 15637 KULIN-LAKE GRACE ROAD</v>
          </cell>
          <cell r="J1744" t="str">
            <v>LAKE GRACE WA 6353</v>
          </cell>
          <cell r="K1744" t="str">
            <v>0380008847</v>
          </cell>
        </row>
        <row r="1745">
          <cell r="G1745" t="str">
            <v>TANK GL 2250M3 WSC FLEAY RD HARVEY</v>
          </cell>
          <cell r="H1745" t="str">
            <v>W0045817</v>
          </cell>
          <cell r="I1745" t="str">
            <v>219 FLEAY RD</v>
          </cell>
          <cell r="J1745" t="str">
            <v>HARVEY WA 6220</v>
          </cell>
          <cell r="K1745" t="str">
            <v>15M172040</v>
          </cell>
        </row>
        <row r="1746">
          <cell r="G1746" t="str">
            <v>SPS BANCOURA PWY SECRET HARBOUR</v>
          </cell>
          <cell r="H1746" t="str">
            <v>S2008280</v>
          </cell>
          <cell r="I1746" t="str">
            <v>LOT 1062 BANCOURA PKWY</v>
          </cell>
          <cell r="J1746" t="str">
            <v>SECRET HARBOUR WA 6173</v>
          </cell>
          <cell r="K1746" t="str">
            <v>0180012791</v>
          </cell>
        </row>
        <row r="1747">
          <cell r="G1747" t="str">
            <v>WPS HENDERSON RD MUNSTER</v>
          </cell>
          <cell r="H1747" t="str">
            <v>W2000407</v>
          </cell>
          <cell r="I1747" t="str">
            <v>LOT 12 HENDERSON RD</v>
          </cell>
          <cell r="J1747" t="str">
            <v>MUNSTER WA 6166</v>
          </cell>
          <cell r="K1747" t="str">
            <v>0380015392</v>
          </cell>
        </row>
        <row r="1748">
          <cell r="G1748" t="str">
            <v>SPS GENTLE RD CALISTA</v>
          </cell>
          <cell r="H1748" t="str">
            <v>S0038070</v>
          </cell>
          <cell r="I1748" t="str">
            <v>LOT 8 GENTLE RD</v>
          </cell>
          <cell r="J1748" t="str">
            <v>MEDINA WA 6167</v>
          </cell>
          <cell r="K1748" t="str">
            <v>410M190961</v>
          </cell>
        </row>
        <row r="1749">
          <cell r="G1749" t="str">
            <v>BORE 01-96 SOVEREIGN HILL</v>
          </cell>
          <cell r="H1749" t="str">
            <v>W0042719</v>
          </cell>
          <cell r="I1749" t="str">
            <v>LOT 243 HEFFRON WAY</v>
          </cell>
          <cell r="J1749" t="str">
            <v>GABBADAH WA 6041</v>
          </cell>
          <cell r="K1749" t="str">
            <v>450M6790</v>
          </cell>
        </row>
        <row r="1750">
          <cell r="G1750" t="str">
            <v>BOREFIELD KALBARRI</v>
          </cell>
          <cell r="H1750" t="str">
            <v>W0041774</v>
          </cell>
          <cell r="I1750" t="str">
            <v>LOT 470 WALKER ST</v>
          </cell>
          <cell r="J1750" t="str">
            <v>KALBARRI WA 6536</v>
          </cell>
          <cell r="K1750" t="str">
            <v>0221000175</v>
          </cell>
        </row>
        <row r="1751">
          <cell r="G1751" t="str">
            <v>BORE SITE Q155</v>
          </cell>
          <cell r="H1751" t="str">
            <v>W1000952</v>
          </cell>
          <cell r="I1751" t="str">
            <v>LOT 680 ROTHESAY HTS</v>
          </cell>
          <cell r="J1751" t="str">
            <v>MINDARIE WA 6030</v>
          </cell>
          <cell r="K1751" t="str">
            <v xml:space="preserve">0148003875     </v>
          </cell>
        </row>
        <row r="1752">
          <cell r="G1752" t="str">
            <v>OXY INJ SYS PMAIN 8 BENNETT AV FREMANTLE</v>
          </cell>
          <cell r="H1752" t="str">
            <v>S2003332</v>
          </cell>
          <cell r="I1752" t="str">
            <v>43 ENTRANCE RD</v>
          </cell>
          <cell r="J1752" t="str">
            <v>SPEARWOOD</v>
          </cell>
          <cell r="K1752" t="str">
            <v>0200072710</v>
          </cell>
        </row>
        <row r="1753">
          <cell r="G1753" t="str">
            <v>SPS ACTION PL WANGARA</v>
          </cell>
          <cell r="H1753" t="str">
            <v>S0029329</v>
          </cell>
          <cell r="I1753" t="str">
            <v>4 ACTION PL</v>
          </cell>
          <cell r="J1753" t="str">
            <v>WANGARA WA 6065</v>
          </cell>
          <cell r="K1753" t="str">
            <v>410M1001644</v>
          </cell>
        </row>
        <row r="1754">
          <cell r="G1754" t="str">
            <v>GT EASTERN HIGHWAY CMS</v>
          </cell>
          <cell r="H1754" t="str">
            <v>W0010388</v>
          </cell>
          <cell r="I1754" t="str">
            <v>GT EASTERN HWY CNR JOHNSON ST</v>
          </cell>
          <cell r="J1754" t="str">
            <v>GUILDFORD WA 6055</v>
          </cell>
          <cell r="K1754" t="str">
            <v>0350043975</v>
          </cell>
        </row>
        <row r="1755">
          <cell r="G1755" t="str">
            <v>BORE SITE M230</v>
          </cell>
          <cell r="H1755" t="str">
            <v>W1001355</v>
          </cell>
          <cell r="I1755" t="str">
            <v>LOT M230 PARK ST</v>
          </cell>
          <cell r="J1755" t="str">
            <v>CULLACABARDEE WA 6067</v>
          </cell>
          <cell r="K1755" t="str">
            <v>0248000131</v>
          </cell>
        </row>
        <row r="1756">
          <cell r="G1756" t="str">
            <v>DPS DANE ST EAST VIC PARK</v>
          </cell>
          <cell r="H1756" t="str">
            <v>D0036462</v>
          </cell>
          <cell r="I1756" t="str">
            <v>89 BANK ST</v>
          </cell>
          <cell r="J1756" t="str">
            <v>EAST VICTORIA PARK WA 6101</v>
          </cell>
          <cell r="K1756" t="str">
            <v>410M6683</v>
          </cell>
        </row>
        <row r="1757">
          <cell r="G1757" t="str">
            <v>MAIN 760 439-612 GT EASTERN HWY ASCOT</v>
          </cell>
          <cell r="H1757" t="str">
            <v>W0035022</v>
          </cell>
          <cell r="I1757" t="str">
            <v>U 43 LEAKE ST</v>
          </cell>
          <cell r="J1757" t="str">
            <v>BELMONT WA 6104</v>
          </cell>
          <cell r="K1757" t="str">
            <v>410M146978</v>
          </cell>
        </row>
        <row r="1758">
          <cell r="G1758" t="str">
            <v>SPS ZIMMERMAN ST DENMARK</v>
          </cell>
          <cell r="H1758" t="str">
            <v>S023-002-002</v>
          </cell>
          <cell r="I1758" t="str">
            <v>LOT 1 ZIMMERMAN ST</v>
          </cell>
          <cell r="J1758" t="str">
            <v>DENMARK WA 6333</v>
          </cell>
          <cell r="K1758" t="str">
            <v>410M92426</v>
          </cell>
        </row>
        <row r="1759">
          <cell r="G1759" t="str">
            <v>SPS WANNEROO RD WANNEROO</v>
          </cell>
          <cell r="H1759" t="str">
            <v>S2018310</v>
          </cell>
          <cell r="I1759" t="str">
            <v>LOT 1 WANNEROO RD</v>
          </cell>
          <cell r="J1759" t="str">
            <v>TAPPING WA 6065</v>
          </cell>
          <cell r="K1759" t="str">
            <v>0380015393</v>
          </cell>
        </row>
        <row r="1760">
          <cell r="G1760" t="str">
            <v>TANK WSC ARMSTRONG ST HALLS HEAD</v>
          </cell>
          <cell r="H1760" t="str">
            <v>W0045965</v>
          </cell>
          <cell r="I1760" t="str">
            <v>MARSH PL</v>
          </cell>
          <cell r="J1760" t="str">
            <v>MANDURAH WA 6210</v>
          </cell>
          <cell r="K1760" t="str">
            <v>0136004404</v>
          </cell>
        </row>
        <row r="1761">
          <cell r="G1761" t="str">
            <v>CP TRU 2WIT MAIN SPS WITTENOOM RD HIGH W</v>
          </cell>
          <cell r="H1761" t="str">
            <v>S2019307</v>
          </cell>
          <cell r="I1761" t="str">
            <v>LOT 301 ARUM LILY PL</v>
          </cell>
          <cell r="J1761" t="str">
            <v>HAZELMERE WA 6055</v>
          </cell>
          <cell r="K1761" t="str">
            <v>0181057495</v>
          </cell>
        </row>
        <row r="1762">
          <cell r="G1762" t="str">
            <v>REPEATER SITE (TELEM) HALLETS TKS BTOWN</v>
          </cell>
          <cell r="H1762" t="str">
            <v>C8000069</v>
          </cell>
          <cell r="I1762" t="str">
            <v>L7901 BOYUP BROOK ROAD</v>
          </cell>
          <cell r="J1762" t="str">
            <v>BRIDGETOWN WA 6255</v>
          </cell>
          <cell r="K1762" t="str">
            <v>0180034113</v>
          </cell>
        </row>
        <row r="1763">
          <cell r="G1763" t="str">
            <v>WPS DAM 1 KUKERIN</v>
          </cell>
          <cell r="H1763" t="str">
            <v>W049-003-007-002-001</v>
          </cell>
          <cell r="I1763" t="str">
            <v>LOT 168 BENNETT ST</v>
          </cell>
          <cell r="J1763" t="str">
            <v>KUKERIN WA 6352</v>
          </cell>
          <cell r="K1763" t="str">
            <v>410M49317</v>
          </cell>
        </row>
        <row r="1764">
          <cell r="G1764" t="str">
            <v>SPS CHARLES ST MIDLAND</v>
          </cell>
          <cell r="H1764" t="str">
            <v>S0028957</v>
          </cell>
          <cell r="I1764" t="str">
            <v>DUDLEY ST</v>
          </cell>
          <cell r="J1764" t="str">
            <v>MIDLAND WA 6056</v>
          </cell>
          <cell r="K1764" t="str">
            <v>000000000530004177</v>
          </cell>
        </row>
        <row r="1765">
          <cell r="G1765" t="str">
            <v>SPS ROBERT ST COMO</v>
          </cell>
          <cell r="H1765" t="str">
            <v>S0034150</v>
          </cell>
          <cell r="I1765" t="str">
            <v>WOOLTANA ST</v>
          </cell>
          <cell r="J1765" t="str">
            <v>COMO WA 6152</v>
          </cell>
          <cell r="K1765" t="str">
            <v>450M22347</v>
          </cell>
        </row>
        <row r="1766">
          <cell r="G1766" t="str">
            <v>SPS RUBY AV LANGFORD</v>
          </cell>
          <cell r="H1766" t="str">
            <v>S0034431</v>
          </cell>
          <cell r="I1766" t="str">
            <v>43 RUBY AVE</v>
          </cell>
          <cell r="J1766" t="str">
            <v>LANGFORD WA 6147</v>
          </cell>
          <cell r="K1766" t="str">
            <v>410L25818</v>
          </cell>
        </row>
        <row r="1767">
          <cell r="G1767" t="str">
            <v>SPS TUCKER ST MEDINA</v>
          </cell>
          <cell r="H1767" t="str">
            <v>S2000030</v>
          </cell>
          <cell r="I1767" t="str">
            <v>LOT 196 TUCKER ST</v>
          </cell>
          <cell r="J1767" t="str">
            <v>MEDINA WA 6167</v>
          </cell>
          <cell r="K1767" t="str">
            <v>410M193796</v>
          </cell>
        </row>
        <row r="1768">
          <cell r="G1768" t="str">
            <v>SPS ADRIAN ST PALMYRA</v>
          </cell>
          <cell r="H1768" t="str">
            <v>S0033574</v>
          </cell>
          <cell r="I1768" t="str">
            <v>U43 ADRIAN ST</v>
          </cell>
          <cell r="J1768" t="str">
            <v>PALMYRA WA 6157</v>
          </cell>
          <cell r="K1768" t="str">
            <v>0148004352</v>
          </cell>
        </row>
        <row r="1769">
          <cell r="G1769" t="str">
            <v>BULLSBROOK WASTEWATER TREATMENT PLANT</v>
          </cell>
          <cell r="H1769" t="str">
            <v>S001-001-004</v>
          </cell>
          <cell r="I1769" t="str">
            <v>LOT 6 GREAT NORTHERN HWY</v>
          </cell>
          <cell r="J1769" t="str">
            <v>BULLSBROOK WA 6084</v>
          </cell>
          <cell r="K1769" t="str">
            <v>0136003731</v>
          </cell>
        </row>
        <row r="1770">
          <cell r="G1770" t="str">
            <v>SPS MILL ST PERTH</v>
          </cell>
          <cell r="H1770" t="str">
            <v>S0030911</v>
          </cell>
          <cell r="I1770" t="str">
            <v>5 MOUNTS BAY RD</v>
          </cell>
          <cell r="J1770" t="str">
            <v>PERTH WA 6000</v>
          </cell>
          <cell r="K1770" t="str">
            <v>0136001868</v>
          </cell>
        </row>
        <row r="1771">
          <cell r="G1771" t="str">
            <v>BOREFIELD JURIEN BAY</v>
          </cell>
          <cell r="H1771" t="str">
            <v>W0041730</v>
          </cell>
          <cell r="I1771" t="str">
            <v>LOCN 29453 JURIEN RD</v>
          </cell>
          <cell r="J1771" t="str">
            <v>JURIEN BAY WA 6516</v>
          </cell>
          <cell r="K1771" t="str">
            <v>0148006359</v>
          </cell>
        </row>
        <row r="1772">
          <cell r="G1772" t="str">
            <v>SPS UNION ST WAGIN</v>
          </cell>
          <cell r="H1772" t="str">
            <v>S031-002-002</v>
          </cell>
          <cell r="I1772" t="str">
            <v>VICTOR ST</v>
          </cell>
          <cell r="J1772" t="str">
            <v>WAGIN WA 6315</v>
          </cell>
          <cell r="K1772" t="str">
            <v>410AM53549</v>
          </cell>
        </row>
        <row r="1773">
          <cell r="G1773" t="str">
            <v>SPS ADELMA RD DALKEITH</v>
          </cell>
          <cell r="H1773" t="str">
            <v>S0032591</v>
          </cell>
          <cell r="I1773" t="str">
            <v>LOT 169 ADELMA RD</v>
          </cell>
          <cell r="J1773" t="str">
            <v>DALKEITH WA 6009</v>
          </cell>
          <cell r="K1773" t="str">
            <v>410M103766</v>
          </cell>
        </row>
        <row r="1774">
          <cell r="G1774" t="str">
            <v>BORE SITE L420</v>
          </cell>
          <cell r="H1774" t="str">
            <v>W1001393</v>
          </cell>
          <cell r="I1774" t="str">
            <v>LOT 420 TRAINOR RD</v>
          </cell>
          <cell r="J1774" t="str">
            <v>LEXIA WA 6065</v>
          </cell>
          <cell r="K1774" t="str">
            <v>0148001532</v>
          </cell>
        </row>
        <row r="1775">
          <cell r="G1775" t="str">
            <v>WWTP PEMBERTON</v>
          </cell>
          <cell r="H1775" t="str">
            <v>S094-001-003</v>
          </cell>
          <cell r="I1775" t="str">
            <v>VASSE HWY</v>
          </cell>
          <cell r="J1775" t="str">
            <v>PEMBERTON WA 6260</v>
          </cell>
          <cell r="K1775" t="str">
            <v>0148001521</v>
          </cell>
        </row>
        <row r="1776">
          <cell r="G1776" t="str">
            <v>DPS CALUME ST HILLMAN</v>
          </cell>
          <cell r="H1776" t="str">
            <v>D0036683</v>
          </cell>
          <cell r="I1776" t="str">
            <v>126 CALUME ST</v>
          </cell>
          <cell r="J1776" t="str">
            <v>HILLMAN WA 6168</v>
          </cell>
          <cell r="K1776" t="str">
            <v>410M63012</v>
          </cell>
        </row>
        <row r="1777">
          <cell r="G1777" t="str">
            <v>WPS WS5 CARGANNOCKING</v>
          </cell>
          <cell r="H1777" t="str">
            <v>W049-003-004-035-032-001</v>
          </cell>
          <cell r="I1777" t="str">
            <v>LOCN 15655 KULIN-DUDININ RD</v>
          </cell>
          <cell r="J1777" t="str">
            <v>KULIN WA 6365</v>
          </cell>
          <cell r="K1777" t="str">
            <v>0148006254</v>
          </cell>
        </row>
        <row r="1778">
          <cell r="G1778" t="str">
            <v>SPS FORILLION AV BIBRA LAKE</v>
          </cell>
          <cell r="H1778" t="str">
            <v>S2003389</v>
          </cell>
          <cell r="I1778" t="str">
            <v>48 FORILLION AVE</v>
          </cell>
          <cell r="J1778" t="str">
            <v>BIBRA LAKE WA 6163</v>
          </cell>
          <cell r="K1778" t="str">
            <v>0180005439</v>
          </cell>
        </row>
        <row r="1779">
          <cell r="G1779" t="str">
            <v>BORE 05-69 BREMER BAY</v>
          </cell>
          <cell r="H1779" t="str">
            <v>W0022662</v>
          </cell>
          <cell r="I1779" t="str">
            <v>LOT 2030 BREMER BAY RD</v>
          </cell>
          <cell r="J1779" t="str">
            <v>BREMER BAY WA 6338</v>
          </cell>
          <cell r="K1779" t="str">
            <v>410M78282</v>
          </cell>
        </row>
        <row r="1780">
          <cell r="G1780" t="str">
            <v>BORE SITE J320</v>
          </cell>
          <cell r="H1780" t="str">
            <v>W1001473</v>
          </cell>
          <cell r="I1780" t="str">
            <v>LOT 320 PRINSEP RD</v>
          </cell>
          <cell r="J1780" t="str">
            <v>JANDAKOT WA 6164</v>
          </cell>
          <cell r="K1780" t="str">
            <v>0148006022</v>
          </cell>
        </row>
        <row r="1781">
          <cell r="G1781" t="str">
            <v>SPS BEAVER ST WEBBERTON</v>
          </cell>
          <cell r="H1781" t="str">
            <v>S0037748</v>
          </cell>
          <cell r="I1781" t="str">
            <v>LOT 40, 59 ANDERSON ST</v>
          </cell>
          <cell r="J1781" t="str">
            <v>WEBBERTON WA 6530</v>
          </cell>
          <cell r="K1781" t="str">
            <v>0136006027</v>
          </cell>
        </row>
        <row r="1782">
          <cell r="G1782" t="str">
            <v>WPS GEORGE ST BYFORD</v>
          </cell>
          <cell r="H1782" t="str">
            <v>W0035815</v>
          </cell>
          <cell r="I1782" t="str">
            <v>GEORGE RD</v>
          </cell>
          <cell r="J1782" t="str">
            <v>BYFORD WA 6122</v>
          </cell>
          <cell r="K1782" t="str">
            <v>0148003214</v>
          </cell>
        </row>
        <row r="1783">
          <cell r="G1783" t="str">
            <v>WPS GREAT EASTERN HWY SAWYERS VALLEY</v>
          </cell>
          <cell r="H1783" t="str">
            <v>W0035533</v>
          </cell>
          <cell r="I1783" t="str">
            <v>GREAT EASTERN HWY</v>
          </cell>
          <cell r="J1783" t="str">
            <v>SAWYERS VALLEY WA 6074</v>
          </cell>
          <cell r="K1783" t="str">
            <v>410M2007991</v>
          </cell>
        </row>
        <row r="1784">
          <cell r="G1784" t="str">
            <v>DEPOT BENNET ST LAKE GRACE</v>
          </cell>
          <cell r="H1784" t="str">
            <v>C0022153</v>
          </cell>
          <cell r="I1784" t="str">
            <v>LOT 204 BENNETT ST</v>
          </cell>
          <cell r="J1784" t="str">
            <v>LAKE GRACE WA 6353</v>
          </cell>
          <cell r="K1784" t="str">
            <v>410M98011</v>
          </cell>
        </row>
        <row r="1785">
          <cell r="G1785" t="str">
            <v>SPS CHARLES ST BLUFF POINT</v>
          </cell>
          <cell r="H1785" t="str">
            <v>S4001075</v>
          </cell>
          <cell r="I1785" t="str">
            <v>CHARLES ST</v>
          </cell>
          <cell r="J1785" t="str">
            <v>GERALDTON WA 6530</v>
          </cell>
          <cell r="K1785" t="str">
            <v>0380009328</v>
          </cell>
        </row>
        <row r="1786">
          <cell r="G1786" t="str">
            <v>BORE SITE W210</v>
          </cell>
          <cell r="H1786" t="str">
            <v>W1001569</v>
          </cell>
          <cell r="I1786" t="str">
            <v>LOT 210W HAWKINS RD N</v>
          </cell>
          <cell r="J1786" t="str">
            <v>JANDABUP WA 6065</v>
          </cell>
          <cell r="K1786" t="str">
            <v>0248000308</v>
          </cell>
        </row>
        <row r="1787">
          <cell r="G1787" t="str">
            <v>REPEATER SITE (2-WAY) LYALLS HILL COLLIE</v>
          </cell>
          <cell r="H1787" t="str">
            <v>C0043845</v>
          </cell>
          <cell r="I1787" t="str">
            <v>LOT 1 PRESTON RD</v>
          </cell>
          <cell r="J1787" t="str">
            <v>LYALLS MILL WA 6225</v>
          </cell>
          <cell r="K1787" t="str">
            <v>15M222325</v>
          </cell>
        </row>
        <row r="1788">
          <cell r="G1788" t="str">
            <v>SPS ROSSLARE PROM MINDARIE</v>
          </cell>
          <cell r="H1788" t="str">
            <v>S0029137</v>
          </cell>
          <cell r="I1788" t="str">
            <v>U42 LOT 280 ROSSLARE PROM</v>
          </cell>
          <cell r="J1788" t="str">
            <v>MINDARIE WA 6030</v>
          </cell>
          <cell r="K1788" t="str">
            <v>0148002890</v>
          </cell>
        </row>
        <row r="1789">
          <cell r="G1789" t="str">
            <v>SPS LLOYD ST STH MIDDLE SWAN</v>
          </cell>
          <cell r="H1789" t="str">
            <v>S0029006</v>
          </cell>
          <cell r="I1789" t="str">
            <v>LOT 50 LLOYD ST</v>
          </cell>
          <cell r="J1789" t="str">
            <v>MIDLAND WA 6056</v>
          </cell>
          <cell r="K1789" t="str">
            <v>450M22325</v>
          </cell>
        </row>
        <row r="1790">
          <cell r="G1790" t="str">
            <v>SPS THE ESPLANADE NTH MT PLEASANT</v>
          </cell>
          <cell r="H1790" t="str">
            <v>S0033858</v>
          </cell>
          <cell r="I1790" t="str">
            <v>THE ESPLANADE</v>
          </cell>
          <cell r="J1790" t="str">
            <v>MOUNT PLEASANT WA 6153</v>
          </cell>
          <cell r="K1790" t="str">
            <v>002100622</v>
          </cell>
        </row>
        <row r="1791">
          <cell r="G1791" t="str">
            <v>WPS HUMMERSTON ST MT HELENA</v>
          </cell>
          <cell r="H1791" t="str">
            <v>W2000012</v>
          </cell>
          <cell r="I1791" t="str">
            <v>HUMMERSTON ST</v>
          </cell>
          <cell r="J1791" t="str">
            <v>MOUNT HELENA WA 6082</v>
          </cell>
          <cell r="K1791" t="str">
            <v>410M194390</v>
          </cell>
        </row>
        <row r="1792">
          <cell r="G1792" t="str">
            <v>SPS OCEAN DR NTH BUNBURY</v>
          </cell>
          <cell r="H1792" t="str">
            <v>S0044094</v>
          </cell>
          <cell r="I1792" t="str">
            <v>U51 OCEAN DR</v>
          </cell>
          <cell r="J1792" t="str">
            <v>BUNBURY WA 6230</v>
          </cell>
          <cell r="K1792" t="str">
            <v>0530201539</v>
          </cell>
        </row>
        <row r="1793">
          <cell r="G1793" t="str">
            <v>BORE SITE #3 RAVENSWOOD BOREFIELD</v>
          </cell>
          <cell r="H1793" t="str">
            <v>W0046031</v>
          </cell>
          <cell r="I1793" t="str">
            <v>U51 PATTERSON RD</v>
          </cell>
          <cell r="J1793" t="str">
            <v>GREENFIELDS WA 6210</v>
          </cell>
          <cell r="K1793" t="str">
            <v>0148002035</v>
          </cell>
        </row>
        <row r="1794">
          <cell r="G1794" t="str">
            <v>BORE 01-98 JOHNSON RD LAKE CLIFTON</v>
          </cell>
          <cell r="H1794" t="str">
            <v>W8000989</v>
          </cell>
          <cell r="I1794" t="str">
            <v>LOT 0 JOHNSTON RD</v>
          </cell>
          <cell r="J1794" t="str">
            <v>YARLOOP WA 6218</v>
          </cell>
          <cell r="K1794" t="str">
            <v>0148001860</v>
          </cell>
        </row>
        <row r="1795">
          <cell r="G1795" t="str">
            <v>WOODMAN POINT WWTP</v>
          </cell>
          <cell r="H1795" t="str">
            <v>S001-001-023</v>
          </cell>
          <cell r="I1795" t="str">
            <v>837 COCKBURN RD</v>
          </cell>
          <cell r="J1795" t="str">
            <v>MUNSTER WA 6166</v>
          </cell>
          <cell r="K1795" t="str">
            <v>0214001795</v>
          </cell>
        </row>
        <row r="1796">
          <cell r="G1796" t="str">
            <v>WPS CHURCHMAN BROOK RD BEDFORDALE</v>
          </cell>
          <cell r="H1796" t="str">
            <v>W2000106</v>
          </cell>
          <cell r="I1796" t="str">
            <v>LOT 3818 CHURCHMAN BROOK RD</v>
          </cell>
          <cell r="J1796" t="str">
            <v>BEDFORDALE WA 6112</v>
          </cell>
          <cell r="K1796" t="str">
            <v>0136001495</v>
          </cell>
        </row>
        <row r="1797">
          <cell r="G1797" t="str">
            <v>SPS SANTONS APP YALYALUP</v>
          </cell>
          <cell r="H1797" t="str">
            <v>S8011735</v>
          </cell>
          <cell r="I1797" t="str">
            <v>68 SANTONS APP</v>
          </cell>
          <cell r="J1797" t="str">
            <v>YALYALUP  WA 6280</v>
          </cell>
          <cell r="K1797">
            <v>350034470</v>
          </cell>
        </row>
        <row r="1798">
          <cell r="G1798" t="str">
            <v>SPS RIGBY ST COLLIE</v>
          </cell>
          <cell r="H1798" t="str">
            <v>S0044425</v>
          </cell>
          <cell r="I1798" t="str">
            <v>LOT 51 RIGBY ST</v>
          </cell>
          <cell r="J1798" t="str">
            <v>COLLIE WA 6225</v>
          </cell>
          <cell r="K1798" t="str">
            <v>410M100346</v>
          </cell>
        </row>
        <row r="1799">
          <cell r="G1799"/>
          <cell r="H1799" t="e">
            <v>#N/A</v>
          </cell>
          <cell r="I1799" t="str">
            <v>S2B 630 NEWCASTLE ST</v>
          </cell>
          <cell r="J1799" t="str">
            <v>LEEDERVILLE WA 6007</v>
          </cell>
          <cell r="K1799" t="str">
            <v>0180028658</v>
          </cell>
        </row>
        <row r="1800">
          <cell r="G1800" t="str">
            <v>TANK WSC SPINEBILL CL BEDFORDALE</v>
          </cell>
          <cell r="H1800" t="str">
            <v>W0035059</v>
          </cell>
          <cell r="I1800" t="str">
            <v>ALBANY HWY</v>
          </cell>
          <cell r="J1800" t="str">
            <v>BEDFORDALE WA 6112</v>
          </cell>
          <cell r="K1800" t="str">
            <v>15M98578</v>
          </cell>
        </row>
        <row r="1801">
          <cell r="G1801" t="str">
            <v>SPS MARMION ST EAST BOORAGOON</v>
          </cell>
          <cell r="H1801" t="str">
            <v>S0033768</v>
          </cell>
          <cell r="I1801" t="str">
            <v>U43 525 MARMION ST</v>
          </cell>
          <cell r="J1801" t="str">
            <v>BOORAGOON WA 6154</v>
          </cell>
          <cell r="K1801" t="str">
            <v>002101344</v>
          </cell>
        </row>
        <row r="1802">
          <cell r="G1802" t="str">
            <v>SPS ELLISON DR LANGFORD</v>
          </cell>
          <cell r="H1802" t="str">
            <v>S0034291</v>
          </cell>
          <cell r="I1802" t="str">
            <v>LOT 139 ELLISON DR</v>
          </cell>
          <cell r="J1802" t="str">
            <v>LANGFORD WA 6147</v>
          </cell>
          <cell r="K1802" t="str">
            <v>0148001640</v>
          </cell>
        </row>
        <row r="1803">
          <cell r="G1803" t="str">
            <v>WPS KULIN</v>
          </cell>
          <cell r="H1803" t="str">
            <v>W049-003-009-001-001</v>
          </cell>
          <cell r="I1803" t="str">
            <v>LOT 1 BULL ST</v>
          </cell>
          <cell r="J1803" t="str">
            <v>KULIN WA 6365</v>
          </cell>
          <cell r="K1803" t="str">
            <v>410M54436</v>
          </cell>
        </row>
        <row r="1804">
          <cell r="G1804" t="str">
            <v>WPS NW COASTAL HWY SUNSET BEACH</v>
          </cell>
          <cell r="H1804" t="str">
            <v>W0039786</v>
          </cell>
          <cell r="I1804" t="str">
            <v>LOCN 2712 CHAPMAN VALLEY RD</v>
          </cell>
          <cell r="J1804" t="str">
            <v>WAGGRAKINE WA 6530</v>
          </cell>
          <cell r="K1804" t="str">
            <v>0136006153</v>
          </cell>
        </row>
        <row r="1805">
          <cell r="G1805" t="str">
            <v>BOREFIELD CHITTERING</v>
          </cell>
          <cell r="H1805" t="str">
            <v>W0040597</v>
          </cell>
          <cell r="I1805" t="str">
            <v>LOT 18 TEATREE RD</v>
          </cell>
          <cell r="J1805" t="str">
            <v>BINDOON WA 6502</v>
          </cell>
          <cell r="K1805" t="str">
            <v>0211000989</v>
          </cell>
        </row>
        <row r="1806">
          <cell r="G1806" t="str">
            <v>WPS KELLERBERRIN</v>
          </cell>
          <cell r="H1806" t="str">
            <v>W5003650</v>
          </cell>
          <cell r="I1806" t="str">
            <v>LOT 1 MASSINGHAM ST</v>
          </cell>
          <cell r="J1806" t="str">
            <v>KELLERBERRIN WA 6410</v>
          </cell>
          <cell r="K1806" t="str">
            <v>0104000370</v>
          </cell>
        </row>
        <row r="1807">
          <cell r="G1807" t="str">
            <v>SPS FORREST RD TEMP HILBERT</v>
          </cell>
          <cell r="H1807" t="str">
            <v>S2017005</v>
          </cell>
          <cell r="I1807" t="str">
            <v>LOT 7 FORREST RD</v>
          </cell>
          <cell r="J1807" t="str">
            <v>BROOKDALE  WA 6112</v>
          </cell>
          <cell r="K1807" t="str">
            <v>0180030659</v>
          </cell>
        </row>
        <row r="1808">
          <cell r="G1808" t="str">
            <v>WPS BULLABULLING</v>
          </cell>
          <cell r="H1808" t="str">
            <v>W0020994</v>
          </cell>
          <cell r="I1808" t="str">
            <v>U55 PUMPING STATION RD</v>
          </cell>
          <cell r="J1808" t="str">
            <v>COOLGARDIE WA 6429</v>
          </cell>
          <cell r="K1808" t="str">
            <v>0140001450</v>
          </cell>
        </row>
        <row r="1809">
          <cell r="G1809" t="str">
            <v>SPS WITTENOOM RD HIGH WYCOMBE</v>
          </cell>
          <cell r="H1809" t="str">
            <v>S0033512</v>
          </cell>
          <cell r="I1809" t="str">
            <v>U43 WITTENOOM RD</v>
          </cell>
          <cell r="J1809" t="str">
            <v>HIGH WYCOMBE WA 6057</v>
          </cell>
          <cell r="K1809" t="str">
            <v>0148003222</v>
          </cell>
        </row>
        <row r="1810">
          <cell r="G1810" t="str">
            <v>BORE SITE M162</v>
          </cell>
          <cell r="H1810" t="str">
            <v>W1001309</v>
          </cell>
          <cell r="I1810" t="str">
            <v>LOT 160 WOOLLCOTT AVE</v>
          </cell>
          <cell r="J1810" t="str">
            <v>WHITEMAN WA 6068</v>
          </cell>
          <cell r="K1810" t="str">
            <v>0011000355</v>
          </cell>
        </row>
        <row r="1811">
          <cell r="G1811" t="str">
            <v>SPS BORONIA ST INNALOO</v>
          </cell>
          <cell r="H1811" t="str">
            <v>S0038060</v>
          </cell>
          <cell r="I1811" t="str">
            <v>LOT 6911 BORONIA ST</v>
          </cell>
          <cell r="J1811" t="str">
            <v>INNALOO WA 6018</v>
          </cell>
          <cell r="K1811" t="str">
            <v>410M191542</v>
          </cell>
        </row>
        <row r="1812">
          <cell r="G1812" t="str">
            <v>SPS FALKLAND AV KINROSS</v>
          </cell>
          <cell r="H1812" t="str">
            <v>S0029122</v>
          </cell>
          <cell r="I1812" t="str">
            <v>15 FALKLAND WAY</v>
          </cell>
          <cell r="J1812" t="str">
            <v>KINROSS WA 6028</v>
          </cell>
          <cell r="K1812" t="str">
            <v>410M163376</v>
          </cell>
        </row>
        <row r="1813">
          <cell r="G1813" t="str">
            <v>WPS TREATED SOUTH COAST</v>
          </cell>
          <cell r="H1813" t="str">
            <v>W7001741</v>
          </cell>
          <cell r="I1813" t="str">
            <v>LOT 6679 FRENCHMAN BAY RD</v>
          </cell>
          <cell r="J1813" t="str">
            <v>ALBANY WA 6330</v>
          </cell>
          <cell r="K1813" t="str">
            <v>0295000054</v>
          </cell>
        </row>
        <row r="1814">
          <cell r="G1814" t="str">
            <v>SPS CHAPMAN RD BERESFORD</v>
          </cell>
          <cell r="H1814" t="str">
            <v>S0037755</v>
          </cell>
          <cell r="I1814" t="str">
            <v>U PM LOT 1A CHAPMAN RD</v>
          </cell>
          <cell r="J1814" t="str">
            <v>GERALDTON WA 6530</v>
          </cell>
          <cell r="K1814" t="str">
            <v>0248000408</v>
          </cell>
        </row>
        <row r="1815">
          <cell r="G1815" t="str">
            <v>BORE SITE J210</v>
          </cell>
          <cell r="H1815" t="str">
            <v>W1001461</v>
          </cell>
          <cell r="I1815" t="str">
            <v>LOT 210J LYON RD</v>
          </cell>
          <cell r="J1815" t="str">
            <v>BANJUP WA 6164</v>
          </cell>
          <cell r="K1815" t="str">
            <v>0148006018</v>
          </cell>
        </row>
        <row r="1816">
          <cell r="G1816" t="str">
            <v>WWTP MINNINUP RD BUNBURY</v>
          </cell>
          <cell r="H1816" t="str">
            <v>S079-001-004</v>
          </cell>
          <cell r="I1816" t="str">
            <v>LOCN 497 OCEAN DR</v>
          </cell>
          <cell r="J1816" t="str">
            <v>BUNBURY WA 6230</v>
          </cell>
          <cell r="K1816" t="str">
            <v>0211001389</v>
          </cell>
        </row>
        <row r="1817">
          <cell r="G1817" t="str">
            <v>WSC STILES RD PORT KALBARRI</v>
          </cell>
          <cell r="H1817" t="str">
            <v>W0041876</v>
          </cell>
          <cell r="I1817" t="str">
            <v>LOT 289 STILES ST</v>
          </cell>
          <cell r="J1817" t="str">
            <v>KALBARRI WA 6536</v>
          </cell>
          <cell r="K1817" t="str">
            <v>15M288718</v>
          </cell>
        </row>
        <row r="1818">
          <cell r="G1818" t="str">
            <v>SPS ALEXANDER RD PADBURY</v>
          </cell>
          <cell r="H1818" t="str">
            <v>S0028227</v>
          </cell>
          <cell r="I1818" t="str">
            <v>U42 LOT 14026 ALEXANDER RD</v>
          </cell>
          <cell r="J1818" t="str">
            <v>PADBURY WA 6025</v>
          </cell>
          <cell r="K1818" t="str">
            <v>0102000056</v>
          </cell>
        </row>
        <row r="1819">
          <cell r="G1819" t="str">
            <v>WPS KOORARAWALYEE</v>
          </cell>
          <cell r="H1819" t="str">
            <v>W5018860</v>
          </cell>
          <cell r="I1819" t="str">
            <v>LOT 501 GT EASTERN HWY</v>
          </cell>
          <cell r="J1819" t="str">
            <v>MT PALMER WA 6426</v>
          </cell>
          <cell r="K1819" t="str">
            <v>0295000197</v>
          </cell>
        </row>
        <row r="1820">
          <cell r="G1820" t="str">
            <v>SPS GRINDLEFORD DR BALCATTA</v>
          </cell>
          <cell r="H1820" t="str">
            <v>S0028441</v>
          </cell>
          <cell r="I1820" t="str">
            <v>LOT 32 RADALJ PL</v>
          </cell>
          <cell r="J1820" t="str">
            <v>BALCATTA WA 6021</v>
          </cell>
          <cell r="K1820" t="str">
            <v>0148002891</v>
          </cell>
        </row>
        <row r="1821">
          <cell r="G1821" t="str">
            <v>SPS TROODE ST COLLINGWOOD PARK</v>
          </cell>
          <cell r="H1821" t="str">
            <v>S0022289</v>
          </cell>
          <cell r="I1821" t="str">
            <v>U56 LOT 1349 TROODE ST</v>
          </cell>
          <cell r="J1821" t="str">
            <v>COLLINGWOOD PARK  WA  6330</v>
          </cell>
          <cell r="K1821" t="str">
            <v>0148002197</v>
          </cell>
        </row>
        <row r="1822">
          <cell r="G1822" t="str">
            <v>SPS WURAMING AVE BODDINGTON</v>
          </cell>
          <cell r="H1822" t="str">
            <v>S020-002-001</v>
          </cell>
          <cell r="I1822" t="str">
            <v>LOT 163 WURAMING AVE</v>
          </cell>
          <cell r="J1822" t="str">
            <v>BODDINGTON WA 6390</v>
          </cell>
          <cell r="K1822" t="str">
            <v>410M132228</v>
          </cell>
        </row>
        <row r="1823">
          <cell r="G1823" t="str">
            <v>SPS GARDEN ST MIDDLETON BEACH</v>
          </cell>
          <cell r="H1823" t="str">
            <v>S0022358</v>
          </cell>
          <cell r="I1823" t="str">
            <v>4 (LOT 5) GARDEN ST</v>
          </cell>
          <cell r="J1823" t="str">
            <v>MIDDLETON BEACH WA 6330</v>
          </cell>
          <cell r="K1823" t="str">
            <v>0148002900</v>
          </cell>
        </row>
        <row r="1824">
          <cell r="G1824" t="str">
            <v>WTP MOYLE RD TWO PEOPLE BAY</v>
          </cell>
          <cell r="H1824" t="str">
            <v>W0023763</v>
          </cell>
          <cell r="I1824" t="str">
            <v>TWO PEOPLES BAY RD</v>
          </cell>
          <cell r="J1824" t="str">
            <v>TWO PEOPLES BAY WA 6330</v>
          </cell>
          <cell r="K1824" t="str">
            <v>0211001411</v>
          </cell>
        </row>
        <row r="1825">
          <cell r="G1825" t="str">
            <v>WPS FREMANTLE RD GREENFIELDS</v>
          </cell>
          <cell r="H1825" t="str">
            <v>W0045919</v>
          </cell>
          <cell r="I1825" t="str">
            <v>LOT 201 THORNBOROUGH RD</v>
          </cell>
          <cell r="J1825" t="str">
            <v>GREENFIELDS WA 6210</v>
          </cell>
          <cell r="K1825" t="str">
            <v>001401406</v>
          </cell>
        </row>
        <row r="1826">
          <cell r="G1826" t="str">
            <v>SITE SCADA METER SITE MARY ST HALLS HEAD</v>
          </cell>
          <cell r="H1826" t="str">
            <v>W0045987</v>
          </cell>
          <cell r="I1826" t="str">
            <v>LOT 1562 MARY ST</v>
          </cell>
          <cell r="J1826" t="str">
            <v>HALLS HEAD WA 6210</v>
          </cell>
          <cell r="K1826" t="str">
            <v>0200324777</v>
          </cell>
        </row>
        <row r="1827">
          <cell r="G1827" t="str">
            <v>WTP PERIWINKLE PL PEPPERMINT GRV BCH</v>
          </cell>
          <cell r="H1827" t="str">
            <v>W0046262</v>
          </cell>
          <cell r="I1827" t="str">
            <v>U51 22 PERIWINKLE PL</v>
          </cell>
          <cell r="J1827" t="str">
            <v>PEPPERMINT GROVE BEACH WA 6271</v>
          </cell>
          <cell r="K1827" t="str">
            <v>0148002044</v>
          </cell>
        </row>
        <row r="1828">
          <cell r="G1828"/>
          <cell r="H1828" t="e">
            <v>#N/A</v>
          </cell>
          <cell r="I1828" t="str">
            <v>LADYLOCH RD</v>
          </cell>
          <cell r="J1828" t="str">
            <v>COOLGARDIE</v>
          </cell>
          <cell r="K1828" t="str">
            <v>DUP44120114</v>
          </cell>
        </row>
        <row r="1829">
          <cell r="G1829" t="str">
            <v>SPS ARNOTT ST TRIGG</v>
          </cell>
          <cell r="H1829" t="str">
            <v>S2003449</v>
          </cell>
          <cell r="I1829" t="str">
            <v>LOT 32559 ARNOTT ST</v>
          </cell>
          <cell r="J1829" t="str">
            <v>TRIGG WA 6029</v>
          </cell>
          <cell r="K1829" t="str">
            <v>0148006369</v>
          </cell>
        </row>
        <row r="1830">
          <cell r="G1830" t="str">
            <v>SPS WATTLE AV DALKEITH</v>
          </cell>
          <cell r="H1830" t="str">
            <v>S0032718</v>
          </cell>
          <cell r="I1830" t="str">
            <v>WATTLE AVE</v>
          </cell>
          <cell r="J1830" t="str">
            <v>DALKEITH WA 6009</v>
          </cell>
          <cell r="K1830" t="str">
            <v>450M22312</v>
          </cell>
        </row>
        <row r="1831">
          <cell r="G1831" t="str">
            <v>SPS MONTGOMERY AV MT CLAREMONT</v>
          </cell>
          <cell r="H1831" t="str">
            <v>S0032005</v>
          </cell>
          <cell r="I1831" t="str">
            <v>LOT 1 MONTGOMERY AVE</v>
          </cell>
          <cell r="J1831" t="str">
            <v>MOUNT CLAREMONT WA 6010</v>
          </cell>
          <cell r="K1831" t="str">
            <v>0148002414</v>
          </cell>
        </row>
        <row r="1832">
          <cell r="G1832" t="str">
            <v>BORE 03-92 OLD COAST RD</v>
          </cell>
          <cell r="H1832" t="str">
            <v>W0045209</v>
          </cell>
          <cell r="I1832" t="str">
            <v>OLD COAST RD</v>
          </cell>
          <cell r="J1832" t="str">
            <v>AUSTRALIND WA 6233</v>
          </cell>
          <cell r="K1832" t="str">
            <v>0211000636</v>
          </cell>
        </row>
        <row r="1833">
          <cell r="G1833" t="str">
            <v>WPS CECIL ST GNOWANGERUP</v>
          </cell>
          <cell r="H1833" t="str">
            <v>W049-005-001-002-001-001</v>
          </cell>
          <cell r="I1833" t="str">
            <v>LOT 210 CECIL ST</v>
          </cell>
          <cell r="J1833" t="str">
            <v>GNOWANGERUP WA 6335</v>
          </cell>
          <cell r="K1833" t="str">
            <v>0348002915</v>
          </cell>
        </row>
        <row r="1834">
          <cell r="G1834" t="str">
            <v>SPS GREAT NORTHERN HWY BULLSBROOK</v>
          </cell>
          <cell r="H1834" t="str">
            <v>S0030246</v>
          </cell>
          <cell r="I1834" t="str">
            <v>LOT 20 GREAT NORTHERN HWY</v>
          </cell>
          <cell r="J1834" t="str">
            <v>BULLSBROOK WA 6084</v>
          </cell>
          <cell r="K1834" t="str">
            <v>410AM800104</v>
          </cell>
        </row>
        <row r="1835">
          <cell r="G1835" t="str">
            <v>WPS JOHNSTON RD YARLOOP BOOSTER TEMP</v>
          </cell>
          <cell r="H1835" t="str">
            <v>W8005766</v>
          </cell>
          <cell r="I1835" t="str">
            <v>LOT 99 JOHNSTON RD</v>
          </cell>
          <cell r="J1835" t="str">
            <v>YARLOOP WA 6218</v>
          </cell>
          <cell r="K1835" t="str">
            <v>0148003716</v>
          </cell>
        </row>
        <row r="1836">
          <cell r="G1836" t="str">
            <v>WPS CAMPERSIC RD BRIGADOON</v>
          </cell>
          <cell r="H1836" t="str">
            <v>W0035342</v>
          </cell>
          <cell r="I1836" t="str">
            <v>HSE NO 951 LOT 64 CAMPERSIC RD</v>
          </cell>
          <cell r="J1836" t="str">
            <v>BRIGADOON WA 6069</v>
          </cell>
          <cell r="K1836" t="str">
            <v>0136005088</v>
          </cell>
        </row>
        <row r="1837">
          <cell r="G1837" t="str">
            <v>SPS MCGUINESS DR LEEMING</v>
          </cell>
          <cell r="H1837" t="str">
            <v>S0034334</v>
          </cell>
          <cell r="I1837" t="str">
            <v>MCGUINESS DR</v>
          </cell>
          <cell r="J1837" t="str">
            <v>LEEMING WA 6149</v>
          </cell>
          <cell r="K1837" t="str">
            <v>002101289</v>
          </cell>
        </row>
        <row r="1838">
          <cell r="G1838" t="str">
            <v>SPS ELDER WY BELLEVUE</v>
          </cell>
          <cell r="H1838" t="str">
            <v>S0028968</v>
          </cell>
          <cell r="I1838" t="str">
            <v>LOT 123 ELDER WAY</v>
          </cell>
          <cell r="J1838" t="str">
            <v>BELLEVUE WA 6056</v>
          </cell>
          <cell r="K1838" t="str">
            <v>0148004372</v>
          </cell>
        </row>
        <row r="1839">
          <cell r="G1839" t="str">
            <v>SPS CONNOLLY DR CLARKSON</v>
          </cell>
          <cell r="H1839" t="str">
            <v>S0029118</v>
          </cell>
          <cell r="I1839" t="str">
            <v>CONNOLLY DR</v>
          </cell>
          <cell r="J1839" t="str">
            <v>CLARKSON WA 6030</v>
          </cell>
          <cell r="K1839" t="str">
            <v>0211000983</v>
          </cell>
        </row>
        <row r="1840">
          <cell r="G1840" t="str">
            <v>SPS GLENBAR RD DUNCRAIG</v>
          </cell>
          <cell r="H1840" t="str">
            <v>S0028416</v>
          </cell>
          <cell r="I1840" t="str">
            <v>GLENBAR RD</v>
          </cell>
          <cell r="J1840" t="str">
            <v>DUNCRAIG WA 6023</v>
          </cell>
          <cell r="K1840" t="str">
            <v>410M101136</v>
          </cell>
        </row>
        <row r="1841">
          <cell r="G1841" t="str">
            <v>SPS FARMANER PWY ELLENBROOK</v>
          </cell>
          <cell r="H1841" t="str">
            <v>S2019212</v>
          </cell>
          <cell r="I1841" t="str">
            <v>LOT 5990 FARMANER PARKWAY</v>
          </cell>
          <cell r="J1841" t="str">
            <v>ELLENBROOK WA 6069</v>
          </cell>
          <cell r="K1841" t="str">
            <v>0350000137</v>
          </cell>
        </row>
        <row r="1842">
          <cell r="G1842" t="str">
            <v>DEPOT DONGARA</v>
          </cell>
          <cell r="H1842" t="str">
            <v>C0036937</v>
          </cell>
          <cell r="I1842" t="str">
            <v>LOT 50 POINT LEANDER DR</v>
          </cell>
          <cell r="J1842" t="str">
            <v>PORT DENISON WA 6525</v>
          </cell>
          <cell r="K1842" t="str">
            <v>0350041939</v>
          </cell>
        </row>
        <row r="1843">
          <cell r="G1843" t="str">
            <v>SPS TATHAM RD SOUTH YUNDERUP</v>
          </cell>
          <cell r="H1843" t="str">
            <v>S0045073</v>
          </cell>
          <cell r="I1843" t="str">
            <v>LOT 1001 TATHAM RD</v>
          </cell>
          <cell r="J1843" t="str">
            <v>SOUTH YUNDERUP WA 6208</v>
          </cell>
          <cell r="K1843" t="str">
            <v>410AM40624</v>
          </cell>
        </row>
        <row r="1844">
          <cell r="G1844" t="str">
            <v>WPS DAM 2 JERRAMUNGUP</v>
          </cell>
          <cell r="H1844" t="str">
            <v>W0023057</v>
          </cell>
          <cell r="I1844" t="str">
            <v>LOT 159 MONASH AVE</v>
          </cell>
          <cell r="J1844" t="str">
            <v>JERRAMUNGUP WA 6337</v>
          </cell>
          <cell r="K1844" t="str">
            <v>410M162077</v>
          </cell>
        </row>
        <row r="1845">
          <cell r="G1845" t="str">
            <v>SPS FIRST AV ROSSMOYNE</v>
          </cell>
          <cell r="H1845" t="str">
            <v>S0033695</v>
          </cell>
          <cell r="I1845" t="str">
            <v>FIRST AVE</v>
          </cell>
          <cell r="J1845" t="str">
            <v>ROSSMOYNE WA 6148</v>
          </cell>
          <cell r="K1845" t="str">
            <v>450M22321</v>
          </cell>
        </row>
        <row r="1846">
          <cell r="G1846" t="str">
            <v>SPS RIVER RD KELMSCOTT</v>
          </cell>
          <cell r="H1846" t="str">
            <v>S0032776</v>
          </cell>
          <cell r="I1846" t="str">
            <v>LOT 23 RIVER RD</v>
          </cell>
          <cell r="J1846" t="str">
            <v>KELMSCOTT WA 6111</v>
          </cell>
          <cell r="K1846" t="str">
            <v>0148005811</v>
          </cell>
        </row>
        <row r="1847">
          <cell r="G1847" t="str">
            <v>SPS PURLEY CR LYNWOOD</v>
          </cell>
          <cell r="H1847" t="str">
            <v>S0034418</v>
          </cell>
          <cell r="I1847" t="str">
            <v>U43 LOT 2464 PURLEY CRES</v>
          </cell>
          <cell r="J1847" t="str">
            <v>LYNWOOD WA 6147</v>
          </cell>
          <cell r="K1847" t="str">
            <v>0136004359</v>
          </cell>
        </row>
        <row r="1848">
          <cell r="G1848" t="str">
            <v>BORE SITE Q60</v>
          </cell>
          <cell r="H1848" t="str">
            <v>W1001183</v>
          </cell>
          <cell r="I1848" t="str">
            <v>LOT 42 CONNOLLY DR</v>
          </cell>
          <cell r="J1848" t="str">
            <v>CLARKSON WA 6030</v>
          </cell>
          <cell r="K1848" t="str">
            <v>0148002997</v>
          </cell>
        </row>
        <row r="1849">
          <cell r="G1849" t="str">
            <v>WPS NB POPANYINNING</v>
          </cell>
          <cell r="H1849" t="str">
            <v>W049-003-004-008-007</v>
          </cell>
          <cell r="I1849" t="str">
            <v>FRANCIS ST</v>
          </cell>
          <cell r="J1849" t="str">
            <v>POPANYINNING WA 6309</v>
          </cell>
          <cell r="K1849" t="str">
            <v>410AM106960</v>
          </cell>
        </row>
        <row r="1850">
          <cell r="G1850" t="str">
            <v>WPS DOODLAKINE</v>
          </cell>
          <cell r="H1850" t="str">
            <v>W0020122</v>
          </cell>
          <cell r="I1850" t="str">
            <v>GREAT EASTERN HWY</v>
          </cell>
          <cell r="J1850" t="str">
            <v>DOODLAKINE WA 6411</v>
          </cell>
          <cell r="K1850" t="str">
            <v>0148006342</v>
          </cell>
        </row>
        <row r="1851">
          <cell r="G1851" t="str">
            <v>SPS GWENYFRED RD KENSINGTON</v>
          </cell>
          <cell r="H1851" t="str">
            <v>S0034065</v>
          </cell>
          <cell r="I1851" t="str">
            <v>GWENYFRED RD</v>
          </cell>
          <cell r="J1851" t="str">
            <v>KENSINGTON WA 6151</v>
          </cell>
          <cell r="K1851" t="str">
            <v>410AM112052</v>
          </cell>
        </row>
        <row r="1852">
          <cell r="G1852" t="str">
            <v>SPS HUTCHINSON AV MOSMAN PARK</v>
          </cell>
          <cell r="H1852" t="str">
            <v>S2003399</v>
          </cell>
          <cell r="I1852" t="str">
            <v>HUTCHINSON AVE</v>
          </cell>
          <cell r="J1852" t="str">
            <v>MOSMAN PARK WA 6012</v>
          </cell>
          <cell r="K1852" t="str">
            <v>410M206148</v>
          </cell>
        </row>
        <row r="1853">
          <cell r="G1853" t="str">
            <v>SPS KINGSLEY DR KINGSLEY</v>
          </cell>
          <cell r="H1853" t="str">
            <v>S0028519</v>
          </cell>
          <cell r="I1853" t="str">
            <v>136 KINGSLEY DR</v>
          </cell>
          <cell r="J1853" t="str">
            <v>KINGSLEY WA 6026</v>
          </cell>
          <cell r="K1853" t="str">
            <v>0081000898</v>
          </cell>
        </row>
        <row r="1854">
          <cell r="G1854" t="str">
            <v>WPS ACKLAND RD WANDINA</v>
          </cell>
          <cell r="H1854" t="str">
            <v>W0039780</v>
          </cell>
          <cell r="I1854" t="str">
            <v>ACKLAND ST</v>
          </cell>
          <cell r="J1854" t="str">
            <v>MOUNT TARCOOLA WA 6530</v>
          </cell>
          <cell r="K1854" t="str">
            <v>0148003041</v>
          </cell>
        </row>
        <row r="1855">
          <cell r="G1855" t="str">
            <v>SPS CAVES RD MARYBROOK</v>
          </cell>
          <cell r="H1855" t="str">
            <v>S0044456</v>
          </cell>
          <cell r="I1855" t="str">
            <v>L108 CAVES RD</v>
          </cell>
          <cell r="J1855" t="str">
            <v>MARYBROOK</v>
          </cell>
          <cell r="K1855" t="str">
            <v>410M2009550</v>
          </cell>
        </row>
        <row r="1856">
          <cell r="G1856" t="str">
            <v>SERPENTINE PH DAM</v>
          </cell>
          <cell r="H1856" t="str">
            <v>W0008086</v>
          </cell>
          <cell r="I1856" t="str">
            <v>KINGSBURY DR</v>
          </cell>
          <cell r="J1856" t="str">
            <v>JARRAHDALE WA 6124</v>
          </cell>
          <cell r="K1856" t="str">
            <v>0136004263</v>
          </cell>
        </row>
        <row r="1857">
          <cell r="G1857" t="str">
            <v>COMMON FACILITIES S/DELIVERY GERALDTON</v>
          </cell>
          <cell r="H1857" t="str">
            <v>C028-007</v>
          </cell>
          <cell r="I1857" t="str">
            <v>LOT 2365 NORTH WEST COASTAL HWY</v>
          </cell>
          <cell r="J1857" t="str">
            <v>GERALDTON WA 6530</v>
          </cell>
          <cell r="K1857" t="str">
            <v>0350321140</v>
          </cell>
        </row>
        <row r="1858">
          <cell r="G1858" t="str">
            <v>WPS REID ST PINGRUP</v>
          </cell>
          <cell r="H1858" t="str">
            <v>W049-005-017-002-001-001</v>
          </cell>
          <cell r="I1858" t="str">
            <v>LOT 591 PATERSON ST</v>
          </cell>
          <cell r="J1858" t="str">
            <v>PINGRUP WA 6343</v>
          </cell>
          <cell r="K1858" t="str">
            <v>410M34161</v>
          </cell>
        </row>
        <row r="1859">
          <cell r="G1859" t="str">
            <v>#SPS MAYOR RD 2 MUNSTER</v>
          </cell>
          <cell r="H1859" t="str">
            <v>S0033275</v>
          </cell>
          <cell r="I1859" t="str">
            <v>LOT 14 MAYOR RD</v>
          </cell>
          <cell r="J1859" t="str">
            <v>MUNSTER WA 6166</v>
          </cell>
          <cell r="K1859" t="str">
            <v>0350007111</v>
          </cell>
        </row>
        <row r="1860">
          <cell r="G1860" t="str">
            <v>WWTP WUNDOWIE</v>
          </cell>
          <cell r="H1860" t="str">
            <v>S016-002</v>
          </cell>
          <cell r="I1860" t="str">
            <v>LOC 27737 COATES RD</v>
          </cell>
          <cell r="J1860" t="str">
            <v>WUNDOWIE WA 6560</v>
          </cell>
          <cell r="K1860" t="str">
            <v>0180025601</v>
          </cell>
        </row>
        <row r="1861">
          <cell r="G1861" t="str">
            <v>WPS OPAL WY MOUNT RICHON</v>
          </cell>
          <cell r="H1861" t="str">
            <v>W0035050</v>
          </cell>
          <cell r="I1861" t="str">
            <v>U43 LOT 61 OPAL WAY</v>
          </cell>
          <cell r="J1861" t="str">
            <v>MOUNT RICHON WA 6112</v>
          </cell>
          <cell r="K1861" t="str">
            <v>002101255</v>
          </cell>
        </row>
        <row r="1862">
          <cell r="G1862" t="str">
            <v>WPS 1 WUNDOWIE</v>
          </cell>
          <cell r="H1862" t="str">
            <v>W0021226</v>
          </cell>
          <cell r="I1862" t="str">
            <v>U54 LOCN 1 WERRIBEE RD</v>
          </cell>
          <cell r="J1862" t="str">
            <v>WUNDOWIE WA 6560</v>
          </cell>
          <cell r="K1862" t="str">
            <v>0211000505</v>
          </cell>
        </row>
        <row r="1863">
          <cell r="G1863" t="str">
            <v>#OXY/STN BRANCH CIRCUS YANGEBUP</v>
          </cell>
          <cell r="H1863" t="str">
            <v>S0004032</v>
          </cell>
          <cell r="I1863" t="str">
            <v>43 BRANCH CIRCUS</v>
          </cell>
          <cell r="J1863" t="str">
            <v>SUCCESS</v>
          </cell>
          <cell r="K1863" t="str">
            <v>0200030323</v>
          </cell>
        </row>
        <row r="1864">
          <cell r="G1864" t="str">
            <v>SPS ST JOHN RD WATTLE GROVE</v>
          </cell>
          <cell r="H1864" t="str">
            <v>S0033097</v>
          </cell>
          <cell r="I1864" t="str">
            <v>U43 LOT 10 ST JOHN RD</v>
          </cell>
          <cell r="J1864" t="str">
            <v>WATTLE GROVE WA 6107</v>
          </cell>
          <cell r="K1864" t="str">
            <v>0148006727</v>
          </cell>
        </row>
        <row r="1865">
          <cell r="G1865" t="str">
            <v>SPS BEATTY AV STH EAST VIC PARK</v>
          </cell>
          <cell r="H1865" t="str">
            <v>S0033977</v>
          </cell>
          <cell r="I1865" t="str">
            <v>121 BEATTY AVE</v>
          </cell>
          <cell r="J1865" t="str">
            <v>VICTORIA PARK WA 6100</v>
          </cell>
          <cell r="K1865" t="str">
            <v>410M173880</v>
          </cell>
        </row>
        <row r="1866">
          <cell r="G1866" t="str">
            <v>WPS KOORDA EAST</v>
          </cell>
          <cell r="H1866" t="str">
            <v>W0019636</v>
          </cell>
          <cell r="I1866" t="str">
            <v>LOT 259 BROOKS ST</v>
          </cell>
          <cell r="J1866" t="str">
            <v>KOORDA WA 6475</v>
          </cell>
          <cell r="K1866" t="str">
            <v>410M73537</v>
          </cell>
        </row>
        <row r="1867">
          <cell r="G1867" t="str">
            <v>SPS RADNOR WY COOLBELLUP</v>
          </cell>
          <cell r="H1867" t="str">
            <v>S2003193</v>
          </cell>
          <cell r="I1867" t="str">
            <v>LOT 2083 RADNOR WAY</v>
          </cell>
          <cell r="J1867" t="str">
            <v>COOLBELLUP WA 6163</v>
          </cell>
          <cell r="K1867" t="str">
            <v>0148002302</v>
          </cell>
        </row>
        <row r="1868">
          <cell r="G1868" t="str">
            <v>SPS NORTH BEACH RD NORTH BEACH</v>
          </cell>
          <cell r="H1868" t="str">
            <v>S2013758</v>
          </cell>
          <cell r="I1868" t="str">
            <v>86 NORTH BEACH RD</v>
          </cell>
          <cell r="J1868" t="str">
            <v>NORTH BEACH WA 6020</v>
          </cell>
          <cell r="K1868" t="str">
            <v>0180011218</v>
          </cell>
        </row>
        <row r="1869">
          <cell r="G1869" t="str">
            <v>WPS PANTAPIN</v>
          </cell>
          <cell r="H1869" t="str">
            <v>W5170300</v>
          </cell>
          <cell r="I1869" t="str">
            <v>LOT 50 BLAND RD</v>
          </cell>
          <cell r="J1869" t="str">
            <v>YOTING WA 6383</v>
          </cell>
          <cell r="K1869" t="str">
            <v>0350030533</v>
          </cell>
        </row>
        <row r="1870">
          <cell r="G1870" t="str">
            <v>ELECT INSTALL WPS OLD COLLIE BUILDING</v>
          </cell>
          <cell r="H1870" t="str">
            <v>W8014550</v>
          </cell>
          <cell r="I1870" t="str">
            <v>WILLIAMS RD</v>
          </cell>
          <cell r="J1870" t="str">
            <v>COLLIE WA 6225</v>
          </cell>
          <cell r="K1870" t="str">
            <v>410M181728</v>
          </cell>
        </row>
        <row r="1871">
          <cell r="G1871" t="str">
            <v>WPS DEDARI</v>
          </cell>
          <cell r="H1871" t="str">
            <v>W0021044</v>
          </cell>
          <cell r="I1871" t="str">
            <v>LOT 74 GREAT EASTERN HWY</v>
          </cell>
          <cell r="J1871" t="str">
            <v>COOLGARDIE  6429</v>
          </cell>
          <cell r="K1871" t="str">
            <v>0214000441</v>
          </cell>
        </row>
        <row r="1872">
          <cell r="G1872" t="str">
            <v>CHL SYS HYPO BULLFINCH</v>
          </cell>
          <cell r="H1872" t="str">
            <v>W5014180</v>
          </cell>
          <cell r="I1872" t="str">
            <v>BULLFINCH RD</v>
          </cell>
          <cell r="J1872" t="str">
            <v>BULLFINCH</v>
          </cell>
          <cell r="K1872" t="str">
            <v>15D095985</v>
          </cell>
        </row>
        <row r="1873">
          <cell r="G1873" t="str">
            <v>WWTP MIGUEL PL WALPOLE</v>
          </cell>
          <cell r="H1873" t="str">
            <v>S097-001-003</v>
          </cell>
          <cell r="I1873" t="str">
            <v>LOT 12964 MIGUEL PL</v>
          </cell>
          <cell r="J1873" t="str">
            <v>WALPOLE WA 6398</v>
          </cell>
          <cell r="K1873" t="str">
            <v>000000000530003116</v>
          </cell>
        </row>
        <row r="1874">
          <cell r="G1874" t="str">
            <v>REGIONAL OFFICE</v>
          </cell>
          <cell r="H1874" t="e">
            <v>#N/A</v>
          </cell>
          <cell r="I1874" t="str">
            <v>FITZGERALD ST</v>
          </cell>
          <cell r="J1874" t="str">
            <v>NORTHAM WA 6401</v>
          </cell>
          <cell r="K1874" t="str">
            <v>0148004849</v>
          </cell>
        </row>
        <row r="1875">
          <cell r="G1875" t="str">
            <v>WPS DAM 4 RAVENSTHORPE</v>
          </cell>
          <cell r="H1875" t="str">
            <v>W0023891</v>
          </cell>
          <cell r="I1875" t="str">
            <v>LOC 1228 SCOTT ST</v>
          </cell>
          <cell r="J1875" t="str">
            <v>RAVENSTHORPE WA 6346</v>
          </cell>
          <cell r="K1875" t="str">
            <v>410M117966</v>
          </cell>
        </row>
        <row r="1876">
          <cell r="G1876" t="str">
            <v>TANK WSC OAKLANDS AV HALLS HEAD</v>
          </cell>
          <cell r="H1876" t="str">
            <v>W0045963</v>
          </cell>
          <cell r="I1876" t="str">
            <v>35 OAKLANDS AVE</v>
          </cell>
          <cell r="J1876" t="str">
            <v>HALLS HEAD WA 6210</v>
          </cell>
          <cell r="K1876" t="str">
            <v>15M3006140</v>
          </cell>
        </row>
        <row r="1877">
          <cell r="G1877" t="str">
            <v>SPS ARMANTA DR CAREY PARK</v>
          </cell>
          <cell r="H1877" t="str">
            <v>S0044164</v>
          </cell>
          <cell r="I1877" t="str">
            <v>OCEAN DR</v>
          </cell>
          <cell r="J1877" t="str">
            <v>BUNBURY WA 6230</v>
          </cell>
          <cell r="K1877" t="str">
            <v>410M135633</v>
          </cell>
        </row>
        <row r="1878">
          <cell r="G1878" t="str">
            <v>SPS OAKMONT AVE MEADOW SPRINGS</v>
          </cell>
          <cell r="H1878" t="str">
            <v>S0044751</v>
          </cell>
          <cell r="I1878" t="str">
            <v>LOT 453 OAKMONT AVE</v>
          </cell>
          <cell r="J1878" t="str">
            <v>MEADOW SPRINGS WA 6210</v>
          </cell>
          <cell r="K1878" t="str">
            <v>410M146218</v>
          </cell>
        </row>
        <row r="1879">
          <cell r="G1879" t="str">
            <v>SPS TUDOR ST WAGIN</v>
          </cell>
          <cell r="H1879" t="str">
            <v>S031-002-003</v>
          </cell>
          <cell r="I1879" t="str">
            <v>3 TUDOR ST</v>
          </cell>
          <cell r="J1879" t="str">
            <v>WAGIN WA 6315</v>
          </cell>
          <cell r="K1879" t="str">
            <v>410M153870</v>
          </cell>
        </row>
        <row r="1880">
          <cell r="G1880" t="str">
            <v>SPS MENDS ST SOUTH PERTH</v>
          </cell>
          <cell r="H1880" t="str">
            <v>S0034125</v>
          </cell>
          <cell r="I1880" t="str">
            <v>SOUTH PERTH ESP</v>
          </cell>
          <cell r="J1880" t="str">
            <v>SOUTH PERTH WA 6151</v>
          </cell>
          <cell r="K1880" t="str">
            <v>450M22349</v>
          </cell>
        </row>
        <row r="1881">
          <cell r="G1881" t="str">
            <v>SPS HANWELL WY BASSENDEAN</v>
          </cell>
          <cell r="H1881" t="str">
            <v>S0030134</v>
          </cell>
          <cell r="I1881" t="str">
            <v>U42 LOT 123 HANWELL WAY</v>
          </cell>
          <cell r="J1881" t="str">
            <v>BASSENDEAN WA 6054</v>
          </cell>
          <cell r="K1881" t="str">
            <v>0148002658</v>
          </cell>
        </row>
        <row r="1882">
          <cell r="G1882" t="str">
            <v>BORE SITE W60</v>
          </cell>
          <cell r="H1882" t="str">
            <v>W1001555</v>
          </cell>
          <cell r="I1882" t="str">
            <v>U41 LOT 60W SILVER RD</v>
          </cell>
          <cell r="J1882" t="str">
            <v>JANDABUP WA 6077</v>
          </cell>
          <cell r="K1882" t="str">
            <v>0248000103</v>
          </cell>
        </row>
        <row r="1883">
          <cell r="G1883" t="str">
            <v>SPS NORRING ST COOLOONGUP</v>
          </cell>
          <cell r="H1883" t="str">
            <v>S0030448</v>
          </cell>
          <cell r="I1883" t="str">
            <v>U43 1 NORRING ST</v>
          </cell>
          <cell r="J1883" t="str">
            <v>COOLOONGUP WA 6168</v>
          </cell>
          <cell r="K1883" t="str">
            <v>0081000111</v>
          </cell>
        </row>
        <row r="1884">
          <cell r="G1884"/>
          <cell r="H1884" t="e">
            <v>#N/A</v>
          </cell>
          <cell r="I1884" t="str">
            <v>SUITE 8/630 NEWCASTLE ST</v>
          </cell>
          <cell r="J1884" t="str">
            <v>LEEDERVILLE WA 6007</v>
          </cell>
          <cell r="K1884" t="str">
            <v>0148006028</v>
          </cell>
        </row>
        <row r="1885">
          <cell r="G1885" t="str">
            <v>SPS REDCLIFFE RD GREENFIELDS</v>
          </cell>
          <cell r="H1885" t="str">
            <v>S8000826</v>
          </cell>
          <cell r="I1885" t="str">
            <v>REDCLIFFE RD</v>
          </cell>
          <cell r="J1885" t="str">
            <v>GREENFIELDS WA 6210</v>
          </cell>
          <cell r="K1885" t="str">
            <v>410M230091</v>
          </cell>
        </row>
        <row r="1886">
          <cell r="G1886" t="str">
            <v>CDP MYALUP BEACH RD MYALUP</v>
          </cell>
          <cell r="H1886" t="str">
            <v>W8000019</v>
          </cell>
          <cell r="I1886" t="str">
            <v>LOT 7 OLD COAST RD</v>
          </cell>
          <cell r="J1886" t="str">
            <v>MYALUP WA 6220</v>
          </cell>
          <cell r="K1886" t="str">
            <v>0148001011</v>
          </cell>
        </row>
        <row r="1887">
          <cell r="G1887" t="str">
            <v>SPS JERSEY ST JOLIMONT</v>
          </cell>
          <cell r="H1887" t="str">
            <v>S0032270</v>
          </cell>
          <cell r="I1887" t="str">
            <v>LOT 7968 JERSEY ST</v>
          </cell>
          <cell r="J1887" t="str">
            <v>JOLIMONT WA 6014</v>
          </cell>
          <cell r="K1887" t="str">
            <v>001401816</v>
          </cell>
        </row>
        <row r="1888">
          <cell r="G1888" t="str">
            <v>WPS PRESSURE PACKAGE MULLEWA</v>
          </cell>
          <cell r="H1888" t="str">
            <v>W0040013</v>
          </cell>
          <cell r="I1888" t="str">
            <v>LOT 278 MAIN RD</v>
          </cell>
          <cell r="J1888" t="str">
            <v>MULLEWA WA 6630</v>
          </cell>
          <cell r="K1888" t="str">
            <v>0148003561</v>
          </cell>
        </row>
        <row r="1889">
          <cell r="G1889" t="str">
            <v>SPS PARADE RD WITHERS</v>
          </cell>
          <cell r="H1889" t="str">
            <v>S0044112</v>
          </cell>
          <cell r="I1889" t="str">
            <v>PARADE RD</v>
          </cell>
          <cell r="J1889" t="str">
            <v>BUNBURY WA 6230</v>
          </cell>
          <cell r="K1889" t="str">
            <v>0140000534</v>
          </cell>
        </row>
        <row r="1890">
          <cell r="G1890" t="str">
            <v>SPS NAIRN DR BALDIVIS</v>
          </cell>
          <cell r="H1890" t="str">
            <v>S2019037</v>
          </cell>
          <cell r="I1890" t="str">
            <v>LOT 1551 NAIRN DR</v>
          </cell>
          <cell r="J1890" t="str">
            <v>KARNUP WA 6176</v>
          </cell>
          <cell r="K1890" t="str">
            <v>0280003110</v>
          </cell>
        </row>
        <row r="1891">
          <cell r="G1891" t="str">
            <v>WPS WIALKI NORTH</v>
          </cell>
          <cell r="H1891" t="str">
            <v>W5008210</v>
          </cell>
          <cell r="I1891" t="str">
            <v>LOC 3125 BOUNDARY RD</v>
          </cell>
          <cell r="J1891" t="str">
            <v>WIALKI WA 6473</v>
          </cell>
          <cell r="K1891" t="str">
            <v>210M38057</v>
          </cell>
        </row>
        <row r="1892">
          <cell r="G1892" t="str">
            <v>WPS KOORDA NORTH</v>
          </cell>
          <cell r="H1892" t="str">
            <v>W0019641</v>
          </cell>
          <cell r="I1892" t="str">
            <v>LOCN 19438 KOORDA-BULLFINCH RD</v>
          </cell>
          <cell r="J1892" t="str">
            <v>DUKIN WA 6475</v>
          </cell>
          <cell r="K1892" t="str">
            <v>0148006277</v>
          </cell>
        </row>
        <row r="1893">
          <cell r="G1893" t="str">
            <v>BORE SITE Q190</v>
          </cell>
          <cell r="H1893" t="str">
            <v>W1001230</v>
          </cell>
          <cell r="I1893" t="str">
            <v>HSE NO 2469 LOT 10 MARMION AVE</v>
          </cell>
          <cell r="J1893" t="str">
            <v>BUTLER WA 6036</v>
          </cell>
          <cell r="K1893" t="str">
            <v>0148005747</v>
          </cell>
        </row>
        <row r="1894">
          <cell r="G1894" t="str">
            <v>WPS AVONDALE CR MINDARIE</v>
          </cell>
          <cell r="H1894" t="str">
            <v>W0035565</v>
          </cell>
          <cell r="I1894" t="str">
            <v>22 AVONDALE CT</v>
          </cell>
          <cell r="J1894" t="str">
            <v>MINDARIE WA 6030</v>
          </cell>
          <cell r="K1894" t="str">
            <v>410M198990</v>
          </cell>
        </row>
        <row r="1895">
          <cell r="G1895" t="str">
            <v>TANK GL 1 MT CHARLOTTE KALGOORLIE</v>
          </cell>
          <cell r="H1895" t="str">
            <v>W0021295</v>
          </cell>
          <cell r="I1895" t="str">
            <v>LOT 2714 COLLIER PL</v>
          </cell>
          <cell r="J1895" t="str">
            <v>WILLIAMSTOWN WA 6430</v>
          </cell>
          <cell r="K1895" t="str">
            <v>450M14615</v>
          </cell>
        </row>
        <row r="1896">
          <cell r="G1896" t="str">
            <v>WTP ZAMIA ST NORTHCLIFFE</v>
          </cell>
          <cell r="H1896" t="str">
            <v>W0046177</v>
          </cell>
          <cell r="I1896" t="str">
            <v>MUIRILLUP RD</v>
          </cell>
          <cell r="J1896" t="str">
            <v>NORTHCLIFFE WA 6262</v>
          </cell>
          <cell r="K1896" t="str">
            <v>0248000857</v>
          </cell>
        </row>
        <row r="1897">
          <cell r="G1897" t="str">
            <v>SPS DAPING ST KATANNING</v>
          </cell>
          <cell r="H1897" t="str">
            <v>S025-002-001</v>
          </cell>
          <cell r="I1897" t="str">
            <v>1 ANDERSON ST</v>
          </cell>
          <cell r="J1897" t="str">
            <v>KATANNING WA  6317</v>
          </cell>
          <cell r="K1897" t="str">
            <v>0148002940</v>
          </cell>
        </row>
        <row r="1898">
          <cell r="G1898" t="str">
            <v>SPS GERSCHOW AVE HARVEY</v>
          </cell>
          <cell r="H1898" t="str">
            <v>S0044664</v>
          </cell>
          <cell r="I1898" t="str">
            <v>LOT 113 GERSCHOW AVE</v>
          </cell>
          <cell r="J1898" t="str">
            <v>HARVEY WA 6220</v>
          </cell>
          <cell r="K1898" t="str">
            <v>410M86851</v>
          </cell>
        </row>
        <row r="1899">
          <cell r="G1899" t="str">
            <v>SPS WOODBRIDGE ST GUILDFORD</v>
          </cell>
          <cell r="H1899" t="str">
            <v>S0030240</v>
          </cell>
          <cell r="I1899" t="str">
            <v>444 GREAT EASTERN HWY</v>
          </cell>
          <cell r="J1899" t="str">
            <v>GUILDFORD WA 6055</v>
          </cell>
          <cell r="K1899" t="str">
            <v>000000000148004871</v>
          </cell>
        </row>
        <row r="1900">
          <cell r="G1900"/>
          <cell r="H1900" t="e">
            <v>#N/A</v>
          </cell>
          <cell r="I1900" t="str">
            <v>LOC 3201</v>
          </cell>
          <cell r="J1900" t="str">
            <v>MERREDIN WA 6415</v>
          </cell>
          <cell r="K1900" t="str">
            <v>0200356121</v>
          </cell>
        </row>
        <row r="1901">
          <cell r="G1901" t="str">
            <v>SPS DUNE CT SWANBOURNE</v>
          </cell>
          <cell r="H1901" t="str">
            <v>S0032618</v>
          </cell>
          <cell r="I1901" t="str">
            <v>LOT 300 DUNE CT</v>
          </cell>
          <cell r="J1901" t="str">
            <v>SWANBOURNE WA 6010</v>
          </cell>
          <cell r="K1901" t="str">
            <v>410M173798</v>
          </cell>
        </row>
        <row r="1902">
          <cell r="G1902" t="str">
            <v>GWELUP BOREFIELD</v>
          </cell>
          <cell r="H1902" t="str">
            <v>W0009488</v>
          </cell>
          <cell r="I1902" t="str">
            <v>33 BRYAN PL</v>
          </cell>
          <cell r="J1902" t="str">
            <v>STIRLING WA 6021</v>
          </cell>
          <cell r="K1902" t="str">
            <v>0148006370</v>
          </cell>
        </row>
        <row r="1903">
          <cell r="G1903" t="str">
            <v>UV SYS CUNDERDIN</v>
          </cell>
          <cell r="H1903" t="str">
            <v>W5017640</v>
          </cell>
          <cell r="I1903" t="str">
            <v>FIRST ST</v>
          </cell>
          <cell r="J1903" t="str">
            <v>CUNDERDIN WA 6407</v>
          </cell>
          <cell r="K1903" t="str">
            <v>0350020440</v>
          </cell>
        </row>
        <row r="1904">
          <cell r="G1904" t="str">
            <v>SPS APRICOT ST PINJARRA</v>
          </cell>
          <cell r="H1904" t="str">
            <v>S0044957</v>
          </cell>
          <cell r="I1904" t="str">
            <v>LOT 504 APRICOT ST</v>
          </cell>
          <cell r="J1904" t="str">
            <v>PINJARRA WA 6208</v>
          </cell>
          <cell r="K1904" t="str">
            <v>410M144628</v>
          </cell>
        </row>
        <row r="1905">
          <cell r="G1905" t="str">
            <v>BORE 09-58 SANDPATCH</v>
          </cell>
          <cell r="H1905" t="str">
            <v>W0023701</v>
          </cell>
          <cell r="I1905" t="str">
            <v>LOCN 6475</v>
          </cell>
          <cell r="J1905" t="str">
            <v>LITTLE GROVE WA 6330</v>
          </cell>
          <cell r="K1905" t="str">
            <v>0148006266</v>
          </cell>
        </row>
        <row r="1906">
          <cell r="G1906" t="str">
            <v>SPS HARPER ST WOODBRIDGE</v>
          </cell>
          <cell r="H1906" t="str">
            <v>S0030138</v>
          </cell>
          <cell r="I1906" t="str">
            <v>46 HARPER ST</v>
          </cell>
          <cell r="J1906" t="str">
            <v>WOODBRIDGE WA 6056</v>
          </cell>
          <cell r="K1906" t="str">
            <v>410AM58499</v>
          </cell>
        </row>
        <row r="1907">
          <cell r="G1907" t="str">
            <v>CHL SYS JAM CREEK RD TAMBELLUP</v>
          </cell>
          <cell r="H1907" t="str">
            <v>W7004799</v>
          </cell>
          <cell r="I1907" t="str">
            <v>LOT 1352 JAM CREEK RD</v>
          </cell>
          <cell r="J1907" t="str">
            <v>TAMBELLUP WA 6320</v>
          </cell>
          <cell r="K1907" t="str">
            <v>0280001739</v>
          </cell>
        </row>
        <row r="1908">
          <cell r="G1908" t="str">
            <v>BORE SITE YOKINE BORE NO.2 WORDSWORTH AV</v>
          </cell>
          <cell r="H1908" t="str">
            <v>W1001633</v>
          </cell>
          <cell r="I1908" t="str">
            <v>LOT 14921 BRADFORD ST</v>
          </cell>
          <cell r="J1908" t="str">
            <v>YOKINE WA 6060</v>
          </cell>
          <cell r="K1908" t="str">
            <v>0213000363</v>
          </cell>
        </row>
        <row r="1909">
          <cell r="G1909" t="str">
            <v>SPS SOLDIERS COVE TCE DUDLEY PARK</v>
          </cell>
          <cell r="H1909" t="str">
            <v>S0044778</v>
          </cell>
          <cell r="I1909" t="str">
            <v>U51 MCKERRACHER ST</v>
          </cell>
          <cell r="J1909" t="str">
            <v>DUDLEY PARK WA 6210</v>
          </cell>
          <cell r="K1909" t="str">
            <v>0148002038</v>
          </cell>
        </row>
        <row r="1910">
          <cell r="G1910" t="str">
            <v>WPS STH COAST HWY WELLSTEAD</v>
          </cell>
          <cell r="H1910" t="str">
            <v>W0023930</v>
          </cell>
          <cell r="I1910" t="str">
            <v>LOC 6840 HASSELL HWY</v>
          </cell>
          <cell r="J1910" t="str">
            <v>WELLSTEAD WA 6328</v>
          </cell>
          <cell r="K1910" t="str">
            <v>410M160591</v>
          </cell>
        </row>
        <row r="1911">
          <cell r="G1911" t="str">
            <v>BORE SITE P60</v>
          </cell>
          <cell r="H1911" t="str">
            <v>W1001502</v>
          </cell>
          <cell r="I1911" t="str">
            <v>LOT 60P PERRY RD</v>
          </cell>
          <cell r="J1911" t="str">
            <v>PINJAR WA 6065</v>
          </cell>
          <cell r="K1911" t="str">
            <v>0136005915</v>
          </cell>
        </row>
        <row r="1912">
          <cell r="G1912" t="str">
            <v>BORE SITE G27</v>
          </cell>
          <cell r="H1912" t="str">
            <v>W1006211</v>
          </cell>
          <cell r="I1912" t="str">
            <v>CALAIS RD</v>
          </cell>
          <cell r="J1912" t="str">
            <v>SCARBOROUGH WA 6019</v>
          </cell>
          <cell r="K1912" t="str">
            <v>0295000012</v>
          </cell>
        </row>
        <row r="1913">
          <cell r="G1913" t="str">
            <v>NORTH DANDALUP PUMP STATION</v>
          </cell>
          <cell r="H1913" t="str">
            <v>W1008585</v>
          </cell>
          <cell r="I1913" t="str">
            <v>SOUTH WESTERN HWY</v>
          </cell>
          <cell r="J1913" t="str">
            <v>NORTH DANDALUP WA 6207</v>
          </cell>
          <cell r="K1913" t="str">
            <v>0295000089</v>
          </cell>
        </row>
        <row r="1914">
          <cell r="G1914" t="str">
            <v>SPS ROOKWOOD ST MT PLEASANT</v>
          </cell>
          <cell r="H1914" t="str">
            <v>S0033833</v>
          </cell>
          <cell r="I1914" t="str">
            <v>THE ESPLANADE</v>
          </cell>
          <cell r="J1914" t="str">
            <v>MOUNT PLEASANT WA 6153</v>
          </cell>
          <cell r="K1914" t="str">
            <v>0148004173</v>
          </cell>
        </row>
        <row r="1915">
          <cell r="G1915" t="str">
            <v>SPS TOWNCENTRE DR THORNLIE</v>
          </cell>
          <cell r="H1915" t="str">
            <v>S0033501</v>
          </cell>
          <cell r="I1915" t="str">
            <v>U43 TOWNCENTRE DR</v>
          </cell>
          <cell r="J1915" t="str">
            <v>THORNLIE WA 6108</v>
          </cell>
          <cell r="K1915" t="str">
            <v>0148002773</v>
          </cell>
        </row>
        <row r="1916">
          <cell r="G1916" t="str">
            <v>SPS SILVERSANDS DR ILUKA</v>
          </cell>
          <cell r="H1916" t="str">
            <v>S0027310</v>
          </cell>
          <cell r="I1916" t="str">
            <v>LOT 183 NATURALISTE BVD</v>
          </cell>
          <cell r="J1916" t="str">
            <v>ILUKA WA 6028</v>
          </cell>
          <cell r="K1916" t="str">
            <v>0148004401</v>
          </cell>
        </row>
        <row r="1917">
          <cell r="G1917" t="str">
            <v>SPS MAGENTA CR BALDIVIS</v>
          </cell>
          <cell r="H1917" t="str">
            <v>S2016916</v>
          </cell>
          <cell r="I1917" t="str">
            <v>LOT 296 BALDIVIS RD</v>
          </cell>
          <cell r="J1917" t="str">
            <v>BALDIVIS WA 6171</v>
          </cell>
          <cell r="K1917" t="str">
            <v>0180028454</v>
          </cell>
        </row>
        <row r="1918">
          <cell r="G1918" t="str">
            <v>SPS MCCOMBE AV SAMSON</v>
          </cell>
          <cell r="H1918" t="str">
            <v>S0033788</v>
          </cell>
          <cell r="I1918" t="str">
            <v>U43 MCCOMBE AVE</v>
          </cell>
          <cell r="J1918" t="str">
            <v>SAMSON WA 6163</v>
          </cell>
          <cell r="K1918" t="str">
            <v>002101470</v>
          </cell>
        </row>
        <row r="1919">
          <cell r="G1919" t="str">
            <v>SPS JOHN DORY COVE WANNANUP</v>
          </cell>
          <cell r="H1919" t="str">
            <v>S0044998</v>
          </cell>
          <cell r="I1919" t="str">
            <v>3 JOHN DORY COVE</v>
          </cell>
          <cell r="J1919" t="str">
            <v>WANNANUP WA 6210</v>
          </cell>
          <cell r="K1919" t="str">
            <v>410M173143</v>
          </cell>
        </row>
        <row r="1920">
          <cell r="G1920" t="str">
            <v>TANK EL 1 WSC GRANTHAM ST CRANBROOK</v>
          </cell>
          <cell r="H1920" t="str">
            <v>W044-001-001-002</v>
          </cell>
          <cell r="I1920" t="str">
            <v>2 GRANTHAM ST</v>
          </cell>
          <cell r="J1920" t="str">
            <v>CRANBROOK WA 6321</v>
          </cell>
          <cell r="K1920" t="str">
            <v>410M206839</v>
          </cell>
        </row>
        <row r="1921">
          <cell r="G1921" t="str">
            <v>SPS HERDSMAN PDE WEMBLEY</v>
          </cell>
          <cell r="H1921" t="str">
            <v>S0031714</v>
          </cell>
          <cell r="I1921" t="str">
            <v>HERDSMAN PDE</v>
          </cell>
          <cell r="J1921" t="str">
            <v>WEMBLEY WA 6014</v>
          </cell>
          <cell r="K1921" t="str">
            <v>0081000874</v>
          </cell>
        </row>
        <row r="1922">
          <cell r="G1922" t="str">
            <v>DPS FORRESTER RD SAFETY BAY</v>
          </cell>
          <cell r="H1922" t="str">
            <v>D0036676</v>
          </cell>
          <cell r="I1922" t="str">
            <v>FORRESTER RD</v>
          </cell>
          <cell r="J1922" t="str">
            <v>SAFETY BAY WA 6169</v>
          </cell>
          <cell r="K1922" t="str">
            <v>410M2759</v>
          </cell>
        </row>
        <row r="1923">
          <cell r="G1923" t="str">
            <v>BORE 01-75 BAXTER ST</v>
          </cell>
          <cell r="H1923" t="str">
            <v>W0045616</v>
          </cell>
          <cell r="I1923" t="str">
            <v>BAXTER ST</v>
          </cell>
          <cell r="J1923" t="str">
            <v>DONNYBROOK WA 6239</v>
          </cell>
          <cell r="K1923" t="str">
            <v xml:space="preserve">0148006277     </v>
          </cell>
        </row>
        <row r="1924">
          <cell r="G1924" t="str">
            <v>SPS CULEENUP RD NORTH YUNDERUP</v>
          </cell>
          <cell r="H1924" t="str">
            <v>S0045034</v>
          </cell>
          <cell r="I1924" t="str">
            <v>U51 LOT 13 CULEENUP RD</v>
          </cell>
          <cell r="J1924" t="str">
            <v>NORTH YUNDERUP WA 6208</v>
          </cell>
          <cell r="K1924" t="str">
            <v>0116000728</v>
          </cell>
        </row>
        <row r="1925">
          <cell r="G1925" t="str">
            <v>SPS ALLAN RD BINNINGUP</v>
          </cell>
          <cell r="H1925" t="str">
            <v>S0043968</v>
          </cell>
          <cell r="I1925" t="str">
            <v>71 ALLEN RD</v>
          </cell>
          <cell r="J1925" t="str">
            <v>BINNINGUP WA  6233</v>
          </cell>
          <cell r="K1925" t="str">
            <v>450M2000369</v>
          </cell>
        </row>
        <row r="1926">
          <cell r="G1926" t="str">
            <v>SPS BENNETT ST BREMER BAY</v>
          </cell>
          <cell r="H1926" t="str">
            <v>S021-002-001</v>
          </cell>
          <cell r="I1926" t="str">
            <v>LOT 41596 BENNETT ST</v>
          </cell>
          <cell r="J1926" t="str">
            <v>BREMER BAY WA 6338</v>
          </cell>
          <cell r="K1926" t="str">
            <v>410M148366</v>
          </cell>
        </row>
        <row r="1927">
          <cell r="G1927" t="str">
            <v>SPS BRIDGE ST GUILDFORD</v>
          </cell>
          <cell r="H1927" t="str">
            <v>S0030079</v>
          </cell>
          <cell r="I1927" t="str">
            <v>BRIDGE ST</v>
          </cell>
          <cell r="J1927" t="str">
            <v>GUILDFORD WA 6055</v>
          </cell>
          <cell r="K1927" t="str">
            <v>0136005919</v>
          </cell>
        </row>
        <row r="1928">
          <cell r="G1928" t="str">
            <v>WSC SHEARERS CL QUEDJINUP</v>
          </cell>
          <cell r="H1928" t="str">
            <v>W8000908</v>
          </cell>
          <cell r="I1928" t="str">
            <v>35 SHEARERS CL</v>
          </cell>
          <cell r="J1928" t="str">
            <v>QUEDJINUP WA 6281</v>
          </cell>
          <cell r="K1928" t="str">
            <v>15M3008468</v>
          </cell>
        </row>
        <row r="1929">
          <cell r="G1929" t="str">
            <v>SPS FORREST RD ARMADALE</v>
          </cell>
          <cell r="H1929" t="str">
            <v>S0032748</v>
          </cell>
          <cell r="I1929" t="str">
            <v>LOT 19 FORREST RD</v>
          </cell>
          <cell r="J1929" t="str">
            <v>ARMADALE WA 6112</v>
          </cell>
          <cell r="K1929" t="str">
            <v>0148003186</v>
          </cell>
        </row>
        <row r="1930">
          <cell r="G1930" t="str">
            <v>SPS PALMERSTON ST ST JAMES</v>
          </cell>
          <cell r="H1930" t="str">
            <v>S0033066</v>
          </cell>
          <cell r="I1930" t="str">
            <v>LOT 717 PALMERSTON</v>
          </cell>
          <cell r="J1930" t="str">
            <v>ST JAMES WA 6102</v>
          </cell>
          <cell r="K1930" t="str">
            <v>0136005157</v>
          </cell>
        </row>
        <row r="1931">
          <cell r="G1931" t="str">
            <v>BORE SITE G130</v>
          </cell>
          <cell r="H1931" t="str">
            <v>W1001289</v>
          </cell>
          <cell r="I1931" t="str">
            <v>HSE NO 748 LOT 16 KARRINYUP RD</v>
          </cell>
          <cell r="J1931" t="str">
            <v>BALCATTA WA 6021</v>
          </cell>
          <cell r="K1931" t="str">
            <v>0136005941</v>
          </cell>
        </row>
        <row r="1932">
          <cell r="G1932" t="str">
            <v>DPS OSPREY DR YANGEBUP</v>
          </cell>
          <cell r="H1932" t="str">
            <v>D0036707</v>
          </cell>
          <cell r="I1932" t="str">
            <v>LOT 298 OSPREY DR</v>
          </cell>
          <cell r="J1932" t="str">
            <v>YANGEBUP WA 6164</v>
          </cell>
          <cell r="K1932" t="str">
            <v>0148003867</v>
          </cell>
        </row>
        <row r="1933">
          <cell r="G1933" t="str">
            <v>WPS DAM 3 CRANBROOK</v>
          </cell>
          <cell r="H1933" t="str">
            <v>W044-001-001-006</v>
          </cell>
          <cell r="I1933" t="str">
            <v>U56 LOT 1 HARDY ST</v>
          </cell>
          <cell r="J1933" t="str">
            <v>CRANBROOK WA 6321</v>
          </cell>
          <cell r="K1933" t="str">
            <v>410M157127</v>
          </cell>
        </row>
        <row r="1934">
          <cell r="G1934" t="str">
            <v>RESERVOIR WSC COPPERHEAD AV PADBURY</v>
          </cell>
          <cell r="H1934" t="str">
            <v>W0035768</v>
          </cell>
          <cell r="I1934" t="str">
            <v>19 COPPERHEAD AVE</v>
          </cell>
          <cell r="J1934" t="str">
            <v>PADBURY WA 6025</v>
          </cell>
          <cell r="K1934" t="str">
            <v>450M9326</v>
          </cell>
        </row>
        <row r="1935">
          <cell r="G1935"/>
          <cell r="H1935" t="e">
            <v>#N/A</v>
          </cell>
          <cell r="I1935" t="str">
            <v>S2A 630 NEWCASTLE ST</v>
          </cell>
          <cell r="J1935" t="str">
            <v>LEEDERVILLE WA 6007</v>
          </cell>
          <cell r="K1935" t="str">
            <v>0180028657</v>
          </cell>
        </row>
        <row r="1936">
          <cell r="G1936" t="str">
            <v>DPS CHARLES ST BENTLEY</v>
          </cell>
          <cell r="H1936" t="str">
            <v>D0036645</v>
          </cell>
          <cell r="I1936" t="str">
            <v>U43 TATE ST (&amp; CHARLES ST)</v>
          </cell>
          <cell r="J1936" t="str">
            <v>WELSHPOOL WA 6106</v>
          </cell>
          <cell r="K1936" t="str">
            <v>450M10718</v>
          </cell>
        </row>
        <row r="1937">
          <cell r="G1937" t="str">
            <v>WPS DAM 2 ONGERUP</v>
          </cell>
          <cell r="H1937" t="str">
            <v>W0023837</v>
          </cell>
          <cell r="I1937" t="str">
            <v>LOT 303 JAEKEL ST</v>
          </cell>
          <cell r="J1937" t="str">
            <v>ONGERUP WA 6336</v>
          </cell>
          <cell r="K1937" t="str">
            <v>410M59148</v>
          </cell>
        </row>
        <row r="1938">
          <cell r="G1938" t="str">
            <v>SPS KINGFISHER AV BALLAJURA</v>
          </cell>
          <cell r="H1938" t="str">
            <v>S0028514</v>
          </cell>
          <cell r="I1938" t="str">
            <v>U42 LOT 12 KINGFISHER AVE</v>
          </cell>
          <cell r="J1938" t="str">
            <v>BALLAJURA WA 6066</v>
          </cell>
          <cell r="K1938" t="str">
            <v>0081000906</v>
          </cell>
        </row>
        <row r="1939">
          <cell r="G1939" t="str">
            <v>BORE SITE P97</v>
          </cell>
          <cell r="H1939" t="str">
            <v>W1001530</v>
          </cell>
          <cell r="I1939" t="str">
            <v>LOT 97P PERRY RD</v>
          </cell>
          <cell r="J1939" t="str">
            <v>PINJAR WA 6078</v>
          </cell>
          <cell r="K1939" t="str">
            <v>0211001157</v>
          </cell>
        </row>
        <row r="1940">
          <cell r="G1940" t="str">
            <v>SPS BAXTER CL HUNTINGDALE</v>
          </cell>
          <cell r="H1940" t="str">
            <v>S0033383</v>
          </cell>
          <cell r="I1940" t="str">
            <v>LOT 86 BAXTER CL</v>
          </cell>
          <cell r="J1940" t="str">
            <v>HUNTINGDALE WA 6110</v>
          </cell>
          <cell r="K1940" t="str">
            <v>0148001611</v>
          </cell>
        </row>
        <row r="1941">
          <cell r="G1941" t="str">
            <v>NORTH DANDALUP CVS</v>
          </cell>
          <cell r="H1941" t="str">
            <v>W0012093</v>
          </cell>
          <cell r="I1941" t="str">
            <v>DANDALUP ST</v>
          </cell>
          <cell r="J1941" t="str">
            <v>NORTH DANDALUP WA 6207</v>
          </cell>
          <cell r="K1941" t="str">
            <v>410M41398</v>
          </cell>
        </row>
        <row r="1942">
          <cell r="G1942" t="str">
            <v>SPS GIBLA ST MANDURAH</v>
          </cell>
          <cell r="H1942" t="str">
            <v>S0044714</v>
          </cell>
          <cell r="I1942" t="str">
            <v>LOT 66 GIBLA ST</v>
          </cell>
          <cell r="J1942" t="str">
            <v>MANDURAH WA 6210</v>
          </cell>
          <cell r="K1942" t="str">
            <v>410M10404</v>
          </cell>
        </row>
        <row r="1943">
          <cell r="G1943" t="str">
            <v>SP BORE 03-95 PRISON</v>
          </cell>
          <cell r="H1943" t="str">
            <v>W7000286</v>
          </cell>
          <cell r="I1943" t="str">
            <v>LOT 60P PRINCESS AVE</v>
          </cell>
          <cell r="J1943" t="str">
            <v>ROBINSON WA 6330</v>
          </cell>
          <cell r="K1943" t="str">
            <v>0148006246</v>
          </cell>
        </row>
        <row r="1944">
          <cell r="G1944" t="str">
            <v>SPS VINCENT ST DUNSBOROUGH</v>
          </cell>
          <cell r="H1944" t="str">
            <v>S0044493</v>
          </cell>
          <cell r="I1944" t="str">
            <v>LOT 182 VINCENT RD</v>
          </cell>
          <cell r="J1944" t="str">
            <v>DUNSBOROUGH WA 6281</v>
          </cell>
          <cell r="K1944" t="str">
            <v>410M119500</v>
          </cell>
        </row>
        <row r="1945">
          <cell r="G1945" t="str">
            <v>CHL SYS JUTLAND RD KENDENUP</v>
          </cell>
          <cell r="H1945" t="str">
            <v>W7005041</v>
          </cell>
          <cell r="I1945" t="str">
            <v>LOT 1008 JUTLAND RD</v>
          </cell>
          <cell r="J1945" t="str">
            <v>KENDENUP WA 6323</v>
          </cell>
          <cell r="K1945" t="str">
            <v>0350012676</v>
          </cell>
        </row>
        <row r="1946">
          <cell r="G1946" t="str">
            <v>WPS WICHERINA TRANSFER</v>
          </cell>
          <cell r="H1946" t="str">
            <v>W0040016</v>
          </cell>
          <cell r="I1946" t="str">
            <v>MULLEWA RD</v>
          </cell>
          <cell r="J1946" t="str">
            <v>WICHERINA WA 6532</v>
          </cell>
          <cell r="K1946" t="str">
            <v>001400491</v>
          </cell>
        </row>
        <row r="1947">
          <cell r="G1947" t="str">
            <v>WPS GIMBER ST MELVILLE</v>
          </cell>
          <cell r="H1947" t="str">
            <v>W0034897</v>
          </cell>
          <cell r="I1947" t="str">
            <v>GIMBER ST</v>
          </cell>
          <cell r="J1947" t="str">
            <v>MELVILLE WA 6156</v>
          </cell>
          <cell r="K1947" t="str">
            <v>0211001246</v>
          </cell>
        </row>
        <row r="1948">
          <cell r="G1948" t="str">
            <v>WPS LINDSAY RD EAST NANNUP TRANSFER</v>
          </cell>
          <cell r="H1948" t="str">
            <v>W8007888</v>
          </cell>
          <cell r="I1948" t="str">
            <v>LOT 934 LINDSAY RD</v>
          </cell>
          <cell r="J1948" t="str">
            <v>EAST NANNUP WA 6275</v>
          </cell>
          <cell r="K1948" t="str">
            <v>0136006494</v>
          </cell>
        </row>
        <row r="1949">
          <cell r="G1949" t="str">
            <v>SPS VERDE DR JANDAKOT</v>
          </cell>
          <cell r="H1949" t="str">
            <v>S2003384</v>
          </cell>
          <cell r="I1949" t="str">
            <v>LOT 108 VERDE DR</v>
          </cell>
          <cell r="J1949" t="str">
            <v>BANJUP WA 6164</v>
          </cell>
          <cell r="K1949" t="str">
            <v>0180011394</v>
          </cell>
        </row>
        <row r="1950">
          <cell r="G1950" t="str">
            <v>REPEATER SITE BOBAKINE</v>
          </cell>
          <cell r="H1950" t="str">
            <v>C0013701</v>
          </cell>
          <cell r="I1950" t="str">
            <v>LOC 1953 CLACKLINE-TOODYAY RD</v>
          </cell>
          <cell r="J1950" t="str">
            <v>CLACKLINE WA 6564</v>
          </cell>
          <cell r="K1950" t="str">
            <v>15M86679</v>
          </cell>
        </row>
        <row r="1951">
          <cell r="G1951" t="str">
            <v>WPS INDARRA</v>
          </cell>
          <cell r="H1951" t="str">
            <v>W0039995</v>
          </cell>
          <cell r="I1951" t="str">
            <v>LOCN 10128 GERALDTON-MOUNT MAGNET RD</v>
          </cell>
          <cell r="J1951" t="str">
            <v>TENINDEWA  WA 6632</v>
          </cell>
          <cell r="K1951" t="str">
            <v>0148006672</v>
          </cell>
        </row>
        <row r="1952">
          <cell r="G1952" t="str">
            <v>WPS TREETOP WY BALDIVIS</v>
          </cell>
          <cell r="H1952" t="str">
            <v>W2000268</v>
          </cell>
          <cell r="I1952" t="str">
            <v>TREETOP WAY</v>
          </cell>
          <cell r="J1952" t="str">
            <v>BALDIVIS WA 6171</v>
          </cell>
          <cell r="K1952" t="str">
            <v>0180009437</v>
          </cell>
        </row>
        <row r="1953">
          <cell r="G1953" t="str">
            <v>BORE SITE G20</v>
          </cell>
          <cell r="H1953" t="str">
            <v>W1001265</v>
          </cell>
          <cell r="I1953" t="str">
            <v>LENNOX PL</v>
          </cell>
          <cell r="J1953" t="str">
            <v>HAMERSLEY  WA  6022</v>
          </cell>
          <cell r="K1953" t="str">
            <v>0148006047</v>
          </cell>
        </row>
        <row r="1954">
          <cell r="G1954" t="str">
            <v>SPS LYONS COVE BUNBURY</v>
          </cell>
          <cell r="H1954" t="str">
            <v>S0044075</v>
          </cell>
          <cell r="I1954" t="str">
            <v>LYONS COVE</v>
          </cell>
          <cell r="J1954" t="str">
            <v>BUNBURY WA 6230</v>
          </cell>
          <cell r="K1954" t="str">
            <v>410M175457</v>
          </cell>
        </row>
        <row r="1955">
          <cell r="G1955" t="str">
            <v>SPS SPEARWOOD AV BIBRA LAKE</v>
          </cell>
          <cell r="H1955" t="str">
            <v>S0033331</v>
          </cell>
          <cell r="I1955" t="str">
            <v>SPEARWOOD AVE</v>
          </cell>
          <cell r="J1955" t="str">
            <v>BIBRA LAKE WA 6163</v>
          </cell>
          <cell r="K1955" t="str">
            <v>410M108485</v>
          </cell>
        </row>
        <row r="1956">
          <cell r="G1956" t="str">
            <v>SPS DUFFY TCE WOODVALE</v>
          </cell>
          <cell r="H1956" t="str">
            <v>S0028369</v>
          </cell>
          <cell r="I1956" t="str">
            <v>DUFFY TCE</v>
          </cell>
          <cell r="J1956" t="str">
            <v>WOODVALE WA 6026</v>
          </cell>
          <cell r="K1956" t="str">
            <v>0350010599</v>
          </cell>
        </row>
        <row r="1957">
          <cell r="G1957" t="str">
            <v>WPS LAKE KING</v>
          </cell>
          <cell r="H1957" t="str">
            <v>W053-001-001</v>
          </cell>
          <cell r="I1957" t="str">
            <v>LOC 1599</v>
          </cell>
          <cell r="J1957" t="str">
            <v>LAKE KING WA 6356</v>
          </cell>
          <cell r="K1957" t="str">
            <v>15M87698</v>
          </cell>
        </row>
        <row r="1958">
          <cell r="G1958" t="str">
            <v>SPS JERSEY RD OAKFORD</v>
          </cell>
          <cell r="H1958" t="str">
            <v>S2019051</v>
          </cell>
          <cell r="I1958" t="str">
            <v>LOT 56 JERSEY RD</v>
          </cell>
          <cell r="J1958" t="str">
            <v>OAKFORD WA 6121</v>
          </cell>
          <cell r="K1958" t="str">
            <v>0280005212</v>
          </cell>
        </row>
        <row r="1959">
          <cell r="G1959" t="str">
            <v>SPS GROVES AV ATTADALE</v>
          </cell>
          <cell r="H1959" t="str">
            <v>S0033707</v>
          </cell>
          <cell r="I1959" t="str">
            <v>563 (LOT18) CANNING HWY</v>
          </cell>
          <cell r="J1959" t="str">
            <v>ALFRED COVE WA 6154</v>
          </cell>
          <cell r="K1959" t="str">
            <v>0136004375</v>
          </cell>
        </row>
        <row r="1960">
          <cell r="G1960" t="str">
            <v>BOREFIELD CERVANTES</v>
          </cell>
          <cell r="H1960" t="str">
            <v>W0040559</v>
          </cell>
          <cell r="I1960" t="str">
            <v>RESERVE 74522 INDIAN OCEAN RD</v>
          </cell>
          <cell r="J1960" t="str">
            <v>CERVANTES</v>
          </cell>
          <cell r="K1960" t="str">
            <v>0350328171</v>
          </cell>
        </row>
        <row r="1961">
          <cell r="G1961" t="str">
            <v>SPS MILLSTREAM DR SOUTHERN RIVER</v>
          </cell>
          <cell r="H1961" t="str">
            <v>S2014682</v>
          </cell>
          <cell r="I1961" t="str">
            <v>78 MILLSTREAM DRIVE</v>
          </cell>
          <cell r="J1961" t="str">
            <v>SOUTHERN RIVER  WA 6110</v>
          </cell>
          <cell r="K1961" t="str">
            <v>0380001774</v>
          </cell>
        </row>
        <row r="1962">
          <cell r="G1962" t="str">
            <v>SPS WASHINGTON AVE WITHERS</v>
          </cell>
          <cell r="H1962" t="str">
            <v>S0044159</v>
          </cell>
          <cell r="I1962" t="str">
            <v>WASHINGTON AVE</v>
          </cell>
          <cell r="J1962" t="str">
            <v>BUNBURY WA 6230</v>
          </cell>
          <cell r="K1962" t="str">
            <v>0350304933</v>
          </cell>
        </row>
        <row r="1963">
          <cell r="G1963" t="str">
            <v>SPS DOVERIDGE DR DUNCRAIG</v>
          </cell>
          <cell r="H1963" t="str">
            <v>S0028355</v>
          </cell>
          <cell r="I1963" t="str">
            <v>DOVERIDGE DRIVE</v>
          </cell>
          <cell r="J1963" t="str">
            <v>DUNCRAIG WA 6023</v>
          </cell>
          <cell r="K1963" t="str">
            <v>0348000204</v>
          </cell>
        </row>
        <row r="1964">
          <cell r="G1964" t="str">
            <v>WWTP GORDON RD PARKLANDS MANDURAH</v>
          </cell>
          <cell r="H1964" t="str">
            <v>S091-001-004</v>
          </cell>
          <cell r="I1964" t="str">
            <v>L20 GORDON RD</v>
          </cell>
          <cell r="J1964" t="str">
            <v>GREENFIELDS WA 6210</v>
          </cell>
          <cell r="K1964" t="str">
            <v>0214002490</v>
          </cell>
        </row>
        <row r="1965">
          <cell r="G1965" t="str">
            <v>DPS KEANE ST CLOVERDALE</v>
          </cell>
          <cell r="H1965" t="str">
            <v>D0036412</v>
          </cell>
          <cell r="I1965" t="str">
            <v>U43 KEANE ST</v>
          </cell>
          <cell r="J1965" t="str">
            <v>CLOVERDALE WA 6105</v>
          </cell>
          <cell r="K1965" t="str">
            <v>410M145127</v>
          </cell>
        </row>
        <row r="1966">
          <cell r="G1966" t="str">
            <v>SPS COOLIBAH AVE DUDLEY PARK</v>
          </cell>
          <cell r="H1966" t="str">
            <v>S0044700</v>
          </cell>
          <cell r="I1966" t="str">
            <v>LOT 582 COOLIBAH AVE</v>
          </cell>
          <cell r="J1966" t="str">
            <v>DUDLEY PARK WA 6210</v>
          </cell>
          <cell r="K1966" t="str">
            <v>410L38870</v>
          </cell>
        </row>
        <row r="1967">
          <cell r="G1967" t="str">
            <v>SPS FARRINGTON RD NORTH LAKE</v>
          </cell>
          <cell r="H1967" t="str">
            <v>S0033683</v>
          </cell>
          <cell r="I1967" t="str">
            <v>LOT 72 FARRINGTON RD</v>
          </cell>
          <cell r="J1967" t="str">
            <v>NORTH LAKE WA 6163</v>
          </cell>
          <cell r="K1967" t="str">
            <v>0248002418</v>
          </cell>
        </row>
        <row r="1968">
          <cell r="G1968"/>
          <cell r="H1968" t="e">
            <v>#N/A</v>
          </cell>
          <cell r="I1968" t="str">
            <v>LOC 16293 GREAT EASTERN HWY</v>
          </cell>
          <cell r="J1968" t="str">
            <v>HINES HILL WA 6413</v>
          </cell>
          <cell r="K1968" t="str">
            <v>0200368946</v>
          </cell>
        </row>
        <row r="1969">
          <cell r="G1969" t="str">
            <v>SPS KAROONDA RD BRENTWOOD</v>
          </cell>
          <cell r="H1969" t="str">
            <v>S0033735</v>
          </cell>
          <cell r="I1969" t="str">
            <v>LOT 2380 KAROONDA AVE</v>
          </cell>
          <cell r="J1969" t="str">
            <v>BOORAGOON WA 6154</v>
          </cell>
          <cell r="K1969" t="str">
            <v>0148002894</v>
          </cell>
        </row>
        <row r="1970">
          <cell r="G1970" t="str">
            <v>BORE SITE J30</v>
          </cell>
          <cell r="H1970" t="str">
            <v>W1001438</v>
          </cell>
          <cell r="I1970" t="str">
            <v>LOT 30J WOLFE RD</v>
          </cell>
          <cell r="J1970" t="str">
            <v>BANJUP WA 6164</v>
          </cell>
          <cell r="K1970" t="str">
            <v>0148005564</v>
          </cell>
        </row>
        <row r="1971">
          <cell r="G1971" t="str">
            <v>SPS MERCHANT ST MARGARET RIVER</v>
          </cell>
          <cell r="H1971" t="str">
            <v>S8009323</v>
          </cell>
          <cell r="I1971" t="str">
            <v>LOT 206 MERCHANT ST</v>
          </cell>
          <cell r="J1971" t="str">
            <v>MARGARET RIVER WA 6285</v>
          </cell>
          <cell r="K1971" t="str">
            <v>0380015910</v>
          </cell>
        </row>
        <row r="1972">
          <cell r="G1972" t="str">
            <v>BORE 15-85 MT HILL ALLANOOKA</v>
          </cell>
          <cell r="H1972" t="str">
            <v>W0039241</v>
          </cell>
          <cell r="I1972" t="str">
            <v>U53A LOC 640 LOT 640 ALLANOOKA SPRINGS RD</v>
          </cell>
          <cell r="J1972" t="str">
            <v>ALLANOOKA WA 6525</v>
          </cell>
          <cell r="K1972" t="str">
            <v>002101583</v>
          </cell>
        </row>
        <row r="1973">
          <cell r="G1973" t="str">
            <v>SPS WARD ST MANJIMUP</v>
          </cell>
          <cell r="H1973" t="str">
            <v>S0044893</v>
          </cell>
          <cell r="I1973" t="str">
            <v>WARD ST</v>
          </cell>
          <cell r="J1973" t="str">
            <v>MANJIMUP WA 6258</v>
          </cell>
          <cell r="K1973" t="str">
            <v>410M140361</v>
          </cell>
        </row>
        <row r="1974">
          <cell r="G1974" t="str">
            <v>CP ZONE WESTFIELD RD 1W</v>
          </cell>
          <cell r="H1974" t="str">
            <v>W0013021</v>
          </cell>
          <cell r="I1974" t="str">
            <v>LOT 813 ALBANY HWY</v>
          </cell>
          <cell r="J1974" t="str">
            <v>KENWICK WA 6107</v>
          </cell>
          <cell r="K1974" t="str">
            <v>410M106177</v>
          </cell>
        </row>
        <row r="1975">
          <cell r="G1975" t="str">
            <v>SPS CHISHOLM CR KEWDALE</v>
          </cell>
          <cell r="H1975" t="str">
            <v>S0032964</v>
          </cell>
          <cell r="I1975" t="str">
            <v>U43 121 CHISHOLM CRES</v>
          </cell>
          <cell r="J1975" t="str">
            <v>KEWDALE WA 6105</v>
          </cell>
          <cell r="K1975" t="str">
            <v>0102000658</v>
          </cell>
        </row>
        <row r="1976">
          <cell r="G1976" t="str">
            <v>MAIN SPS LAKE RD SEVILLE GROVE</v>
          </cell>
          <cell r="H1976" t="str">
            <v>S0032766</v>
          </cell>
          <cell r="I1976" t="str">
            <v>LOT 81 BRIGADE RD</v>
          </cell>
          <cell r="J1976" t="str">
            <v>FORRESTDALE WA 6112</v>
          </cell>
          <cell r="K1976" t="str">
            <v>410M116072</v>
          </cell>
        </row>
        <row r="1977">
          <cell r="G1977" t="str">
            <v>WPS MARGARET RIVER PUMP BACK ROSA BROOK</v>
          </cell>
          <cell r="H1977" t="str">
            <v>W0046089</v>
          </cell>
          <cell r="I1977" t="str">
            <v>LOCN 2147 ROSA BROOK RD</v>
          </cell>
          <cell r="J1977" t="str">
            <v>MARGARET RIVER WA 6285</v>
          </cell>
          <cell r="K1977" t="str">
            <v>0211000494</v>
          </cell>
        </row>
        <row r="1978">
          <cell r="G1978" t="str">
            <v>CHL SYS MULLAN ST DUDININ</v>
          </cell>
          <cell r="H1978" t="str">
            <v>W7001656</v>
          </cell>
          <cell r="I1978" t="str">
            <v>LOT 29145 MULLAN ST</v>
          </cell>
          <cell r="J1978" t="str">
            <v>DUDININ WA 6363</v>
          </cell>
          <cell r="K1978" t="str">
            <v>15D059919</v>
          </cell>
        </row>
        <row r="1979">
          <cell r="G1979"/>
          <cell r="H1979" t="e">
            <v>#N/A</v>
          </cell>
          <cell r="I1979" t="str">
            <v>LOT 477 QUINLAN ST</v>
          </cell>
          <cell r="J1979" t="str">
            <v>WONGAN HILLS WA 6603</v>
          </cell>
          <cell r="K1979" t="str">
            <v>410M143026</v>
          </cell>
        </row>
        <row r="1980">
          <cell r="G1980" t="str">
            <v>WPS KALANNIE BOOSTER</v>
          </cell>
          <cell r="H1980" t="str">
            <v>W0019734</v>
          </cell>
          <cell r="I1980" t="str">
            <v>LOC 22936 LOT 161 HATHWAY DR</v>
          </cell>
          <cell r="J1980" t="str">
            <v>KALANNIE WA 6468</v>
          </cell>
          <cell r="K1980" t="str">
            <v>410M191607</v>
          </cell>
        </row>
        <row r="1981">
          <cell r="G1981" t="str">
            <v>TANK GL1 WSC BALANCE PORT KALBARRI</v>
          </cell>
          <cell r="H1981" t="str">
            <v>W4001037</v>
          </cell>
          <cell r="I1981" t="str">
            <v>BROWNE BVD</v>
          </cell>
          <cell r="J1981" t="str">
            <v>KALBARRI WA 6536</v>
          </cell>
          <cell r="K1981" t="str">
            <v>15D089892</v>
          </cell>
        </row>
        <row r="1982">
          <cell r="G1982" t="str">
            <v>BORE SITE J410</v>
          </cell>
          <cell r="H1982" t="str">
            <v>W1001485</v>
          </cell>
          <cell r="I1982" t="str">
            <v>LOT 410 DEAN RD</v>
          </cell>
          <cell r="J1982" t="str">
            <v>JANDAKOT WA 6164</v>
          </cell>
          <cell r="K1982" t="str">
            <v>001900215</v>
          </cell>
        </row>
        <row r="1983">
          <cell r="G1983" t="str">
            <v>SPS 4 ALFRED ST MERREDIN</v>
          </cell>
          <cell r="H1983" t="str">
            <v>S0016385</v>
          </cell>
          <cell r="I1983" t="str">
            <v>U54 10 ALFRED ST</v>
          </cell>
          <cell r="J1983" t="str">
            <v>MERREDIN WA 6415</v>
          </cell>
          <cell r="K1983" t="str">
            <v>0116000562</v>
          </cell>
        </row>
        <row r="1984">
          <cell r="G1984" t="str">
            <v>BORE SITE M540</v>
          </cell>
          <cell r="H1984" t="str">
            <v>W1006280</v>
          </cell>
          <cell r="I1984" t="str">
            <v>BALGA AVE</v>
          </cell>
          <cell r="J1984" t="str">
            <v>BALGA WA 6061</v>
          </cell>
          <cell r="K1984" t="str">
            <v>0148002519</v>
          </cell>
        </row>
        <row r="1985">
          <cell r="G1985" t="str">
            <v>SPS CRESSBROOK WY CARINE</v>
          </cell>
          <cell r="H1985" t="str">
            <v>S0028390</v>
          </cell>
          <cell r="I1985" t="str">
            <v>U42 CRESSBROOK WAY</v>
          </cell>
          <cell r="J1985" t="str">
            <v>CARINE WA 6020</v>
          </cell>
          <cell r="K1985" t="str">
            <v>0081000899</v>
          </cell>
        </row>
        <row r="1986">
          <cell r="G1986" t="str">
            <v>SPS BEDELIA WY HAMERSLEY</v>
          </cell>
          <cell r="H1986" t="str">
            <v>S0028274</v>
          </cell>
          <cell r="I1986" t="str">
            <v>55A BEDELIA WAY</v>
          </cell>
          <cell r="J1986" t="str">
            <v>HAMERSLEY WA 6022</v>
          </cell>
          <cell r="K1986" t="str">
            <v>0102000055</v>
          </cell>
        </row>
        <row r="1987">
          <cell r="G1987" t="str">
            <v>WPS CHRISTINA CR SHADFORTH</v>
          </cell>
          <cell r="H1987" t="str">
            <v>W7000611</v>
          </cell>
          <cell r="I1987" t="str">
            <v>LOT 948 CHRISTINA CRES</v>
          </cell>
          <cell r="J1987" t="str">
            <v>DENMARK WA 6333</v>
          </cell>
          <cell r="K1987" t="str">
            <v>410M200042</v>
          </cell>
        </row>
        <row r="1988">
          <cell r="G1988" t="str">
            <v>LEXIA BOREFIELD</v>
          </cell>
          <cell r="H1988" t="str">
            <v>W0009709</v>
          </cell>
          <cell r="I1988" t="str">
            <v>LOT 2828 GASKELL RD</v>
          </cell>
          <cell r="J1988" t="str">
            <v>ELLENBROOK WA 6069</v>
          </cell>
          <cell r="K1988" t="str">
            <v>410M193891</v>
          </cell>
        </row>
        <row r="1989">
          <cell r="G1989" t="str">
            <v>SPS HERMITAGE DR THE VINES</v>
          </cell>
          <cell r="H1989" t="str">
            <v>S2001427</v>
          </cell>
          <cell r="I1989" t="str">
            <v>LOT 397 HERMITAGE DR</v>
          </cell>
          <cell r="J1989" t="str">
            <v>THE VINES WA 6069</v>
          </cell>
          <cell r="K1989" t="str">
            <v>0148003650</v>
          </cell>
        </row>
        <row r="1990">
          <cell r="G1990" t="str">
            <v>SP BORE 15-69 SANDPATCH</v>
          </cell>
          <cell r="H1990" t="str">
            <v>W7000268</v>
          </cell>
          <cell r="I1990" t="str">
            <v>U56 FRENCHMAN BAY RD</v>
          </cell>
          <cell r="J1990" t="str">
            <v>LITTLE GROVE  WA  6330</v>
          </cell>
          <cell r="K1990" t="str">
            <v>002101636</v>
          </cell>
        </row>
        <row r="1991">
          <cell r="G1991" t="str">
            <v>WTP DUMPLING GULLY DAM</v>
          </cell>
          <cell r="H1991" t="str">
            <v>W8005089</v>
          </cell>
          <cell r="I1991" t="str">
            <v>LOT 20 CHARNLEY RD</v>
          </cell>
          <cell r="J1991" t="str">
            <v>GREENBUSHES WA 6254</v>
          </cell>
          <cell r="K1991" t="str">
            <v>0213000482</v>
          </cell>
        </row>
        <row r="1992">
          <cell r="G1992" t="str">
            <v>BORE SITES Q110/Q120/Q130</v>
          </cell>
          <cell r="H1992" t="str">
            <v>W0009452</v>
          </cell>
          <cell r="I1992" t="str">
            <v>SANDOW GRN</v>
          </cell>
          <cell r="J1992" t="str">
            <v>CLARKSON WA 6030</v>
          </cell>
          <cell r="K1992" t="str">
            <v>0211001154</v>
          </cell>
        </row>
        <row r="1993">
          <cell r="G1993" t="str">
            <v>ELECT INSTALL WSC WILLANUP RISE DUNSBORO</v>
          </cell>
          <cell r="H1993" t="str">
            <v>W8000896</v>
          </cell>
          <cell r="I1993" t="str">
            <v>27 WILLANUP RISE</v>
          </cell>
          <cell r="J1993" t="str">
            <v>DUNSBOROUGH WA 6281</v>
          </cell>
          <cell r="K1993" t="str">
            <v>15M276812</v>
          </cell>
        </row>
        <row r="1994">
          <cell r="G1994"/>
          <cell r="H1994" t="e">
            <v>#N/A</v>
          </cell>
          <cell r="I1994" t="str">
            <v>61 BURGOYNE ST</v>
          </cell>
          <cell r="J1994" t="str">
            <v>NORTHAM WA 6401</v>
          </cell>
          <cell r="K1994" t="str">
            <v>15PM1391</v>
          </cell>
        </row>
        <row r="1995">
          <cell r="G1995" t="str">
            <v>BORE 04-98 RACECOURSE</v>
          </cell>
          <cell r="H1995" t="str">
            <v>W7000447</v>
          </cell>
          <cell r="I1995" t="str">
            <v>U56 LOT 63R ROWNEY RD</v>
          </cell>
          <cell r="J1995" t="str">
            <v>ROBINSON WA 6330</v>
          </cell>
          <cell r="K1995" t="str">
            <v>000000000148006247</v>
          </cell>
        </row>
        <row r="1996">
          <cell r="G1996" t="str">
            <v>WPS NANARUP RD LOWER KING</v>
          </cell>
          <cell r="H1996" t="str">
            <v>W0023118</v>
          </cell>
          <cell r="I1996" t="str">
            <v>370 LOWER KING RD</v>
          </cell>
          <cell r="J1996" t="str">
            <v>BAYONET HEAD  WA  6330</v>
          </cell>
          <cell r="K1996" t="str">
            <v>001401531</v>
          </cell>
        </row>
        <row r="1997">
          <cell r="G1997" t="str">
            <v>SPS MARMION ST WEST MYAREE</v>
          </cell>
          <cell r="H1997" t="str">
            <v>S0033775</v>
          </cell>
          <cell r="I1997" t="str">
            <v>LOT 2530 MARMION ST</v>
          </cell>
          <cell r="J1997" t="str">
            <v>MYAREE WA 6154</v>
          </cell>
          <cell r="K1997" t="str">
            <v>0148001819</v>
          </cell>
        </row>
        <row r="1998">
          <cell r="G1998" t="str">
            <v>SPS CANDELLA SQ STIRLING</v>
          </cell>
          <cell r="H1998" t="str">
            <v>S2003451</v>
          </cell>
          <cell r="I1998" t="str">
            <v>LOT 861 CANDELLA SQ</v>
          </cell>
          <cell r="J1998" t="str">
            <v>STIRLING WA 6021</v>
          </cell>
          <cell r="K1998" t="str">
            <v>0136001614</v>
          </cell>
        </row>
        <row r="1999">
          <cell r="G1999" t="str">
            <v>BORE SITE L410</v>
          </cell>
          <cell r="H1999" t="str">
            <v>W1001390</v>
          </cell>
          <cell r="I1999" t="str">
            <v>LOT 401 TRAINOR RD</v>
          </cell>
          <cell r="J1999" t="str">
            <v>LEXIA WA 6065</v>
          </cell>
          <cell r="K1999" t="str">
            <v>0148001536</v>
          </cell>
        </row>
        <row r="2000">
          <cell r="G2000" t="str">
            <v>SPS ABROLHOS QYS WANNANUP</v>
          </cell>
          <cell r="H2000" t="str">
            <v>S8000274</v>
          </cell>
          <cell r="I2000" t="str">
            <v>23 ABROLHOS QYS</v>
          </cell>
          <cell r="J2000" t="str">
            <v>WANNANUP WA 6210</v>
          </cell>
          <cell r="K2000" t="str">
            <v>410M196256</v>
          </cell>
        </row>
        <row r="2001">
          <cell r="G2001" t="str">
            <v>BORE SITE P105</v>
          </cell>
          <cell r="H2001" t="str">
            <v>W1001524</v>
          </cell>
          <cell r="I2001" t="str">
            <v>LOT 105P PERRY RD</v>
          </cell>
          <cell r="J2001" t="str">
            <v>PINJAR WA 6065</v>
          </cell>
          <cell r="K2001" t="str">
            <v xml:space="preserve">0136000379     </v>
          </cell>
        </row>
        <row r="2002">
          <cell r="G2002" t="str">
            <v>SPS BALTIMORE PDE MERRIWA</v>
          </cell>
          <cell r="H2002" t="str">
            <v>S0029100</v>
          </cell>
          <cell r="I2002" t="str">
            <v>LOT 1384 / 44 BALTIMORE PDE</v>
          </cell>
          <cell r="J2002" t="str">
            <v>MERRIWA WA 6030</v>
          </cell>
          <cell r="K2002" t="str">
            <v>0148002904</v>
          </cell>
        </row>
        <row r="2003">
          <cell r="G2003" t="str">
            <v>SPS HOWE CT WALPOLE</v>
          </cell>
          <cell r="H2003" t="str">
            <v>S8000593</v>
          </cell>
          <cell r="I2003" t="str">
            <v>LOT 629 SHEOAK ST</v>
          </cell>
          <cell r="J2003" t="str">
            <v>WALPOLE WA 6398</v>
          </cell>
          <cell r="K2003" t="str">
            <v>410M200190</v>
          </cell>
        </row>
        <row r="2004">
          <cell r="G2004" t="str">
            <v>BORE SITE W20</v>
          </cell>
          <cell r="H2004" t="str">
            <v>W1001547</v>
          </cell>
          <cell r="I2004" t="str">
            <v>LOT 25W SILVER RD</v>
          </cell>
          <cell r="J2004" t="str">
            <v>JANDABUP WA 6065</v>
          </cell>
          <cell r="K2004" t="str">
            <v>0136006223</v>
          </cell>
        </row>
        <row r="2005">
          <cell r="G2005" t="str">
            <v>SPS COTTONWOOD DR BALDIVIS</v>
          </cell>
          <cell r="H2005" t="str">
            <v>S2018324</v>
          </cell>
          <cell r="I2005" t="str">
            <v>25 COTTONWOOD DR</v>
          </cell>
          <cell r="J2005" t="str">
            <v>BALDIVIS WA 6171</v>
          </cell>
          <cell r="K2005" t="str">
            <v>0380008948</v>
          </cell>
        </row>
        <row r="2006">
          <cell r="G2006" t="str">
            <v>SPS OAKLEIGH DR ERSKINE</v>
          </cell>
          <cell r="H2006" t="str">
            <v>S8007097</v>
          </cell>
          <cell r="I2006" t="str">
            <v>LOT 2103 OAKLEIGH DR</v>
          </cell>
          <cell r="J2006" t="str">
            <v>ERSKINE WA 6210</v>
          </cell>
          <cell r="K2006" t="str">
            <v>0148003508</v>
          </cell>
        </row>
        <row r="2007">
          <cell r="G2007" t="str">
            <v>WTP GARVEY RD DARDANUP WEST</v>
          </cell>
          <cell r="H2007" t="str">
            <v>W0045574</v>
          </cell>
          <cell r="I2007" t="str">
            <v>LOT 32247 SOUTH WEST HWY</v>
          </cell>
          <cell r="J2007" t="str">
            <v>DARDANUP  WA 6236</v>
          </cell>
          <cell r="K2007" t="str">
            <v>0248002214</v>
          </cell>
        </row>
        <row r="2008">
          <cell r="G2008" t="str">
            <v>BORE SITE M282</v>
          </cell>
          <cell r="H2008" t="str">
            <v>W1001305</v>
          </cell>
          <cell r="I2008" t="str">
            <v>LOT 285M PARK ST</v>
          </cell>
          <cell r="J2008" t="str">
            <v>HENLEY BROOK WA 6055</v>
          </cell>
          <cell r="K2008" t="str">
            <v>0211000942</v>
          </cell>
        </row>
        <row r="2009">
          <cell r="G2009" t="str">
            <v>SPS GEORGE ST QUEENS PARK</v>
          </cell>
          <cell r="H2009" t="str">
            <v>S0032992</v>
          </cell>
          <cell r="I2009" t="str">
            <v>LOT 213 GEORGE ST</v>
          </cell>
          <cell r="J2009" t="str">
            <v>QUEENS PARK WA 6107</v>
          </cell>
          <cell r="K2009" t="str">
            <v>450M20870</v>
          </cell>
        </row>
        <row r="2010">
          <cell r="G2010" t="str">
            <v>VPS STONE ST BAYSWATER</v>
          </cell>
          <cell r="H2010" t="str">
            <v>S2000317</v>
          </cell>
          <cell r="I2010" t="str">
            <v>LOT 13 85 STONE ST</v>
          </cell>
          <cell r="J2010" t="str">
            <v>BAYSWATER WA 6053</v>
          </cell>
          <cell r="K2010" t="str">
            <v>0148006346</v>
          </cell>
        </row>
        <row r="2011">
          <cell r="G2011" t="str">
            <v>TANK WSC MULGA DR PARKLANDS</v>
          </cell>
          <cell r="H2011" t="str">
            <v>W0045968</v>
          </cell>
          <cell r="I2011" t="str">
            <v>702 MULGA DR</v>
          </cell>
          <cell r="J2011" t="str">
            <v>MANDURAH WA 6210</v>
          </cell>
          <cell r="K2011" t="str">
            <v>0350300876</v>
          </cell>
        </row>
        <row r="2012">
          <cell r="G2012" t="str">
            <v>SOLDIERS ROAD CVS</v>
          </cell>
          <cell r="H2012" t="str">
            <v>W0011918</v>
          </cell>
          <cell r="I2012" t="str">
            <v>96 SOLDIERS RD</v>
          </cell>
          <cell r="J2012" t="str">
            <v>ROLEYSTONE WA 6111</v>
          </cell>
          <cell r="K2012" t="str">
            <v>0530123363</v>
          </cell>
        </row>
        <row r="2013">
          <cell r="G2013" t="str">
            <v>CDP QUINDANNING RD DARKAN</v>
          </cell>
          <cell r="H2013" t="str">
            <v>W8004212</v>
          </cell>
          <cell r="I2013" t="str">
            <v>LOT 5227 DARKAN RD</v>
          </cell>
          <cell r="J2013" t="str">
            <v>DARKAN</v>
          </cell>
          <cell r="K2013" t="str">
            <v>15M303757</v>
          </cell>
        </row>
        <row r="2014">
          <cell r="G2014" t="str">
            <v>SPS FOXTON BVD HIGH WYCOMBE</v>
          </cell>
          <cell r="H2014" t="str">
            <v>S2004868</v>
          </cell>
          <cell r="I2014" t="str">
            <v>LOT 1001 FOXTON BVD</v>
          </cell>
          <cell r="J2014" t="str">
            <v>HIGH WYCOMBE WA 6057</v>
          </cell>
          <cell r="K2014" t="str">
            <v>0380007988</v>
          </cell>
        </row>
        <row r="2015">
          <cell r="G2015" t="str">
            <v>SPS WILFRED RD THORNLIE</v>
          </cell>
          <cell r="H2015" t="str">
            <v>S0034459</v>
          </cell>
          <cell r="I2015" t="str">
            <v>108 WILFRED RD</v>
          </cell>
          <cell r="J2015" t="str">
            <v>THORNLIE WA 6108</v>
          </cell>
          <cell r="K2015" t="str">
            <v>410M90387</v>
          </cell>
        </row>
        <row r="2016">
          <cell r="G2016" t="str">
            <v>SPS SILVERTON CRES ERSKINE</v>
          </cell>
          <cell r="H2016" t="str">
            <v>S0044598</v>
          </cell>
          <cell r="I2016" t="str">
            <v>62F SILVERTON CRES</v>
          </cell>
          <cell r="J2016" t="str">
            <v>ERSKINE WA 6210</v>
          </cell>
          <cell r="K2016" t="str">
            <v>410M150415</v>
          </cell>
        </row>
        <row r="2017">
          <cell r="G2017" t="str">
            <v>WPS EASTERN RD GERALDTON</v>
          </cell>
          <cell r="H2017" t="str">
            <v>W0039795</v>
          </cell>
          <cell r="I2017" t="str">
            <v>U53 LOT 102 EASTERN RD</v>
          </cell>
          <cell r="J2017" t="str">
            <v>GERALDTON WA 6530</v>
          </cell>
          <cell r="K2017" t="str">
            <v>0248000405</v>
          </cell>
        </row>
        <row r="2018">
          <cell r="G2018" t="str">
            <v>WTP PUMP HILL RD PEMBERTON</v>
          </cell>
          <cell r="H2018" t="str">
            <v>W0046235</v>
          </cell>
          <cell r="I2018" t="str">
            <v>LOT 3 PUMP HILL RD</v>
          </cell>
          <cell r="J2018" t="str">
            <v>PEMBERTON WA 6260</v>
          </cell>
          <cell r="K2018" t="str">
            <v>0211001323</v>
          </cell>
        </row>
        <row r="2019">
          <cell r="G2019" t="str">
            <v>SPS BARCELONA DR CERVANTES</v>
          </cell>
          <cell r="H2019" t="str">
            <v>S0037366</v>
          </cell>
          <cell r="I2019" t="str">
            <v>89 SEVILLE ST</v>
          </cell>
          <cell r="J2019" t="str">
            <v>CERVANTES WA 6511</v>
          </cell>
          <cell r="K2019" t="str">
            <v>410M160176</v>
          </cell>
        </row>
        <row r="2020">
          <cell r="G2020" t="str">
            <v>WPS SOUTHERN CROSS</v>
          </cell>
          <cell r="H2020" t="str">
            <v>W5018550</v>
          </cell>
          <cell r="I2020" t="str">
            <v>LOT 500 GREAT EASTERN HWY</v>
          </cell>
          <cell r="J2020" t="str">
            <v>SOUTHERN CROSS WA 6426</v>
          </cell>
          <cell r="K2020" t="str">
            <v>0214000069</v>
          </cell>
        </row>
        <row r="2021">
          <cell r="G2021" t="str">
            <v>SPS VITTORIA RD GLEN IRIS</v>
          </cell>
          <cell r="H2021" t="str">
            <v>S0044154</v>
          </cell>
          <cell r="I2021" t="str">
            <v>LOT 1 VITTORIA RD</v>
          </cell>
          <cell r="J2021" t="str">
            <v>GLEN IRIS WA 6230</v>
          </cell>
          <cell r="K2021" t="str">
            <v>410M172501</v>
          </cell>
        </row>
        <row r="2022">
          <cell r="G2022" t="str">
            <v>SPS BRENCHLEY DR ATWELL</v>
          </cell>
          <cell r="H2022" t="str">
            <v>S0032836</v>
          </cell>
          <cell r="I2022" t="str">
            <v>LOT 432 BRENCHLEY DR</v>
          </cell>
          <cell r="J2022" t="str">
            <v>ATWELL WA 6164</v>
          </cell>
          <cell r="K2022" t="str">
            <v>0148006113</v>
          </cell>
        </row>
        <row r="2023">
          <cell r="G2023" t="str">
            <v>FORREST ROAD VALVE SITE</v>
          </cell>
          <cell r="H2023" t="str">
            <v>W0012534</v>
          </cell>
          <cell r="I2023" t="str">
            <v>NICHOLSON RD</v>
          </cell>
          <cell r="J2023" t="str">
            <v>FORRESTDALE WA 6112</v>
          </cell>
          <cell r="K2023" t="str">
            <v>0380009767</v>
          </cell>
        </row>
        <row r="2024">
          <cell r="G2024" t="str">
            <v>WSC DURLACHER STREET MT TARCOOLA</v>
          </cell>
          <cell r="H2024" t="str">
            <v>W0039755</v>
          </cell>
          <cell r="I2024" t="str">
            <v>LOT 2194 GENISTA ST</v>
          </cell>
          <cell r="J2024" t="str">
            <v>RANGEWAY WA 6530</v>
          </cell>
          <cell r="K2024" t="str">
            <v>0530114700</v>
          </cell>
        </row>
        <row r="2025">
          <cell r="G2025" t="str">
            <v>SPS HULL ST CAPE BURNEY</v>
          </cell>
          <cell r="H2025" t="str">
            <v>S0037702</v>
          </cell>
          <cell r="I2025" t="str">
            <v>LOC 708 HULL ST</v>
          </cell>
          <cell r="J2025" t="str">
            <v>GREENOUGH WA 6532</v>
          </cell>
          <cell r="K2025" t="str">
            <v>410M118964</v>
          </cell>
        </row>
        <row r="2026">
          <cell r="G2026" t="str">
            <v>TANK GL 4500M3 WSC LYONS RD WAROONA</v>
          </cell>
          <cell r="H2026" t="str">
            <v>W0046369</v>
          </cell>
          <cell r="I2026" t="str">
            <v>LOC 239 LYONS RD</v>
          </cell>
          <cell r="J2026" t="str">
            <v>WAROONA</v>
          </cell>
          <cell r="K2026" t="str">
            <v>15D066527</v>
          </cell>
        </row>
        <row r="2027">
          <cell r="G2027" t="str">
            <v>SPS ALAN ST BROADWATER</v>
          </cell>
          <cell r="H2027" t="str">
            <v>S0044264</v>
          </cell>
          <cell r="I2027" t="str">
            <v>LOC 123 ALAN ST</v>
          </cell>
          <cell r="J2027" t="str">
            <v>BROADWATER WA 6280</v>
          </cell>
          <cell r="K2027" t="str">
            <v>0148002012</v>
          </cell>
        </row>
        <row r="2028">
          <cell r="G2028" t="str">
            <v>DPS MCGILVRAY AVE MORLEY</v>
          </cell>
          <cell r="H2028" t="str">
            <v>D0036100</v>
          </cell>
          <cell r="I2028" t="str">
            <v>U42 LOT 28181 MCGILVRAY AVE</v>
          </cell>
          <cell r="J2028" t="str">
            <v>MORLEY WA 6062</v>
          </cell>
          <cell r="K2028" t="str">
            <v>0102000568</v>
          </cell>
        </row>
        <row r="2029">
          <cell r="G2029" t="str">
            <v>DEPOT THREE SPRINGS</v>
          </cell>
          <cell r="H2029" t="str">
            <v>C0036998</v>
          </cell>
          <cell r="I2029" t="str">
            <v>U53 LOT 10693 SLAUGHTER ST</v>
          </cell>
          <cell r="J2029" t="str">
            <v>THREE SPRINGS WA 6519</v>
          </cell>
          <cell r="K2029" t="str">
            <v>0148006427</v>
          </cell>
        </row>
        <row r="2030">
          <cell r="G2030" t="str">
            <v>SPS TAITTINGER GR THE VINES</v>
          </cell>
          <cell r="H2030" t="str">
            <v>S2001429</v>
          </cell>
          <cell r="I2030" t="str">
            <v>TAITTINGER GR</v>
          </cell>
          <cell r="J2030" t="str">
            <v>THE VINES WA 6069</v>
          </cell>
          <cell r="K2030" t="str">
            <v>410M177137</v>
          </cell>
        </row>
        <row r="2031">
          <cell r="G2031" t="str">
            <v>WPS JEANES RD KARRINYUP</v>
          </cell>
          <cell r="H2031" t="str">
            <v>W0034761</v>
          </cell>
          <cell r="I2031" t="str">
            <v>KARRINYUP RD</v>
          </cell>
          <cell r="J2031" t="str">
            <v>KARRINYUP WA 6018</v>
          </cell>
          <cell r="K2031" t="str">
            <v>0136004392</v>
          </cell>
        </row>
        <row r="2032">
          <cell r="G2032" t="str">
            <v>HAWTIN RD WATER PUMP STATION</v>
          </cell>
          <cell r="H2032" t="str">
            <v>W1006111</v>
          </cell>
          <cell r="I2032" t="str">
            <v>HAWTIN RD</v>
          </cell>
          <cell r="J2032" t="str">
            <v>FORRESTFIELD WA 6058</v>
          </cell>
          <cell r="K2032" t="str">
            <v>0121000126</v>
          </cell>
        </row>
        <row r="2033">
          <cell r="G2033" t="str">
            <v>SPS BALFOUR ST SOUTHERN RIVER</v>
          </cell>
          <cell r="H2033" t="str">
            <v>S2023151</v>
          </cell>
          <cell r="I2033" t="str">
            <v>LOT 9022 CASTLEWOOD PARKWAY</v>
          </cell>
          <cell r="J2033" t="str">
            <v>SOUTHERN RVER WA 6110</v>
          </cell>
          <cell r="K2033" t="str">
            <v>0350034476</v>
          </cell>
        </row>
        <row r="2034">
          <cell r="G2034" t="str">
            <v>VALVE SITE MUNDIJONG RD MUNDIJONG</v>
          </cell>
          <cell r="H2034" t="str">
            <v>W0035955</v>
          </cell>
          <cell r="I2034" t="str">
            <v>PATERSON ST</v>
          </cell>
          <cell r="J2034" t="str">
            <v>MUNDIJONG WA 6123</v>
          </cell>
          <cell r="K2034" t="str">
            <v>410M168885</v>
          </cell>
        </row>
        <row r="2035">
          <cell r="G2035" t="str">
            <v>WPS MECKERING</v>
          </cell>
          <cell r="H2035" t="str">
            <v>W0021135</v>
          </cell>
          <cell r="I2035" t="str">
            <v>LOCN 1 LOTON ST</v>
          </cell>
          <cell r="J2035" t="str">
            <v>MECKERING WA 6405</v>
          </cell>
          <cell r="K2035" t="str">
            <v>0211000814</v>
          </cell>
        </row>
        <row r="2036">
          <cell r="G2036" t="str">
            <v>BORE 75-77 RACECOURSE</v>
          </cell>
          <cell r="H2036" t="str">
            <v>W0023521</v>
          </cell>
          <cell r="I2036" t="str">
            <v>LOT 311 ROBERTS RD</v>
          </cell>
          <cell r="J2036" t="str">
            <v>ROBINSON  WA  6330</v>
          </cell>
          <cell r="K2036" t="str">
            <v>002101650</v>
          </cell>
        </row>
        <row r="2037">
          <cell r="G2037" t="str">
            <v>#TELFORD CR STH TEMP SPS MH R9173 900-04</v>
          </cell>
          <cell r="H2037" t="str">
            <v>S0028668</v>
          </cell>
          <cell r="I2037" t="str">
            <v>TELFORD CRES</v>
          </cell>
          <cell r="J2037" t="str">
            <v>STIRLING WA 6021</v>
          </cell>
          <cell r="K2037" t="str">
            <v>0410M132013</v>
          </cell>
        </row>
        <row r="2038">
          <cell r="G2038" t="str">
            <v>SPS 2 GREY ST RIVER KALBARRI</v>
          </cell>
          <cell r="H2038" t="str">
            <v>S0037939</v>
          </cell>
          <cell r="I2038" t="str">
            <v>LOC 10688 GREY ST</v>
          </cell>
          <cell r="J2038" t="str">
            <v>KALBARRI WA 6536</v>
          </cell>
          <cell r="K2038" t="str">
            <v>410M112201</v>
          </cell>
        </row>
        <row r="2039">
          <cell r="G2039" t="str">
            <v>SPS CAMSELL WY FERNDALE</v>
          </cell>
          <cell r="H2039" t="str">
            <v>S0034242</v>
          </cell>
          <cell r="I2039" t="str">
            <v>25 CAMSELL WAY</v>
          </cell>
          <cell r="J2039" t="str">
            <v>FERNDALE WA 6148</v>
          </cell>
          <cell r="K2039" t="str">
            <v>0148001122</v>
          </cell>
        </row>
        <row r="2040">
          <cell r="G2040" t="str">
            <v>SPS HOMER ST INGLEWOOD</v>
          </cell>
          <cell r="H2040" t="str">
            <v>S2003419</v>
          </cell>
          <cell r="I2040" t="str">
            <v>HOMER ST</v>
          </cell>
          <cell r="J2040" t="str">
            <v>DIANELLA WA 6059</v>
          </cell>
          <cell r="K2040" t="str">
            <v>410M206571</v>
          </cell>
        </row>
        <row r="2041">
          <cell r="G2041" t="str">
            <v>WPS FRANKLAND</v>
          </cell>
          <cell r="H2041" t="str">
            <v>W0022778</v>
          </cell>
          <cell r="I2041" t="str">
            <v>UNIT 56 LOC 25142 ROCKY GULLY RD</v>
          </cell>
          <cell r="J2041" t="str">
            <v>FRANKLAND RIVER WA 6396</v>
          </cell>
          <cell r="K2041" t="str">
            <v>410M199792</v>
          </cell>
        </row>
        <row r="2042">
          <cell r="G2042" t="str">
            <v>SPS PHOENIX RD BIBRA LAKE</v>
          </cell>
          <cell r="H2042" t="str">
            <v>S0032868</v>
          </cell>
          <cell r="I2042" t="str">
            <v>LOT 461 PHOENIX RD</v>
          </cell>
          <cell r="J2042" t="str">
            <v>BIBRA LAKE WA 6163</v>
          </cell>
          <cell r="K2042" t="str">
            <v>0148002468</v>
          </cell>
        </row>
        <row r="2043">
          <cell r="G2043" t="str">
            <v>SPS LEMONGRASS TCE BALLAJURA</v>
          </cell>
          <cell r="H2043" t="str">
            <v>S0028533</v>
          </cell>
          <cell r="I2043" t="str">
            <v>8 LEMONGRASS TCE</v>
          </cell>
          <cell r="J2043" t="str">
            <v>BALLAJURA WA 6066</v>
          </cell>
          <cell r="K2043" t="str">
            <v>410M206162</v>
          </cell>
        </row>
        <row r="2044">
          <cell r="G2044" t="str">
            <v>SPS YORK ST ALBANY</v>
          </cell>
          <cell r="H2044" t="str">
            <v>S0022266</v>
          </cell>
          <cell r="I2044" t="str">
            <v>1 YORK ST</v>
          </cell>
          <cell r="J2044" t="str">
            <v>ALBANY WA 6330</v>
          </cell>
          <cell r="K2044" t="str">
            <v>0116000783</v>
          </cell>
        </row>
        <row r="2045">
          <cell r="G2045" t="str">
            <v>SPS KINGSTON ST NEDLANDS</v>
          </cell>
          <cell r="H2045" t="str">
            <v>S0032277</v>
          </cell>
          <cell r="I2045" t="str">
            <v>KINGSTON ST</v>
          </cell>
          <cell r="J2045" t="str">
            <v>NEDLANDS WA 6009</v>
          </cell>
          <cell r="K2045" t="str">
            <v>0148002889</v>
          </cell>
        </row>
        <row r="2046">
          <cell r="G2046" t="str">
            <v>SPS BOHEMIA PL NORANDA</v>
          </cell>
          <cell r="H2046" t="str">
            <v>S0030059</v>
          </cell>
          <cell r="I2046" t="str">
            <v>2 BOHEMIA PL</v>
          </cell>
          <cell r="J2046" t="str">
            <v>NORANDA WA 6062</v>
          </cell>
          <cell r="K2046" t="str">
            <v>410L38862</v>
          </cell>
        </row>
        <row r="2047">
          <cell r="G2047" t="str">
            <v>SPS RINALDI CR KARRINYUP</v>
          </cell>
          <cell r="H2047" t="str">
            <v>S2007296</v>
          </cell>
          <cell r="I2047" t="str">
            <v>20 RINALDI CRES</v>
          </cell>
          <cell r="J2047" t="str">
            <v>KARRINYUP WA 6018</v>
          </cell>
          <cell r="K2047" t="str">
            <v>0180007949</v>
          </cell>
        </row>
        <row r="2048">
          <cell r="G2048" t="str">
            <v>WPS NK GREENHILLS</v>
          </cell>
          <cell r="H2048" t="str">
            <v>W0022943</v>
          </cell>
          <cell r="I2048" t="str">
            <v>LOCN 256</v>
          </cell>
          <cell r="J2048" t="str">
            <v>BROOMEHILL WA 6318</v>
          </cell>
          <cell r="K2048" t="str">
            <v>0148005772</v>
          </cell>
        </row>
        <row r="2049">
          <cell r="G2049" t="str">
            <v>SITE SCADA ALDER CT REPEATER</v>
          </cell>
          <cell r="H2049" t="str">
            <v>W0045991</v>
          </cell>
          <cell r="I2049" t="str">
            <v>6 ALDER CT</v>
          </cell>
          <cell r="J2049" t="str">
            <v>HALLS HEAD WA 6210</v>
          </cell>
          <cell r="K2049" t="str">
            <v>15M255587</v>
          </cell>
        </row>
        <row r="2050">
          <cell r="G2050" t="str">
            <v>BORE 01-81 WYE FARM</v>
          </cell>
          <cell r="H2050" t="str">
            <v>W0039642</v>
          </cell>
          <cell r="I2050" t="str">
            <v>LOCN 1887 WYE FARM RD</v>
          </cell>
          <cell r="J2050" t="str">
            <v>IRWIN WA 6525</v>
          </cell>
          <cell r="K2050" t="str">
            <v>0248001375</v>
          </cell>
        </row>
        <row r="2051">
          <cell r="G2051" t="str">
            <v>VALVE SITE PINJARRA RD GREENFIELDS</v>
          </cell>
          <cell r="H2051" t="str">
            <v>W8002387</v>
          </cell>
          <cell r="I2051" t="str">
            <v>AMAZON DR</v>
          </cell>
          <cell r="J2051" t="str">
            <v>GREENFIELDS WA 6210</v>
          </cell>
          <cell r="K2051" t="str">
            <v>15M283849</v>
          </cell>
        </row>
        <row r="2052">
          <cell r="G2052" t="str">
            <v>SPS ELSTEAD WY MORLEY</v>
          </cell>
          <cell r="H2052" t="str">
            <v>S2000029</v>
          </cell>
          <cell r="I2052" t="str">
            <v>LOT 2 ELSTEAD WAY</v>
          </cell>
          <cell r="J2052" t="str">
            <v>MORLEY WA 6062</v>
          </cell>
          <cell r="K2052" t="str">
            <v>0148002960</v>
          </cell>
        </row>
        <row r="2053">
          <cell r="G2053" t="str">
            <v>SPS FORESHORE VSTA YANCHEP</v>
          </cell>
          <cell r="H2053" t="str">
            <v>S0030323</v>
          </cell>
          <cell r="I2053" t="str">
            <v>47 FORESHORE VSTA</v>
          </cell>
          <cell r="J2053" t="str">
            <v>YANCHEP WA 6035</v>
          </cell>
          <cell r="K2053" t="str">
            <v>0148003660</v>
          </cell>
        </row>
        <row r="2054">
          <cell r="G2054" t="str">
            <v>BORE SITE WT50</v>
          </cell>
          <cell r="H2054" t="str">
            <v>W1001246</v>
          </cell>
          <cell r="I2054" t="str">
            <v>OCEAN REEF RD</v>
          </cell>
          <cell r="J2054" t="str">
            <v>HEATHRIDGE WA 6027</v>
          </cell>
          <cell r="K2054" t="str">
            <v xml:space="preserve">0136005953     </v>
          </cell>
        </row>
        <row r="2055">
          <cell r="G2055" t="str">
            <v>WPS GEORGE ST GREENBUSHES</v>
          </cell>
          <cell r="H2055" t="str">
            <v>W0045785</v>
          </cell>
          <cell r="I2055" t="str">
            <v>GEORGE ST</v>
          </cell>
          <cell r="J2055" t="str">
            <v>GREENBUSHES WA 6254</v>
          </cell>
          <cell r="K2055" t="str">
            <v>410M77244</v>
          </cell>
        </row>
        <row r="2056">
          <cell r="G2056" t="str">
            <v>WPS THE HUMPS HYDEN</v>
          </cell>
          <cell r="H2056" t="str">
            <v>W0023038</v>
          </cell>
          <cell r="I2056" t="str">
            <v>LOC 4672 LOVERING RD</v>
          </cell>
          <cell r="J2056" t="str">
            <v>HYDEN WA 6359</v>
          </cell>
          <cell r="K2056" t="str">
            <v>15M155720</v>
          </cell>
        </row>
        <row r="2057">
          <cell r="G2057" t="str">
            <v>PUMPING SYS IRRIG TREE FARM 1</v>
          </cell>
          <cell r="H2057" t="str">
            <v>S0022429</v>
          </cell>
          <cell r="I2057" t="str">
            <v>LOCN 749 GUNN RD</v>
          </cell>
          <cell r="J2057" t="str">
            <v>ALBANY WA 6330</v>
          </cell>
          <cell r="K2057" t="str">
            <v>0211001421</v>
          </cell>
        </row>
        <row r="2058">
          <cell r="G2058" t="str">
            <v>SPS DUFFIELD AV BEACONSFIELD</v>
          </cell>
          <cell r="H2058" t="str">
            <v>S2003409</v>
          </cell>
          <cell r="I2058" t="str">
            <v>38 DUFFIELD AVE</v>
          </cell>
          <cell r="J2058" t="str">
            <v>BEACONSFIELD WA 6162</v>
          </cell>
          <cell r="K2058" t="str">
            <v>410M204879</v>
          </cell>
        </row>
        <row r="2059">
          <cell r="G2059" t="str">
            <v>BORE SITE P30</v>
          </cell>
          <cell r="H2059" t="str">
            <v>W1001496</v>
          </cell>
          <cell r="I2059" t="str">
            <v>LOT 30P PERRY RD</v>
          </cell>
          <cell r="J2059" t="str">
            <v>PINJAR WA 6065</v>
          </cell>
          <cell r="K2059" t="str">
            <v>0148003616</v>
          </cell>
        </row>
        <row r="2060">
          <cell r="G2060" t="str">
            <v>WPS OLD COAST RD PARK RIDGE BOOSTER</v>
          </cell>
          <cell r="H2060" t="str">
            <v>W8001096</v>
          </cell>
          <cell r="I2060" t="str">
            <v>OLD COAST RD</v>
          </cell>
          <cell r="J2060" t="str">
            <v>DAWESVILLE 6210</v>
          </cell>
          <cell r="K2060" t="str">
            <v>0348000157</v>
          </cell>
        </row>
        <row r="2061">
          <cell r="G2061" t="str">
            <v>BORE SITE W280</v>
          </cell>
          <cell r="H2061" t="str">
            <v>W1001583</v>
          </cell>
          <cell r="I2061" t="str">
            <v>8 (L280W) NEAVES RD</v>
          </cell>
          <cell r="J2061" t="str">
            <v>PINJAR WA 6065</v>
          </cell>
          <cell r="K2061" t="str">
            <v>0148005258</v>
          </cell>
        </row>
        <row r="2062">
          <cell r="G2062"/>
          <cell r="H2062" t="e">
            <v>#N/A</v>
          </cell>
          <cell r="I2062" t="str">
            <v>U2/604 (LOT 100) NEWCASTLE ST</v>
          </cell>
          <cell r="J2062" t="str">
            <v>LEEDERVILLE WA 6007</v>
          </cell>
          <cell r="K2062" t="str">
            <v>0148006415</v>
          </cell>
        </row>
        <row r="2063">
          <cell r="G2063" t="str">
            <v>TANK GL 1 WSC ARNOLDS RD WIALKI</v>
          </cell>
          <cell r="H2063" t="str">
            <v>W0020314</v>
          </cell>
          <cell r="I2063" t="str">
            <v>LOC 3182 SHEARDOWN RD</v>
          </cell>
          <cell r="J2063" t="str">
            <v>WIALKI WA 6473</v>
          </cell>
          <cell r="K2063" t="str">
            <v>0200334509</v>
          </cell>
        </row>
        <row r="2064">
          <cell r="G2064" t="str">
            <v>SPS WARNBRO SOUND AV PORT KENNEDY</v>
          </cell>
          <cell r="H2064" t="str">
            <v>S2019807</v>
          </cell>
          <cell r="I2064" t="str">
            <v>LOT 2 FORTY RD</v>
          </cell>
          <cell r="J2064" t="str">
            <v>PORT KENNEDY WA 6172</v>
          </cell>
          <cell r="K2064" t="str">
            <v>0350015240</v>
          </cell>
        </row>
        <row r="2065">
          <cell r="G2065"/>
          <cell r="H2065" t="e">
            <v>#N/A</v>
          </cell>
          <cell r="I2065" t="str">
            <v>LOT 8385 DELAWNEY ST</v>
          </cell>
          <cell r="J2065" t="str">
            <v>BALCATTA WA 6021</v>
          </cell>
          <cell r="K2065" t="str">
            <v>0136000994</v>
          </cell>
        </row>
        <row r="2066">
          <cell r="G2066" t="str">
            <v>SPS COUGAR PATH ROCKINGHAM</v>
          </cell>
          <cell r="H2066" t="str">
            <v>S2016969</v>
          </cell>
          <cell r="I2066" t="str">
            <v>12 COUGAR PATH</v>
          </cell>
          <cell r="J2066" t="str">
            <v>ROCKINGHAM WA 6168</v>
          </cell>
          <cell r="K2066" t="str">
            <v>0180028326</v>
          </cell>
        </row>
        <row r="2067">
          <cell r="G2067" t="str">
            <v>SPS ALLOA ST MADDINGTON</v>
          </cell>
          <cell r="H2067" t="str">
            <v>S0033355</v>
          </cell>
          <cell r="I2067" t="str">
            <v>U43 2 ALLOA ST</v>
          </cell>
          <cell r="J2067" t="str">
            <v>MADDINGTON WA 6109</v>
          </cell>
          <cell r="K2067" t="str">
            <v>002101290</v>
          </cell>
        </row>
        <row r="2068">
          <cell r="G2068" t="str">
            <v>SPS SAMSON ST WHITE GUM VALLEY</v>
          </cell>
          <cell r="H2068" t="str">
            <v>S0033319</v>
          </cell>
          <cell r="I2068" t="str">
            <v>LOT 1 SAMSON ST</v>
          </cell>
          <cell r="J2068" t="str">
            <v>WHITE GUM VALLEY WA 6162</v>
          </cell>
          <cell r="K2068" t="str">
            <v>0148004183</v>
          </cell>
        </row>
        <row r="2069">
          <cell r="G2069" t="str">
            <v>WANNEROO BOREFIELD</v>
          </cell>
          <cell r="H2069" t="str">
            <v>W0010030</v>
          </cell>
          <cell r="I2069" t="str">
            <v>LOT 2 FRANKLIN RD</v>
          </cell>
          <cell r="J2069" t="str">
            <v>WANNEROO WA 6065</v>
          </cell>
          <cell r="K2069" t="str">
            <v>4300AM465</v>
          </cell>
        </row>
        <row r="2070">
          <cell r="G2070" t="str">
            <v>WPS WARRALAKIN</v>
          </cell>
          <cell r="H2070" t="str">
            <v>W5007160</v>
          </cell>
          <cell r="I2070" t="str">
            <v>LOT 803 KORDA-SOUTHERN CROSS RD</v>
          </cell>
          <cell r="J2070" t="str">
            <v>WARRALAKIN WA 6421</v>
          </cell>
          <cell r="K2070" t="str">
            <v>410M231059</v>
          </cell>
        </row>
        <row r="2071">
          <cell r="G2071" t="str">
            <v>SPS SEABROOKE AV ROCKINGHAM</v>
          </cell>
          <cell r="H2071" t="str">
            <v>S0030479</v>
          </cell>
          <cell r="I2071" t="str">
            <v>LOT 1 / 51 SEABROOKE AVE</v>
          </cell>
          <cell r="J2071" t="str">
            <v>ROCKINGHAM WA 6168</v>
          </cell>
          <cell r="K2071" t="str">
            <v>0295000192</v>
          </cell>
        </row>
        <row r="2072">
          <cell r="G2072" t="str">
            <v>WPS PITHARA BOOSTER</v>
          </cell>
          <cell r="H2072" t="str">
            <v>W0019665</v>
          </cell>
          <cell r="I2072" t="str">
            <v>LOC 1079 SHEOAK RD</v>
          </cell>
          <cell r="J2072" t="str">
            <v>PITHARA WA 6608</v>
          </cell>
          <cell r="K2072" t="str">
            <v>210M18986</v>
          </cell>
        </row>
        <row r="2073">
          <cell r="G2073" t="str">
            <v>SPS RIVERSIDE RD EAST FREMANTLE</v>
          </cell>
          <cell r="H2073" t="str">
            <v>S0033312</v>
          </cell>
          <cell r="I2073" t="str">
            <v>RIVERSIDE RD</v>
          </cell>
          <cell r="J2073" t="str">
            <v>EAST FREMANTLE WA 6158</v>
          </cell>
          <cell r="K2073" t="str">
            <v>0148001614</v>
          </cell>
        </row>
        <row r="2074">
          <cell r="G2074" t="str">
            <v>CONTROL ROOM BORE WT10/WT15</v>
          </cell>
          <cell r="H2074" t="str">
            <v>W1001119</v>
          </cell>
          <cell r="I2074" t="str">
            <v>BROADMOOR GREEN</v>
          </cell>
          <cell r="J2074" t="str">
            <v>CURRAMBINE WA 6028</v>
          </cell>
          <cell r="K2074" t="str">
            <v xml:space="preserve">0211001020     </v>
          </cell>
        </row>
        <row r="2075">
          <cell r="G2075" t="str">
            <v>SPS SOUTHPORT BVD DAWESVILLE</v>
          </cell>
          <cell r="H2075" t="str">
            <v>S8007115</v>
          </cell>
          <cell r="I2075" t="str">
            <v>LOT 8006 SOUTHPORT BVD</v>
          </cell>
          <cell r="J2075" t="str">
            <v>DAWESVILLE WA 6211</v>
          </cell>
          <cell r="K2075" t="str">
            <v>0180025537</v>
          </cell>
        </row>
        <row r="2076">
          <cell r="G2076" t="str">
            <v>SPS COUNTRY RD PINJARRA</v>
          </cell>
          <cell r="H2076" t="str">
            <v>S0044953</v>
          </cell>
          <cell r="I2076" t="str">
            <v>1 COUNTRY RD</v>
          </cell>
          <cell r="J2076" t="str">
            <v>PINJARRA WA 6208</v>
          </cell>
          <cell r="K2076" t="str">
            <v>410M185174</v>
          </cell>
        </row>
        <row r="2077">
          <cell r="G2077" t="str">
            <v>WPS QUELAGETTING</v>
          </cell>
          <cell r="H2077" t="str">
            <v>W0019670</v>
          </cell>
          <cell r="I2077" t="str">
            <v>LOT 22977 SEVENTEEN MILE GATE RD</v>
          </cell>
          <cell r="J2077" t="str">
            <v>WATERCARRIN WA 6407</v>
          </cell>
          <cell r="K2077" t="str">
            <v>0213000397</v>
          </cell>
        </row>
        <row r="2078">
          <cell r="G2078" t="str">
            <v>WPS SWANBOURNE ST FREMANTLE</v>
          </cell>
          <cell r="H2078" t="str">
            <v>W0034938</v>
          </cell>
          <cell r="I2078" t="str">
            <v>U43 LOT 1 SWANBOURNE ST</v>
          </cell>
          <cell r="J2078" t="str">
            <v>FREMANTLE WA 6160</v>
          </cell>
          <cell r="K2078" t="str">
            <v>002101466</v>
          </cell>
        </row>
        <row r="2079">
          <cell r="G2079" t="str">
            <v>SPS HUNTS RD DONGARA</v>
          </cell>
          <cell r="H2079" t="str">
            <v>S0037396</v>
          </cell>
          <cell r="I2079" t="str">
            <v>LOT 92 NORTH SHORE DR</v>
          </cell>
          <cell r="J2079" t="str">
            <v>DONGARA WA 6525</v>
          </cell>
          <cell r="K2079" t="str">
            <v>450M5142</v>
          </cell>
        </row>
        <row r="2080">
          <cell r="G2080"/>
          <cell r="H2080" t="e">
            <v>#N/A</v>
          </cell>
          <cell r="I2080" t="str">
            <v>61 BURGOYNE ST</v>
          </cell>
          <cell r="J2080" t="str">
            <v>NORTHAM WA 6401</v>
          </cell>
          <cell r="K2080" t="str">
            <v>15PM1367</v>
          </cell>
        </row>
        <row r="2081">
          <cell r="G2081" t="str">
            <v>WWTP QUEEN ELIZABETH AV BUSSELTON</v>
          </cell>
          <cell r="H2081" t="str">
            <v>S081-001-003</v>
          </cell>
          <cell r="I2081" t="str">
            <v>HSE NO 348 LOT 4680 QUEEN ELIZABETH AVE</v>
          </cell>
          <cell r="J2081" t="str">
            <v>AMBERGATE WA 6280</v>
          </cell>
          <cell r="K2081" t="str">
            <v>8001011673</v>
          </cell>
        </row>
        <row r="2082">
          <cell r="G2082" t="str">
            <v>SPS BEATTY AV EAST VICTORIA PARK</v>
          </cell>
          <cell r="H2082" t="str">
            <v>S0033972</v>
          </cell>
          <cell r="I2082" t="str">
            <v>78 BEATTY AVE</v>
          </cell>
          <cell r="J2082" t="str">
            <v>EAST VICTORIA PARK WA 6101</v>
          </cell>
          <cell r="K2082" t="str">
            <v>410AM17392</v>
          </cell>
        </row>
        <row r="2083">
          <cell r="G2083" t="str">
            <v>VPS MARY ST HALLS HEAD</v>
          </cell>
          <cell r="H2083" t="str">
            <v>S0044584</v>
          </cell>
          <cell r="I2083" t="str">
            <v>LOT 139 MARY ST</v>
          </cell>
          <cell r="J2083" t="str">
            <v>HALLS HEAD WA 6210</v>
          </cell>
          <cell r="K2083" t="str">
            <v>0136005605</v>
          </cell>
        </row>
        <row r="2084">
          <cell r="G2084" t="str">
            <v>SPS SOUTH WEST HWY WAROONA</v>
          </cell>
          <cell r="H2084" t="str">
            <v>S0045023</v>
          </cell>
          <cell r="I2084" t="str">
            <v>LOT 224 SOUTH WESTERN HWY</v>
          </cell>
          <cell r="J2084" t="str">
            <v>WAROONA WA 6215</v>
          </cell>
          <cell r="K2084" t="str">
            <v>410M136798</v>
          </cell>
        </row>
        <row r="2085">
          <cell r="G2085" t="str">
            <v>WPS SANDHILLS RD BEELERUP BOOSTER</v>
          </cell>
          <cell r="H2085" t="str">
            <v>W0045586</v>
          </cell>
          <cell r="I2085" t="str">
            <v>LOC 519 SANDHILLS RD</v>
          </cell>
          <cell r="J2085" t="str">
            <v>DONNYBROOK WA 6239</v>
          </cell>
          <cell r="K2085" t="str">
            <v>410M163292</v>
          </cell>
        </row>
        <row r="2086">
          <cell r="G2086" t="str">
            <v>SPS HEMINGWAY DR CAMILLO</v>
          </cell>
          <cell r="H2086" t="str">
            <v>S0032755</v>
          </cell>
          <cell r="I2086" t="str">
            <v>HEMMINGWAY DR</v>
          </cell>
          <cell r="J2086" t="str">
            <v>WESTFIELD WA 6111</v>
          </cell>
          <cell r="K2086" t="str">
            <v>0136004350</v>
          </cell>
        </row>
        <row r="2087">
          <cell r="G2087" t="str">
            <v>SPS LUCY VICTORIA AV EAST AUSTRALIND</v>
          </cell>
          <cell r="H2087" t="str">
            <v>S8008404</v>
          </cell>
          <cell r="I2087" t="str">
            <v>LOT 1 LUCY VICTORIA AVE</v>
          </cell>
          <cell r="J2087" t="str">
            <v>AUSTRALIND WA 6233</v>
          </cell>
          <cell r="K2087" t="str">
            <v>0380009270</v>
          </cell>
        </row>
        <row r="2088">
          <cell r="G2088" t="str">
            <v>BORE SITE J140</v>
          </cell>
          <cell r="H2088" t="str">
            <v>W1001457</v>
          </cell>
          <cell r="I2088" t="str">
            <v>LOT 140J ACOURT RD</v>
          </cell>
          <cell r="J2088" t="str">
            <v>CANNING VALE WA 6155</v>
          </cell>
          <cell r="K2088" t="str">
            <v>0148005963</v>
          </cell>
        </row>
        <row r="2089">
          <cell r="G2089"/>
          <cell r="H2089" t="e">
            <v>#N/A</v>
          </cell>
          <cell r="I2089" t="str">
            <v>5901 DOWERIN-KALANNIE RD</v>
          </cell>
          <cell r="J2089" t="str">
            <v>CADOUX WA 6466</v>
          </cell>
          <cell r="K2089" t="str">
            <v>15M200673</v>
          </cell>
        </row>
        <row r="2090">
          <cell r="G2090" t="str">
            <v>SPS SUNLAND AV SOUTH YUNDERUP</v>
          </cell>
          <cell r="H2090" t="str">
            <v>S0045068</v>
          </cell>
          <cell r="I2090" t="str">
            <v>LOT 132 SUN LAND AVE</v>
          </cell>
          <cell r="J2090" t="str">
            <v>SOUTH YUNDERUP WA 6208</v>
          </cell>
          <cell r="K2090" t="str">
            <v>410M124413</v>
          </cell>
        </row>
        <row r="2091">
          <cell r="G2091" t="str">
            <v>BORE SITE M250</v>
          </cell>
          <cell r="H2091" t="str">
            <v>W1001369</v>
          </cell>
          <cell r="I2091" t="str">
            <v>U41 LOT 250M PARK ST</v>
          </cell>
          <cell r="J2091" t="str">
            <v>WHITEMAN WA 6068</v>
          </cell>
          <cell r="K2091" t="str">
            <v>0148003424</v>
          </cell>
        </row>
        <row r="2092">
          <cell r="G2092" t="str">
            <v>SPS ROYAL ST KENWICK</v>
          </cell>
          <cell r="H2092" t="str">
            <v>S0033487</v>
          </cell>
          <cell r="I2092" t="str">
            <v>LOT 20 ROYAL ST</v>
          </cell>
          <cell r="J2092" t="str">
            <v>KENWICK WA 6107</v>
          </cell>
          <cell r="K2092" t="str">
            <v>0148004225</v>
          </cell>
        </row>
        <row r="2093">
          <cell r="G2093" t="str">
            <v>SPS MISSISSIPPI DR GREENFIELDS</v>
          </cell>
          <cell r="H2093" t="str">
            <v>S0044735</v>
          </cell>
          <cell r="I2093" t="str">
            <v>LOT 301 MISSISSIPPI DR</v>
          </cell>
          <cell r="J2093" t="str">
            <v>GREENFIELDS WA 6210</v>
          </cell>
          <cell r="K2093" t="str">
            <v>410M120002</v>
          </cell>
        </row>
        <row r="2094">
          <cell r="G2094" t="str">
            <v>SPS 2 GOOMALLING RD TOODYAY</v>
          </cell>
          <cell r="H2094" t="str">
            <v>S5000140</v>
          </cell>
          <cell r="I2094" t="str">
            <v>LOT 3 GOOMALLING-TOODYAY RD</v>
          </cell>
          <cell r="J2094" t="str">
            <v>TOODYAY WA 6566</v>
          </cell>
          <cell r="K2094" t="str">
            <v>450M23249</v>
          </cell>
        </row>
        <row r="2095">
          <cell r="G2095" t="str">
            <v>SPS BREAKWATER PDE MANDURAH</v>
          </cell>
          <cell r="H2095" t="str">
            <v>S8000830</v>
          </cell>
          <cell r="I2095" t="str">
            <v>38 BREAKWATER PDE</v>
          </cell>
          <cell r="J2095" t="str">
            <v>MANDURAH WA 6210</v>
          </cell>
          <cell r="K2095" t="str">
            <v>410M231060</v>
          </cell>
        </row>
        <row r="2096">
          <cell r="G2096" t="str">
            <v>SPS ABERNETHY RD ASCOT</v>
          </cell>
          <cell r="H2096" t="str">
            <v>S0033945</v>
          </cell>
          <cell r="I2096" t="str">
            <v>U43 ABERNETHY RD</v>
          </cell>
          <cell r="J2096" t="str">
            <v>ASCOT WA 6104</v>
          </cell>
          <cell r="K2096" t="str">
            <v>000000000148003116</v>
          </cell>
        </row>
        <row r="2097">
          <cell r="G2097" t="str">
            <v>SPS ROSETTE CL CRAIGIE</v>
          </cell>
          <cell r="H2097" t="str">
            <v>S0028622</v>
          </cell>
          <cell r="I2097" t="str">
            <v>26 ROSETTE CL</v>
          </cell>
          <cell r="J2097" t="str">
            <v>CRAIGIE WA 6025</v>
          </cell>
          <cell r="K2097" t="str">
            <v>410L11581</v>
          </cell>
        </row>
        <row r="2098">
          <cell r="G2098" t="str">
            <v>WPS LAKE BANKS</v>
          </cell>
          <cell r="H2098" t="str">
            <v>W049-003-004-035-001</v>
          </cell>
          <cell r="I2098" t="str">
            <v>LOT 2 SOUTH RD</v>
          </cell>
          <cell r="J2098" t="str">
            <v>LAKE GRACE WA 6353</v>
          </cell>
          <cell r="K2098" t="str">
            <v>410M2007022</v>
          </cell>
        </row>
        <row r="2099">
          <cell r="G2099" t="str">
            <v>WPS DAM JAM CREEK TAMBELLUP</v>
          </cell>
          <cell r="H2099" t="str">
            <v>W049-005-018-002-001-001</v>
          </cell>
          <cell r="I2099" t="str">
            <v>LOC 1352 JAM CREEK RD</v>
          </cell>
          <cell r="J2099" t="str">
            <v>TAMBELLUP  WA  6320</v>
          </cell>
          <cell r="K2099" t="str">
            <v>0148002479</v>
          </cell>
        </row>
        <row r="2100">
          <cell r="G2100" t="str">
            <v>BORE SITE J90</v>
          </cell>
          <cell r="H2100" t="str">
            <v>W1001345</v>
          </cell>
          <cell r="I2100" t="str">
            <v>U41 LOT J90 WARTON RD</v>
          </cell>
          <cell r="J2100" t="str">
            <v>BANJUP WA 6164</v>
          </cell>
          <cell r="K2100" t="str">
            <v>0148006089</v>
          </cell>
        </row>
        <row r="2101">
          <cell r="G2101" t="str">
            <v>SPS SLOAN DR LEDA</v>
          </cell>
          <cell r="H2101" t="str">
            <v>S0030313</v>
          </cell>
          <cell r="I2101" t="str">
            <v>LOT 502 SLOAN DR</v>
          </cell>
          <cell r="J2101" t="str">
            <v>LEDA WA 6170</v>
          </cell>
          <cell r="K2101" t="str">
            <v>0116000025</v>
          </cell>
        </row>
        <row r="2102">
          <cell r="G2102" t="str">
            <v>SPS GLENBAWN DR SOUTH LAKE</v>
          </cell>
          <cell r="H2102" t="str">
            <v>S0032851</v>
          </cell>
          <cell r="I2102" t="str">
            <v>LOT 626 GLENBAWN DR</v>
          </cell>
          <cell r="J2102" t="str">
            <v>SOUTH LAKE WA 6164</v>
          </cell>
          <cell r="K2102" t="str">
            <v>0081000010</v>
          </cell>
        </row>
        <row r="2103">
          <cell r="G2103" t="str">
            <v>SPS ACHERON RD SAN REMO</v>
          </cell>
          <cell r="H2103" t="str">
            <v>S0044688</v>
          </cell>
          <cell r="I2103" t="str">
            <v>1A ACHERON RD</v>
          </cell>
          <cell r="J2103" t="str">
            <v>SAN REMO WA 6210</v>
          </cell>
          <cell r="K2103" t="str">
            <v>410M169068</v>
          </cell>
        </row>
        <row r="2104">
          <cell r="G2104" t="str">
            <v>SPS KARRINYUP RD STIRLING</v>
          </cell>
          <cell r="H2104" t="str">
            <v>S0028509</v>
          </cell>
          <cell r="I2104" t="str">
            <v>659 KARRINYUP RD OSBORNE PARK 6017</v>
          </cell>
          <cell r="J2104" t="str">
            <v>OSBORNE PARK WA 6017</v>
          </cell>
          <cell r="K2104" t="str">
            <v>410LA01387</v>
          </cell>
        </row>
        <row r="2105">
          <cell r="G2105" t="str">
            <v>TREATMENT MODULE</v>
          </cell>
          <cell r="H2105" t="str">
            <v>W0005297</v>
          </cell>
          <cell r="I2105" t="str">
            <v>LOT 301 ALEXANDER DR</v>
          </cell>
          <cell r="J2105" t="str">
            <v>KOONDOOLA WA 6064</v>
          </cell>
          <cell r="K2105" t="str">
            <v>0204000073</v>
          </cell>
        </row>
        <row r="2106">
          <cell r="G2106" t="str">
            <v>WPS DAM 1 VARLEY</v>
          </cell>
          <cell r="H2106" t="str">
            <v>W7001611</v>
          </cell>
          <cell r="I2106" t="str">
            <v>LOC 21143 HYDEN-LAKE KING ROAD</v>
          </cell>
          <cell r="J2106" t="str">
            <v>VARLEY WA 6355</v>
          </cell>
          <cell r="K2106" t="str">
            <v>210M32544</v>
          </cell>
        </row>
        <row r="2107">
          <cell r="G2107" t="str">
            <v>SPS KING RD NTH EAST BUNBURY</v>
          </cell>
          <cell r="H2107" t="str">
            <v>S0044065</v>
          </cell>
          <cell r="I2107" t="str">
            <v>55 KING RD</v>
          </cell>
          <cell r="J2107" t="str">
            <v>BUNBURY WA 6230</v>
          </cell>
          <cell r="K2107" t="str">
            <v>0148003526</v>
          </cell>
        </row>
        <row r="2108">
          <cell r="G2108" t="str">
            <v>TANK GL 1 WSC MT PERCY KALGOORLIE</v>
          </cell>
          <cell r="H2108" t="str">
            <v>W0021299</v>
          </cell>
          <cell r="I2108" t="str">
            <v>GOLDFIELDS HWY</v>
          </cell>
          <cell r="J2108" t="str">
            <v>KALGOORLIE WA 6430</v>
          </cell>
          <cell r="K2108" t="str">
            <v>15M75186</v>
          </cell>
        </row>
        <row r="2109">
          <cell r="G2109" t="str">
            <v>WWTP BROCKMAN HWY EAST NANNUP</v>
          </cell>
          <cell r="H2109" t="str">
            <v>S8002921</v>
          </cell>
          <cell r="I2109" t="str">
            <v>LOT 12 BROCKMAN HWY</v>
          </cell>
          <cell r="J2109" t="str">
            <v>NANNUP WA 6275</v>
          </cell>
          <cell r="K2109" t="str">
            <v>0148005889</v>
          </cell>
        </row>
        <row r="2110">
          <cell r="G2110" t="str">
            <v>SPS PINEWOOD GRN MIRRABOOKA</v>
          </cell>
          <cell r="H2110" t="str">
            <v>S0028578</v>
          </cell>
          <cell r="I2110" t="str">
            <v>LOT 561 PINEWOOD GRN</v>
          </cell>
          <cell r="J2110" t="str">
            <v>MIRRABOOKA WA 6061</v>
          </cell>
          <cell r="K2110" t="str">
            <v>0248002411</v>
          </cell>
        </row>
        <row r="2111">
          <cell r="G2111" t="str">
            <v>WPS NK10 COYRECUP RD COYRECUP</v>
          </cell>
          <cell r="H2111" t="str">
            <v>W0022961</v>
          </cell>
          <cell r="I2111" t="str">
            <v>LOCN 4781 KATANNING-NYABING RD</v>
          </cell>
          <cell r="J2111" t="str">
            <v>KATANNING WA 6317</v>
          </cell>
          <cell r="K2111" t="str">
            <v>0148002978</v>
          </cell>
        </row>
        <row r="2112">
          <cell r="G2112" t="str">
            <v>SPS ALLEN PARK SWANBOURNE</v>
          </cell>
          <cell r="H2112" t="str">
            <v>S0032603</v>
          </cell>
          <cell r="I2112" t="str">
            <v>LOT 368 KIRKWOOD RD</v>
          </cell>
          <cell r="J2112" t="str">
            <v>SWANBOURNE WA 6010</v>
          </cell>
          <cell r="K2112" t="str">
            <v>410L005093</v>
          </cell>
        </row>
        <row r="2113">
          <cell r="G2113" t="str">
            <v>WPS OLD ALBANY L ROLEYSTONE</v>
          </cell>
          <cell r="H2113" t="str">
            <v>W0035247</v>
          </cell>
          <cell r="I2113" t="str">
            <v>U43 LOT 141 OLD ALBANY LANE</v>
          </cell>
          <cell r="J2113" t="str">
            <v>ROLEYSTONE WA 6111</v>
          </cell>
          <cell r="K2113" t="str">
            <v>0116000030</v>
          </cell>
        </row>
        <row r="2114">
          <cell r="G2114" t="str">
            <v>SPS GARFIELD RD AUSTRALIND</v>
          </cell>
          <cell r="H2114" t="str">
            <v>S0043925</v>
          </cell>
          <cell r="I2114" t="str">
            <v>LOT 447 GARFIELD DR</v>
          </cell>
          <cell r="J2114" t="str">
            <v>AUSTRALIND WA 6233</v>
          </cell>
          <cell r="K2114" t="str">
            <v>410M110519</v>
          </cell>
        </row>
        <row r="2115">
          <cell r="G2115" t="str">
            <v>TANK GL 1 WSC TWS BAKERS HILL</v>
          </cell>
          <cell r="H2115" t="str">
            <v>W0018872</v>
          </cell>
          <cell r="I2115" t="str">
            <v>LOT 10 MARTIN ST</v>
          </cell>
          <cell r="J2115" t="str">
            <v>BAKERS HILL WA 6562</v>
          </cell>
          <cell r="K2115" t="str">
            <v>0200038246</v>
          </cell>
        </row>
        <row r="2116">
          <cell r="G2116" t="str">
            <v>WPS ALBANY HWY KOKOKUP</v>
          </cell>
          <cell r="H2116" t="str">
            <v>W0023108</v>
          </cell>
          <cell r="I2116" t="str">
            <v>LOCN 5719 ALBANY HWY</v>
          </cell>
          <cell r="J2116" t="str">
            <v>MOUNT BARKER WA 6324</v>
          </cell>
          <cell r="K2116" t="str">
            <v xml:space="preserve">0211001232     </v>
          </cell>
        </row>
        <row r="2117">
          <cell r="G2117" t="str">
            <v>SPS HYNES CRT WILLIAMS</v>
          </cell>
          <cell r="H2117" t="str">
            <v>S108-002-004</v>
          </cell>
          <cell r="I2117" t="str">
            <v>79 FRY ST</v>
          </cell>
          <cell r="J2117" t="str">
            <v>WILLIAMS WA 6391</v>
          </cell>
          <cell r="K2117" t="str">
            <v>0350010691</v>
          </cell>
        </row>
        <row r="2118">
          <cell r="G2118" t="str">
            <v>CDP ROCKY FORD RD BROOKTON</v>
          </cell>
          <cell r="H2118" t="str">
            <v>W7004248</v>
          </cell>
          <cell r="I2118" t="str">
            <v>LOT 21413 COPPING RD</v>
          </cell>
          <cell r="J2118" t="str">
            <v>BROOKTON WA 6306</v>
          </cell>
          <cell r="K2118" t="str">
            <v>0350009912</v>
          </cell>
        </row>
        <row r="2119">
          <cell r="G2119" t="str">
            <v>TALBOT ROAD CMS</v>
          </cell>
          <cell r="H2119" t="str">
            <v>W0011989</v>
          </cell>
          <cell r="I2119" t="str">
            <v>TALBOT RD</v>
          </cell>
          <cell r="J2119" t="str">
            <v>HAZELMERE WA 6055</v>
          </cell>
          <cell r="K2119" t="str">
            <v>410AM47943</v>
          </cell>
        </row>
        <row r="2120">
          <cell r="G2120" t="str">
            <v>WPS BARBALIN DAM</v>
          </cell>
          <cell r="H2120" t="str">
            <v>W0020300</v>
          </cell>
          <cell r="I2120" t="str">
            <v>LOC 54 BARBALIN NORTH RD</v>
          </cell>
          <cell r="J2120" t="str">
            <v>BARBALIN WA 6479</v>
          </cell>
          <cell r="K2120" t="str">
            <v>0136005470</v>
          </cell>
        </row>
        <row r="2121">
          <cell r="G2121" t="str">
            <v>SPS CLARKSON ST DONGARA</v>
          </cell>
          <cell r="H2121" t="str">
            <v>S0037393</v>
          </cell>
          <cell r="I2121" t="str">
            <v>LOT 16 CLARKSON ST</v>
          </cell>
          <cell r="J2121" t="str">
            <v>DONGARA WA 6525</v>
          </cell>
          <cell r="K2121" t="str">
            <v>410M194026</v>
          </cell>
        </row>
        <row r="2122">
          <cell r="G2122" t="str">
            <v>OBS BORE 06-84 BREMER BAY</v>
          </cell>
          <cell r="H2122" t="str">
            <v>W0022665</v>
          </cell>
          <cell r="I2122" t="str">
            <v>LOC 511 WELLSTEAD RD</v>
          </cell>
          <cell r="J2122" t="str">
            <v>BREMER BAY WA 6338</v>
          </cell>
          <cell r="K2122" t="str">
            <v>450M9860</v>
          </cell>
        </row>
        <row r="2123">
          <cell r="G2123" t="str">
            <v>SPS BRIGHTON RD SCARBOROUGH</v>
          </cell>
          <cell r="H2123" t="str">
            <v>S2000293</v>
          </cell>
          <cell r="I2123" t="str">
            <v>112 BRIGHTON RD</v>
          </cell>
          <cell r="J2123" t="str">
            <v>SCARBOROUGH WA 6019</v>
          </cell>
          <cell r="K2123" t="str">
            <v>0148006405</v>
          </cell>
        </row>
        <row r="2124">
          <cell r="G2124" t="str">
            <v>BORE SITE WT70</v>
          </cell>
          <cell r="H2124" t="str">
            <v>W1001252</v>
          </cell>
          <cell r="I2124" t="str">
            <v>BRIDGEWATER DR</v>
          </cell>
          <cell r="J2124" t="str">
            <v>KALLAROO WA 6025</v>
          </cell>
          <cell r="K2124" t="str">
            <v xml:space="preserve">0211001088     </v>
          </cell>
        </row>
        <row r="2125">
          <cell r="G2125" t="str">
            <v>SPS MORLEY DR WEST DIANELLA</v>
          </cell>
          <cell r="H2125" t="str">
            <v>S0030191</v>
          </cell>
          <cell r="I2125" t="str">
            <v xml:space="preserve">391 MORLEY DR </v>
          </cell>
          <cell r="J2125" t="str">
            <v>DIANELLA 6059</v>
          </cell>
          <cell r="K2125" t="str">
            <v>410M108203</v>
          </cell>
        </row>
        <row r="2126">
          <cell r="G2126" t="str">
            <v>SPS BISHOPSGATE ST CARLISLE</v>
          </cell>
          <cell r="H2126" t="str">
            <v>S0033994</v>
          </cell>
          <cell r="I2126" t="str">
            <v>U43 BISHOPSGATE ST</v>
          </cell>
          <cell r="J2126" t="str">
            <v>CARLISLE WA 6101</v>
          </cell>
          <cell r="K2126" t="str">
            <v>0081000405</v>
          </cell>
        </row>
        <row r="2127">
          <cell r="G2127" t="str">
            <v>MITCHELL ST CONTROL VALVE SITE (CVS)</v>
          </cell>
          <cell r="H2127" t="str">
            <v>W0013287</v>
          </cell>
          <cell r="I2127" t="str">
            <v>LOT 45 MITCHELL ST</v>
          </cell>
          <cell r="J2127" t="str">
            <v>WUNGONG WA 6112</v>
          </cell>
          <cell r="K2127" t="str">
            <v>410M126409</v>
          </cell>
        </row>
        <row r="2128">
          <cell r="G2128" t="str">
            <v>WPS TOWN DAM NEWDEGATE</v>
          </cell>
          <cell r="H2128" t="str">
            <v>W049-003-013-002-003</v>
          </cell>
          <cell r="I2128" t="str">
            <v>LOT 33P MALEY ST</v>
          </cell>
          <cell r="J2128" t="str">
            <v>NEWDEGATE WA 6355</v>
          </cell>
          <cell r="K2128" t="str">
            <v>410M121325</v>
          </cell>
        </row>
        <row r="2129">
          <cell r="G2129" t="str">
            <v>WPS YALGORUP DR BOUVARD TRANSFER</v>
          </cell>
          <cell r="H2129" t="str">
            <v>W0046182</v>
          </cell>
          <cell r="I2129" t="str">
            <v>LOT 17 OLD COAST RD</v>
          </cell>
          <cell r="J2129" t="str">
            <v>DAWESVILLE WA 6211</v>
          </cell>
          <cell r="K2129" t="str">
            <v>410M203514</v>
          </cell>
        </row>
        <row r="2130">
          <cell r="G2130" t="str">
            <v>WPS KALINDA DR CITY BEACH</v>
          </cell>
          <cell r="H2130" t="str">
            <v>W0034505</v>
          </cell>
          <cell r="I2130" t="str">
            <v>KALINDA DR</v>
          </cell>
          <cell r="J2130" t="str">
            <v>CITY BEACH  WA  6015</v>
          </cell>
          <cell r="K2130" t="str">
            <v>0136001671</v>
          </cell>
        </row>
        <row r="2131">
          <cell r="G2131" t="str">
            <v>BORE 02-96 MEWETT RD QUINDALUP</v>
          </cell>
          <cell r="H2131" t="str">
            <v>W0045723</v>
          </cell>
          <cell r="I2131" t="str">
            <v>LOT 4752 MEWETT RD</v>
          </cell>
          <cell r="J2131" t="str">
            <v>QUINDALUP WA 6281</v>
          </cell>
          <cell r="K2131" t="str">
            <v>0148006357</v>
          </cell>
        </row>
        <row r="2132">
          <cell r="G2132" t="str">
            <v>SPS WARRANGOO RD BAYONET HEAD</v>
          </cell>
          <cell r="H2132" t="str">
            <v>S0022255</v>
          </cell>
          <cell r="I2132" t="str">
            <v>MADISON WAY</v>
          </cell>
          <cell r="J2132" t="str">
            <v>BAYONET HEAD  WA  6330</v>
          </cell>
          <cell r="K2132" t="str">
            <v>0148002196</v>
          </cell>
        </row>
        <row r="2133">
          <cell r="G2133" t="str">
            <v>SPS ORCHID AV BEECHBORO</v>
          </cell>
          <cell r="H2133" t="str">
            <v>S0030200</v>
          </cell>
          <cell r="I2133" t="str">
            <v>LOT 1000 ORCHID AVE</v>
          </cell>
          <cell r="J2133" t="str">
            <v>BEECHBORO WA 6063</v>
          </cell>
          <cell r="K2133" t="str">
            <v>410M179591</v>
          </cell>
        </row>
        <row r="2134">
          <cell r="G2134" t="str">
            <v>SPS SEAGRASS PL GNARABUP</v>
          </cell>
          <cell r="H2134" t="str">
            <v>S8003706</v>
          </cell>
          <cell r="I2134" t="str">
            <v>REEF DR</v>
          </cell>
          <cell r="J2134" t="str">
            <v>GNARABUP 0000</v>
          </cell>
          <cell r="K2134" t="str">
            <v>0180004339</v>
          </cell>
        </row>
        <row r="2135">
          <cell r="G2135" t="str">
            <v>WPS MS35 CORRIGIN BOOSTER</v>
          </cell>
          <cell r="H2135" t="str">
            <v>W0020336</v>
          </cell>
          <cell r="I2135" t="str">
            <v>LOCN 28239 NAMBADILLING RD</v>
          </cell>
          <cell r="J2135" t="str">
            <v>CORRIGIN WA 6375</v>
          </cell>
          <cell r="K2135" t="str">
            <v>0148006272</v>
          </cell>
        </row>
        <row r="2136">
          <cell r="G2136" t="str">
            <v>WPS BUNGULLUPING</v>
          </cell>
          <cell r="H2136" t="str">
            <v>W0020330</v>
          </cell>
          <cell r="I2136" t="str">
            <v>U 54 BUNGULLA RD</v>
          </cell>
          <cell r="J2136" t="str">
            <v>MERREDIN WA 6415</v>
          </cell>
          <cell r="K2136" t="str">
            <v>002101164</v>
          </cell>
        </row>
        <row r="2137">
          <cell r="G2137" t="str">
            <v>BORE SITE M35</v>
          </cell>
          <cell r="H2137" t="str">
            <v>W1001325</v>
          </cell>
          <cell r="I2137" t="str">
            <v>LOT 3 WEIR RD</v>
          </cell>
          <cell r="J2137" t="str">
            <v>BALLAJURA WA 6066</v>
          </cell>
          <cell r="K2137" t="str">
            <v>0148005277</v>
          </cell>
        </row>
        <row r="2138">
          <cell r="G2138" t="str">
            <v>TWO ROCKS WASTEWATER TREATMENT PLANT</v>
          </cell>
          <cell r="H2138" t="str">
            <v>S001-001-021</v>
          </cell>
          <cell r="I2138" t="str">
            <v>LISFORD AVE</v>
          </cell>
          <cell r="J2138" t="str">
            <v>TWO ROCKS WA 6037</v>
          </cell>
          <cell r="K2138" t="str">
            <v>0148003612</v>
          </cell>
        </row>
        <row r="2139">
          <cell r="G2139" t="str">
            <v>SPS WILDERNESS DR NTH DAWESVILLE</v>
          </cell>
          <cell r="H2139" t="str">
            <v>S0045016</v>
          </cell>
          <cell r="I2139" t="str">
            <v>L2 WILDERNESS DR</v>
          </cell>
          <cell r="J2139" t="str">
            <v>DAWESVILLE WA 6211</v>
          </cell>
          <cell r="K2139" t="str">
            <v>410M197103</v>
          </cell>
        </row>
        <row r="2140">
          <cell r="G2140" t="str">
            <v>BORE SITE J40</v>
          </cell>
          <cell r="H2140" t="str">
            <v>W1001440</v>
          </cell>
          <cell r="I2140" t="str">
            <v>40 (LOT 45J) WOLFE RD</v>
          </cell>
          <cell r="J2140" t="str">
            <v>BANJUP WA 6164</v>
          </cell>
          <cell r="K2140" t="str">
            <v>0136005173</v>
          </cell>
        </row>
        <row r="2141">
          <cell r="G2141" t="str">
            <v>SPS DEELEY ST MAYLANDS</v>
          </cell>
          <cell r="H2141" t="str">
            <v>S0031683</v>
          </cell>
          <cell r="I2141" t="str">
            <v>DEELEY ST</v>
          </cell>
          <cell r="J2141" t="str">
            <v>MAYLANDS WA 6051</v>
          </cell>
          <cell r="K2141" t="str">
            <v>0148004169</v>
          </cell>
        </row>
        <row r="2142">
          <cell r="G2142" t="str">
            <v>SPS LE SOUEF DR KARDINYA</v>
          </cell>
          <cell r="H2142" t="str">
            <v>S0033742</v>
          </cell>
          <cell r="I2142" t="str">
            <v>LOT 551 NORTH LAKE RD</v>
          </cell>
          <cell r="J2142" t="str">
            <v>KARDINYA WA 6163</v>
          </cell>
          <cell r="K2142" t="str">
            <v>0136004473</v>
          </cell>
        </row>
        <row r="2143">
          <cell r="G2143" t="str">
            <v>SPS BRADFORD ST MENORA</v>
          </cell>
          <cell r="H2143" t="str">
            <v>S0030071</v>
          </cell>
          <cell r="I2143" t="str">
            <v>LEAROYD ST</v>
          </cell>
          <cell r="J2143" t="str">
            <v>MOUNT LAWLEY WA 6050</v>
          </cell>
          <cell r="K2143" t="str">
            <v>0081000877</v>
          </cell>
        </row>
        <row r="2144">
          <cell r="G2144" t="str">
            <v>SPS SUCCESS WY HENDERSON</v>
          </cell>
          <cell r="H2144" t="str">
            <v>S2005793</v>
          </cell>
          <cell r="I2144" t="str">
            <v>2 SUCCESS WAY</v>
          </cell>
          <cell r="J2144" t="str">
            <v>HENDERSON  WA 6166</v>
          </cell>
          <cell r="K2144" t="str">
            <v>0380005537</v>
          </cell>
        </row>
        <row r="2145">
          <cell r="G2145" t="str">
            <v>DEPOT QUEEN ST PINGELLY</v>
          </cell>
          <cell r="H2145" t="str">
            <v>C7000014</v>
          </cell>
          <cell r="I2145" t="str">
            <v>5 QUEEN ST</v>
          </cell>
          <cell r="J2145" t="str">
            <v>PINGELLY WA 6308</v>
          </cell>
          <cell r="K2145" t="str">
            <v>410M137926</v>
          </cell>
        </row>
        <row r="2146">
          <cell r="G2146" t="str">
            <v>SPS NORTHSHORE DR DONGARA</v>
          </cell>
          <cell r="H2146" t="str">
            <v>S0037403</v>
          </cell>
          <cell r="I2146" t="str">
            <v>LOT 5 WALDECK ST</v>
          </cell>
          <cell r="J2146" t="str">
            <v>DONGARA WA 6525</v>
          </cell>
          <cell r="K2146" t="str">
            <v>0248000406</v>
          </cell>
        </row>
        <row r="2147">
          <cell r="G2147" t="str">
            <v>WPS KALGOORLIE STANDBY 3</v>
          </cell>
          <cell r="H2147" t="str">
            <v>W0021096</v>
          </cell>
          <cell r="I2147" t="str">
            <v>PICCADILLY ST</v>
          </cell>
          <cell r="J2147" t="str">
            <v>KALGOORLIE WA 6430</v>
          </cell>
          <cell r="K2147" t="str">
            <v>0138000198</v>
          </cell>
        </row>
        <row r="2148">
          <cell r="G2148"/>
          <cell r="H2148" t="e">
            <v>#N/A</v>
          </cell>
          <cell r="I2148" t="str">
            <v>LOT 328 KOORDA RD</v>
          </cell>
          <cell r="J2148" t="str">
            <v>WYALKATCHEM WA 6485</v>
          </cell>
          <cell r="K2148" t="str">
            <v>450M6776</v>
          </cell>
        </row>
        <row r="2149">
          <cell r="G2149" t="str">
            <v>SPS BEACH RD DUNCRAIG</v>
          </cell>
          <cell r="H2149" t="str">
            <v>S0028267</v>
          </cell>
          <cell r="I2149" t="str">
            <v>U42 LOT 12 BEACH RD</v>
          </cell>
          <cell r="J2149" t="str">
            <v>CARINE WA 6020</v>
          </cell>
          <cell r="K2149" t="str">
            <v>0081000901</v>
          </cell>
        </row>
        <row r="2150">
          <cell r="G2150" t="str">
            <v>SPS WAROONGA RD NEDLANDS</v>
          </cell>
          <cell r="H2150" t="str">
            <v>S0032711</v>
          </cell>
          <cell r="I2150" t="str">
            <v>18 WAROONGA RD</v>
          </cell>
          <cell r="J2150" t="str">
            <v>NEDLANDS WA 6009</v>
          </cell>
          <cell r="K2150" t="str">
            <v>410M99282</v>
          </cell>
        </row>
        <row r="2151">
          <cell r="G2151" t="str">
            <v>BORE SITE W310</v>
          </cell>
          <cell r="H2151" t="str">
            <v>W1001589</v>
          </cell>
          <cell r="I2151" t="str">
            <v>3 BARDIE RD</v>
          </cell>
          <cell r="J2151" t="str">
            <v>PINJAR WA 6065</v>
          </cell>
          <cell r="K2151" t="str">
            <v>0148005704</v>
          </cell>
        </row>
        <row r="2152">
          <cell r="G2152" t="str">
            <v>BORE SITE W40</v>
          </cell>
          <cell r="H2152" t="str">
            <v>W1001551</v>
          </cell>
          <cell r="I2152" t="str">
            <v>LOT 40W SILVER RD</v>
          </cell>
          <cell r="J2152" t="str">
            <v>JANDABUP WA 6065</v>
          </cell>
          <cell r="K2152" t="str">
            <v>0248000108</v>
          </cell>
        </row>
        <row r="2153">
          <cell r="G2153" t="str">
            <v>BORE 13-65 SANDPATCH</v>
          </cell>
          <cell r="H2153" t="str">
            <v>W0023574</v>
          </cell>
          <cell r="I2153" t="str">
            <v>OPAL ST</v>
          </cell>
          <cell r="J2153" t="str">
            <v>LITTLE GROVE WA 6330</v>
          </cell>
          <cell r="K2153" t="str">
            <v>02101634</v>
          </cell>
        </row>
        <row r="2154">
          <cell r="G2154" t="str">
            <v>SPS PACKER ST BECKENHAM</v>
          </cell>
          <cell r="H2154" t="str">
            <v>S0033061</v>
          </cell>
          <cell r="I2154" t="str">
            <v>PACKER ST</v>
          </cell>
          <cell r="J2154" t="str">
            <v>BECKENHAM WA 6107</v>
          </cell>
          <cell r="K2154" t="str">
            <v>410M187799</v>
          </cell>
        </row>
        <row r="2155">
          <cell r="G2155" t="str">
            <v>SPS VICTOR ST WAGIN</v>
          </cell>
          <cell r="H2155" t="str">
            <v>S031-002-001</v>
          </cell>
          <cell r="I2155" t="str">
            <v>LOT 919 UNION ST</v>
          </cell>
          <cell r="J2155" t="str">
            <v>WAGIN WA 6315</v>
          </cell>
          <cell r="K2155" t="str">
            <v>410AM53513</v>
          </cell>
        </row>
        <row r="2156">
          <cell r="G2156" t="str">
            <v>SPS MAIDMENT PDE DALYELLUP</v>
          </cell>
          <cell r="H2156" t="str">
            <v>S8000900</v>
          </cell>
          <cell r="I2156" t="str">
            <v>LOT 308 MAIDMENT PDE</v>
          </cell>
          <cell r="J2156" t="str">
            <v>DALYELLUP WA 6230</v>
          </cell>
          <cell r="K2156" t="str">
            <v>0148006450</v>
          </cell>
        </row>
        <row r="2157">
          <cell r="G2157" t="str">
            <v>WPS BORDEAUX LA THE VINES</v>
          </cell>
          <cell r="H2157" t="str">
            <v>W2000095</v>
          </cell>
          <cell r="I2157" t="str">
            <v>LOT 409 BORDEAUX LANE THE VINES 6069</v>
          </cell>
          <cell r="J2157" t="str">
            <v>THE VINES WA 6069</v>
          </cell>
          <cell r="K2157" t="str">
            <v>410M145788</v>
          </cell>
        </row>
        <row r="2158">
          <cell r="G2158"/>
          <cell r="H2158" t="e">
            <v>#N/A</v>
          </cell>
          <cell r="I2158" t="str">
            <v>LEAKE ST</v>
          </cell>
          <cell r="J2158" t="str">
            <v>KELLERBERRIN WA 6410</v>
          </cell>
          <cell r="K2158" t="str">
            <v>450M9690</v>
          </cell>
        </row>
        <row r="2159">
          <cell r="G2159" t="str">
            <v>SPS BEST WY BASSENDEAN</v>
          </cell>
          <cell r="H2159" t="str">
            <v>S0030052</v>
          </cell>
          <cell r="I2159" t="str">
            <v>LOT 103 BEST ST</v>
          </cell>
          <cell r="J2159" t="str">
            <v>BASSENDEAN WA 6054</v>
          </cell>
          <cell r="K2159" t="str">
            <v>000000000530001905</v>
          </cell>
        </row>
        <row r="2160">
          <cell r="G2160" t="str">
            <v>BANNISTER RD CVS</v>
          </cell>
          <cell r="H2160" t="str">
            <v>W0012406</v>
          </cell>
          <cell r="I2160" t="str">
            <v>LOT 251 BANNISTER RD</v>
          </cell>
          <cell r="J2160" t="str">
            <v>CANNING VALE WA 6155</v>
          </cell>
          <cell r="K2160" t="str">
            <v>410M142022</v>
          </cell>
        </row>
        <row r="2161">
          <cell r="G2161" t="str">
            <v>SPS HIGH RD FERNDALE</v>
          </cell>
          <cell r="H2161" t="str">
            <v>S0034319</v>
          </cell>
          <cell r="I2161" t="str">
            <v>LOT 445 HIGH RD</v>
          </cell>
          <cell r="J2161" t="str">
            <v>PARKWOOD WA 6147</v>
          </cell>
          <cell r="K2161" t="str">
            <v>0148004196</v>
          </cell>
        </row>
        <row r="2162">
          <cell r="G2162" t="str">
            <v>WTP ROE RD CAPEL</v>
          </cell>
          <cell r="H2162" t="str">
            <v>W0045513</v>
          </cell>
          <cell r="I2162" t="str">
            <v>LOT 240 ROE RD</v>
          </cell>
          <cell r="J2162" t="str">
            <v>CAPEL WA 6271</v>
          </cell>
          <cell r="K2162" t="str">
            <v>0111000054</v>
          </cell>
        </row>
        <row r="2163">
          <cell r="G2163" t="str">
            <v>WTP QUINDALUP SIDING RD QUINDALUP</v>
          </cell>
          <cell r="H2163" t="str">
            <v>W0045735</v>
          </cell>
          <cell r="I2163" t="str">
            <v>QUINDALUP SIDING RD</v>
          </cell>
          <cell r="J2163" t="str">
            <v>QUINDALUP WA 6281</v>
          </cell>
          <cell r="K2163" t="str">
            <v>0211001144</v>
          </cell>
        </row>
        <row r="2164">
          <cell r="G2164" t="str">
            <v>SPS LANCASTER RD MCKAIL</v>
          </cell>
          <cell r="H2164" t="str">
            <v>S7010591</v>
          </cell>
          <cell r="I2164" t="str">
            <v>91 LANCASTER RD</v>
          </cell>
          <cell r="J2164" t="str">
            <v>MCKAIL WA 6330</v>
          </cell>
          <cell r="K2164" t="str">
            <v>0350006158</v>
          </cell>
        </row>
        <row r="2165">
          <cell r="G2165" t="str">
            <v>SPS MILROY ST WILLAGEE</v>
          </cell>
          <cell r="H2165" t="str">
            <v>S0033807</v>
          </cell>
          <cell r="I2165" t="str">
            <v>MILROY ST</v>
          </cell>
          <cell r="J2165" t="str">
            <v>WILLAGEE WA 6156</v>
          </cell>
          <cell r="K2165" t="str">
            <v>0081000233</v>
          </cell>
        </row>
        <row r="2166">
          <cell r="G2166" t="str">
            <v>BORE SITE P40</v>
          </cell>
          <cell r="H2166" t="str">
            <v>W1001498</v>
          </cell>
          <cell r="I2166" t="str">
            <v>LOT 40P PERRY RD</v>
          </cell>
          <cell r="J2166" t="str">
            <v>PINJAR WA 6065</v>
          </cell>
          <cell r="K2166" t="str">
            <v>0148004549</v>
          </cell>
        </row>
        <row r="2167">
          <cell r="G2167" t="str">
            <v>BORE SITE W275</v>
          </cell>
          <cell r="H2167" t="str">
            <v>W1001601</v>
          </cell>
          <cell r="I2167" t="str">
            <v>LOT 275W TOWNSEND RD</v>
          </cell>
          <cell r="J2167" t="str">
            <v>JANDABUP WA 6065</v>
          </cell>
          <cell r="K2167" t="str">
            <v>0136006209</v>
          </cell>
        </row>
        <row r="2168">
          <cell r="G2168" t="str">
            <v>SPS COULSON WY CANNING VALE</v>
          </cell>
          <cell r="H2168" t="str">
            <v>S0034277</v>
          </cell>
          <cell r="I2168" t="str">
            <v>LOT 32 COULSON WAY</v>
          </cell>
          <cell r="J2168" t="str">
            <v>CANNING VALE WA 6155</v>
          </cell>
          <cell r="K2168" t="str">
            <v>0136004381</v>
          </cell>
        </row>
        <row r="2169">
          <cell r="G2169" t="str">
            <v>SPS CARENIUP AV GWELUP</v>
          </cell>
          <cell r="H2169" t="str">
            <v>S0028288</v>
          </cell>
          <cell r="I2169" t="str">
            <v>CARENIUP AVE</v>
          </cell>
          <cell r="J2169" t="str">
            <v>GWELUP WA 6018</v>
          </cell>
          <cell r="K2169" t="str">
            <v>0081000696</v>
          </cell>
        </row>
        <row r="2170">
          <cell r="G2170" t="str">
            <v>SPS CENTURION WAY WEST BUSSELTON</v>
          </cell>
          <cell r="H2170" t="str">
            <v>S0044293</v>
          </cell>
          <cell r="I2170" t="str">
            <v>LOT 385 CENTURIAN WAY</v>
          </cell>
          <cell r="J2170" t="str">
            <v>BUSSELTON WA 6280</v>
          </cell>
          <cell r="K2170" t="str">
            <v>0136001215</v>
          </cell>
        </row>
        <row r="2171">
          <cell r="G2171" t="str">
            <v>SPS CONISTON WY FERNDALE</v>
          </cell>
          <cell r="H2171" t="str">
            <v>S0034270</v>
          </cell>
          <cell r="I2171" t="str">
            <v>U43 57 CONISTON WAY</v>
          </cell>
          <cell r="J2171" t="str">
            <v>FERNDALE WA 6148</v>
          </cell>
          <cell r="K2171" t="str">
            <v>0148001601</v>
          </cell>
        </row>
        <row r="2172">
          <cell r="G2172" t="str">
            <v>WPS WEEDON HILL DENMARK</v>
          </cell>
          <cell r="H2172" t="str">
            <v>W7000437</v>
          </cell>
          <cell r="I2172" t="str">
            <v>LOT 7174 GILBERT AVE</v>
          </cell>
          <cell r="J2172" t="str">
            <v>DENMARK WA 6333</v>
          </cell>
          <cell r="K2172" t="str">
            <v>410M197933</v>
          </cell>
        </row>
        <row r="2173">
          <cell r="G2173" t="str">
            <v>SPS PARAKEET WY COOGEE</v>
          </cell>
          <cell r="H2173" t="str">
            <v>S0033300</v>
          </cell>
          <cell r="I2173" t="str">
            <v>LOT 114 PARAKEET WAY</v>
          </cell>
          <cell r="J2173" t="str">
            <v>COOGEE WA 6166</v>
          </cell>
          <cell r="K2173" t="str">
            <v>0148005039</v>
          </cell>
        </row>
        <row r="2174">
          <cell r="G2174" t="str">
            <v>DEPOT BUSSELTON</v>
          </cell>
          <cell r="H2174" t="str">
            <v>C0043861</v>
          </cell>
          <cell r="I2174" t="str">
            <v>LOC 33863 QUEEN ELIZABETH AVE</v>
          </cell>
          <cell r="J2174" t="str">
            <v>BUSSELTON WA 6280</v>
          </cell>
          <cell r="K2174" t="str">
            <v>000000000214001411</v>
          </cell>
        </row>
        <row r="2175">
          <cell r="G2175" t="str">
            <v>SPS LADY LINDSAY CE YANCHEP</v>
          </cell>
          <cell r="H2175" t="str">
            <v>S2013763</v>
          </cell>
          <cell r="I2175" t="str">
            <v>LOC 9308 LADY LINDSAY COVE</v>
          </cell>
          <cell r="J2175" t="str">
            <v>YANCHEP WA 6035</v>
          </cell>
          <cell r="K2175" t="str">
            <v>0180011589</v>
          </cell>
        </row>
        <row r="2176">
          <cell r="G2176" t="str">
            <v>RESERVOIR WSC BURNS BEACH RD NEERABUP</v>
          </cell>
          <cell r="H2176" t="str">
            <v>W0035567</v>
          </cell>
          <cell r="I2176" t="str">
            <v>BURNS BEACH RD</v>
          </cell>
          <cell r="J2176" t="str">
            <v>NEERABUP WA 6031</v>
          </cell>
          <cell r="K2176" t="str">
            <v>410M180163</v>
          </cell>
        </row>
        <row r="2177">
          <cell r="G2177" t="str">
            <v>SPS ARMAGH ST VICTORIA PARK</v>
          </cell>
          <cell r="H2177" t="str">
            <v>S0033952</v>
          </cell>
          <cell r="I2177" t="str">
            <v>LOT 2229 THELMA ST</v>
          </cell>
          <cell r="J2177" t="str">
            <v>COMO WA 6152</v>
          </cell>
          <cell r="K2177" t="str">
            <v>0200093049</v>
          </cell>
        </row>
        <row r="2178">
          <cell r="G2178" t="str">
            <v>SPS 1 SOUTH ST YORK</v>
          </cell>
          <cell r="H2178" t="str">
            <v>S0018775</v>
          </cell>
          <cell r="I2178" t="str">
            <v>LOT 29 MONGER ST</v>
          </cell>
          <cell r="J2178" t="str">
            <v>YORK WA 6302</v>
          </cell>
          <cell r="K2178" t="str">
            <v>410M187861</v>
          </cell>
        </row>
        <row r="2179">
          <cell r="G2179" t="str">
            <v>BORE 02-75 MARMION ST</v>
          </cell>
          <cell r="H2179" t="str">
            <v>W0045629</v>
          </cell>
          <cell r="I2179" t="str">
            <v>45 MARMION ST</v>
          </cell>
          <cell r="J2179" t="str">
            <v>DONNYBROOK WA 6239</v>
          </cell>
          <cell r="K2179" t="str">
            <v>0148003181</v>
          </cell>
        </row>
        <row r="2180">
          <cell r="G2180" t="str">
            <v>BORE 48-75 PRISON</v>
          </cell>
          <cell r="H2180" t="str">
            <v>W0023383</v>
          </cell>
          <cell r="I2180" t="str">
            <v>48 PRINCESS AVE</v>
          </cell>
          <cell r="J2180" t="str">
            <v>ROBINSON  WA  6330</v>
          </cell>
          <cell r="K2180" t="str">
            <v>002101670</v>
          </cell>
        </row>
        <row r="2181">
          <cell r="G2181" t="str">
            <v>SPS JEEDA CLOSE BAYONET HEAD</v>
          </cell>
          <cell r="H2181" t="str">
            <v>S0022303</v>
          </cell>
          <cell r="I2181" t="str">
            <v>LOT 598 JEEDA CL</v>
          </cell>
          <cell r="J2181" t="str">
            <v>BAYONET HEAD WA 6330</v>
          </cell>
          <cell r="K2181" t="str">
            <v>410M114467</v>
          </cell>
        </row>
        <row r="2182">
          <cell r="G2182" t="str">
            <v>WWTP DAVIS RD WOKALUP</v>
          </cell>
          <cell r="H2182" t="str">
            <v>S090-001-003</v>
          </cell>
          <cell r="I2182" t="str">
            <v>LOT 270 ACACIA LANE</v>
          </cell>
          <cell r="J2182" t="str">
            <v>HARVEY WA 6220</v>
          </cell>
          <cell r="K2182" t="str">
            <v>0148002610</v>
          </cell>
        </row>
        <row r="2183">
          <cell r="G2183" t="str">
            <v>SPS LEDGE POINT RD LEDGE POINT</v>
          </cell>
          <cell r="H2183" t="str">
            <v>S0038000</v>
          </cell>
          <cell r="I2183" t="str">
            <v>LOT 434 LEDGE POINT RD</v>
          </cell>
          <cell r="J2183" t="str">
            <v>LEDGE POINT WA 6043</v>
          </cell>
          <cell r="K2183" t="str">
            <v>0350022645</v>
          </cell>
        </row>
        <row r="2184">
          <cell r="G2184" t="str">
            <v>VPS WATERLILY DR DUDLEY PARK</v>
          </cell>
          <cell r="H2184" t="str">
            <v>S8008197</v>
          </cell>
          <cell r="I2184" t="str">
            <v>LOT 8008 WATERLILY DR</v>
          </cell>
          <cell r="J2184" t="str">
            <v>DUDLEY PARK WA 6210</v>
          </cell>
          <cell r="K2184" t="str">
            <v>0380002088</v>
          </cell>
        </row>
        <row r="2185">
          <cell r="G2185" t="str">
            <v>SPS ANGOVE DR HILLARYS</v>
          </cell>
          <cell r="H2185" t="str">
            <v>S0028234</v>
          </cell>
          <cell r="I2185" t="str">
            <v>U42 ANGOVE DR</v>
          </cell>
          <cell r="J2185" t="str">
            <v>HILLARYS WA 6025</v>
          </cell>
          <cell r="K2185" t="str">
            <v>0102000243</v>
          </cell>
        </row>
        <row r="2186">
          <cell r="G2186" t="str">
            <v>SPS COOMEL CL HILLMAN</v>
          </cell>
          <cell r="H2186" t="str">
            <v>S0030405</v>
          </cell>
          <cell r="I2186" t="str">
            <v>COOMEL CL</v>
          </cell>
          <cell r="J2186" t="str">
            <v>HILLMAN WA 6168</v>
          </cell>
          <cell r="K2186" t="str">
            <v>410M13476</v>
          </cell>
        </row>
        <row r="2187">
          <cell r="G2187" t="str">
            <v>SPS BEAUFORT ST KATANNING</v>
          </cell>
          <cell r="H2187" t="str">
            <v>S025-002-002</v>
          </cell>
          <cell r="I2187" t="str">
            <v>LOT 983 LANGLEY ST</v>
          </cell>
          <cell r="J2187" t="str">
            <v>KATANNING WA 6317</v>
          </cell>
          <cell r="K2187" t="str">
            <v>0380001191</v>
          </cell>
        </row>
        <row r="2188">
          <cell r="G2188" t="str">
            <v>SPS COLLINS WY LANCELIN</v>
          </cell>
          <cell r="H2188" t="str">
            <v>S0037977</v>
          </cell>
          <cell r="I2188" t="str">
            <v>LOT 694 CASSERLEY WAY</v>
          </cell>
          <cell r="J2188" t="str">
            <v>LANCELIN WA 6044</v>
          </cell>
          <cell r="K2188" t="str">
            <v>410M151287</v>
          </cell>
        </row>
        <row r="2189">
          <cell r="G2189" t="str">
            <v>WPS KARLGARIN RD KARLGARIN</v>
          </cell>
          <cell r="H2189" t="str">
            <v>W7003427</v>
          </cell>
          <cell r="I2189" t="str">
            <v>LOC 29363 KONDININ-HYDEN RD</v>
          </cell>
          <cell r="J2189" t="str">
            <v>KARLGARIN WA 6358</v>
          </cell>
          <cell r="K2189" t="str">
            <v>410M173510</v>
          </cell>
        </row>
        <row r="2190">
          <cell r="G2190" t="str">
            <v>SPS SAUNDERS ST COMO</v>
          </cell>
          <cell r="H2190" t="str">
            <v>S0034167</v>
          </cell>
          <cell r="I2190" t="str">
            <v>SAUNDERS ST</v>
          </cell>
          <cell r="J2190" t="str">
            <v>COMO WA 6152</v>
          </cell>
          <cell r="K2190" t="str">
            <v>0350003316</v>
          </cell>
        </row>
        <row r="2191">
          <cell r="G2191" t="str">
            <v>SPS KEMPTON ST BLUFF POINT</v>
          </cell>
          <cell r="H2191" t="str">
            <v>S0037774</v>
          </cell>
          <cell r="I2191" t="str">
            <v>LOC 20127 KEMPTON ST</v>
          </cell>
          <cell r="J2191" t="str">
            <v>BLUFF POINT WA 6530</v>
          </cell>
          <cell r="K2191" t="str">
            <v>410M172413</v>
          </cell>
        </row>
        <row r="2192">
          <cell r="G2192" t="str">
            <v>SAMSON BROOK WTP</v>
          </cell>
          <cell r="H2192" t="str">
            <v>W1006486</v>
          </cell>
          <cell r="I2192" t="str">
            <v>LOCN 3 SOUTH WESTERN HWY</v>
          </cell>
          <cell r="J2192" t="str">
            <v>WAROONA WA 6215</v>
          </cell>
          <cell r="K2192" t="str">
            <v>0295000045</v>
          </cell>
        </row>
        <row r="2193">
          <cell r="G2193" t="str">
            <v>WPS KARALEE</v>
          </cell>
          <cell r="H2193" t="str">
            <v>W0021103</v>
          </cell>
          <cell r="I2193" t="str">
            <v>LOCN 3531 GREAT EASTERN HWY</v>
          </cell>
          <cell r="J2193" t="str">
            <v>KARALEE WA 6426</v>
          </cell>
          <cell r="K2193" t="str">
            <v>0142000045</v>
          </cell>
        </row>
        <row r="2194">
          <cell r="G2194" t="str">
            <v>SPS COODE ST MT LAWLEY</v>
          </cell>
          <cell r="H2194" t="str">
            <v>S0031673</v>
          </cell>
          <cell r="I2194" t="str">
            <v>COODE ST</v>
          </cell>
          <cell r="J2194" t="str">
            <v>MOUNT LAWLEY WA 6050</v>
          </cell>
          <cell r="K2194" t="str">
            <v>410M9011</v>
          </cell>
        </row>
        <row r="2195">
          <cell r="G2195" t="str">
            <v>BORE SITE MOUNTS BAY BORE MB1</v>
          </cell>
          <cell r="H2195" t="str">
            <v>W1001631</v>
          </cell>
          <cell r="I2195" t="str">
            <v>LOT 650 MOUNTS BAY RD</v>
          </cell>
          <cell r="J2195" t="str">
            <v>KINGS PARK WA 6005</v>
          </cell>
          <cell r="K2195" t="str">
            <v>001400561</v>
          </cell>
        </row>
        <row r="2196">
          <cell r="G2196" t="str">
            <v>WSC NABAWA</v>
          </cell>
          <cell r="H2196" t="str">
            <v>W0042422</v>
          </cell>
          <cell r="I2196" t="str">
            <v>LOT 23445 YUNA RD STH</v>
          </cell>
          <cell r="J2196" t="str">
            <v>NABAWA WA 6532</v>
          </cell>
          <cell r="K2196" t="str">
            <v>0380005324</v>
          </cell>
        </row>
        <row r="2197">
          <cell r="G2197" t="str">
            <v>SPS BURKE DR ATTADALE</v>
          </cell>
          <cell r="H2197" t="str">
            <v>S0033607</v>
          </cell>
          <cell r="I2197" t="str">
            <v>BURKE DR</v>
          </cell>
          <cell r="J2197" t="str">
            <v>ATTADALE WA 6156</v>
          </cell>
          <cell r="K2197" t="str">
            <v>450M22334</v>
          </cell>
        </row>
        <row r="2198">
          <cell r="G2198" t="str">
            <v>SPS KYEEMA WY ELLENBROOK</v>
          </cell>
          <cell r="H2198" t="str">
            <v>S0029167</v>
          </cell>
          <cell r="I2198" t="str">
            <v>10 KYEEMA WAY</v>
          </cell>
          <cell r="J2198" t="str">
            <v>ELLENBROOK WA 6069</v>
          </cell>
          <cell r="K2198" t="str">
            <v>410M189167</v>
          </cell>
        </row>
        <row r="2199">
          <cell r="G2199" t="str">
            <v>SPS REUSE POZZI RD DINGUP</v>
          </cell>
          <cell r="H2199" t="str">
            <v>S8000470</v>
          </cell>
          <cell r="I2199" t="str">
            <v>LOT 1671 POZZI RD</v>
          </cell>
          <cell r="J2199" t="str">
            <v>MANJIMUP  WA  6258</v>
          </cell>
          <cell r="K2199" t="str">
            <v>0136006255</v>
          </cell>
        </row>
        <row r="2200">
          <cell r="G2200" t="str">
            <v>SPS CAUSEWAY EAST PERTH</v>
          </cell>
          <cell r="H2200" t="str">
            <v>S0030876</v>
          </cell>
          <cell r="I2200" t="str">
            <v>U42 ADELAIDE TERRACE</v>
          </cell>
          <cell r="J2200" t="str">
            <v>PERTH WA 6000</v>
          </cell>
          <cell r="K2200" t="str">
            <v>002000045</v>
          </cell>
        </row>
        <row r="2201">
          <cell r="G2201" t="str">
            <v>BORE SITE Q170</v>
          </cell>
          <cell r="H2201" t="str">
            <v>W1001008</v>
          </cell>
          <cell r="I2201" t="str">
            <v>LOT 8006 MASTHEAD CL</v>
          </cell>
          <cell r="J2201" t="str">
            <v>JINDALEE WA 6036</v>
          </cell>
          <cell r="K2201" t="str">
            <v>0148005304</v>
          </cell>
        </row>
        <row r="2202">
          <cell r="G2202"/>
          <cell r="H2202" t="e">
            <v>#N/A</v>
          </cell>
          <cell r="I2202" t="str">
            <v>POOLE ST</v>
          </cell>
          <cell r="J2202" t="str">
            <v>NORTHAM WA  6401</v>
          </cell>
          <cell r="K2202" t="str">
            <v>0135000154</v>
          </cell>
        </row>
        <row r="2203">
          <cell r="G2203" t="str">
            <v>BORE 11-66 RESERVE ST</v>
          </cell>
          <cell r="H2203" t="str">
            <v>W0045625</v>
          </cell>
          <cell r="I2203" t="str">
            <v>RESERVE ST</v>
          </cell>
          <cell r="J2203" t="str">
            <v>DONNYBROOK WA 6239</v>
          </cell>
          <cell r="K2203" t="str">
            <v>0148006236</v>
          </cell>
        </row>
        <row r="2204">
          <cell r="G2204" t="str">
            <v>SPS BARNACLE RD DRUMMOND COVE</v>
          </cell>
          <cell r="H2204" t="str">
            <v>S4001137</v>
          </cell>
          <cell r="I2204" t="str">
            <v>BARNACLE RD</v>
          </cell>
          <cell r="J2204" t="str">
            <v>DRUMMOND COVE WA 6532</v>
          </cell>
          <cell r="K2204" t="str">
            <v>0350000159</v>
          </cell>
        </row>
        <row r="2205">
          <cell r="G2205" t="str">
            <v>SPS BICKLEY ST COMO</v>
          </cell>
          <cell r="H2205" t="str">
            <v>S0033987</v>
          </cell>
          <cell r="I2205" t="str">
            <v>CASSEY ST</v>
          </cell>
          <cell r="J2205" t="str">
            <v>COMO WA 6152</v>
          </cell>
          <cell r="K2205" t="str">
            <v>450M22320</v>
          </cell>
        </row>
        <row r="2206">
          <cell r="G2206" t="str">
            <v>SPS KINGSWAY LANDSDALE</v>
          </cell>
          <cell r="H2206" t="str">
            <v>S2015121</v>
          </cell>
          <cell r="I2206" t="str">
            <v>LOT 72 KINGSWAY</v>
          </cell>
          <cell r="J2206" t="str">
            <v>LANDSDALE</v>
          </cell>
          <cell r="K2206" t="str">
            <v>0180020330</v>
          </cell>
        </row>
        <row r="2207">
          <cell r="G2207" t="str">
            <v>METER 300 MOORES PRV2776-PINJARRA</v>
          </cell>
          <cell r="H2207" t="str">
            <v>W8001972</v>
          </cell>
          <cell r="I2207" t="str">
            <v>SUTTON ST</v>
          </cell>
          <cell r="J2207" t="str">
            <v>PINJARRA WA 6208</v>
          </cell>
          <cell r="K2207" t="str">
            <v>15D043863</v>
          </cell>
        </row>
        <row r="2208">
          <cell r="G2208" t="str">
            <v>SPS ROWLEY ST ALBANY</v>
          </cell>
          <cell r="H2208" t="str">
            <v>S0022241</v>
          </cell>
          <cell r="I2208" t="str">
            <v>LOT 7 ROWLEY ST</v>
          </cell>
          <cell r="J2208" t="str">
            <v>ALBANY WA 6330</v>
          </cell>
          <cell r="K2208" t="str">
            <v>410M179347</v>
          </cell>
        </row>
        <row r="2209">
          <cell r="G2209" t="str">
            <v>WPS CROSSMAN RD CROSSMAN</v>
          </cell>
          <cell r="H2209" t="str">
            <v>W7004847</v>
          </cell>
          <cell r="I2209" t="str">
            <v>LOT 71 CROSSMAN RD</v>
          </cell>
          <cell r="J2209" t="str">
            <v>CROSSMAN WA 6390</v>
          </cell>
          <cell r="K2209" t="str">
            <v>0380015896</v>
          </cell>
        </row>
        <row r="2210">
          <cell r="G2210" t="str">
            <v>BORE 01-89 LEDGE POINT</v>
          </cell>
          <cell r="H2210" t="str">
            <v>W0041919</v>
          </cell>
          <cell r="I2210" t="str">
            <v>LOC 11259 LEDGE POINT RD</v>
          </cell>
          <cell r="J2210" t="str">
            <v>LEDGE POINT WA 6043</v>
          </cell>
          <cell r="K2210" t="str">
            <v>0148000057</v>
          </cell>
        </row>
        <row r="2211">
          <cell r="G2211" t="str">
            <v>JOHN TONKIN CENTRE JTC</v>
          </cell>
          <cell r="H2211" t="str">
            <v>C0059086</v>
          </cell>
          <cell r="I2211" t="str">
            <v>LOT 100 LOFTUS ST</v>
          </cell>
          <cell r="J2211" t="str">
            <v>LEEDERVILLE WA 6007</v>
          </cell>
          <cell r="K2211" t="str">
            <v>0221000164</v>
          </cell>
        </row>
        <row r="2212">
          <cell r="G2212" t="str">
            <v>WWTP WILLIAMS</v>
          </cell>
          <cell r="H2212" t="str">
            <v>S108-003-001</v>
          </cell>
          <cell r="I2212" t="str">
            <v>LOT 13 MILLBROOK PL</v>
          </cell>
          <cell r="J2212" t="str">
            <v>WILLIAMS WA 6391</v>
          </cell>
          <cell r="K2212" t="str">
            <v>15D087770</v>
          </cell>
        </row>
        <row r="2213">
          <cell r="G2213" t="str">
            <v>DAM BUREKUP WEIR</v>
          </cell>
          <cell r="H2213" t="str">
            <v>W0046430</v>
          </cell>
          <cell r="I2213" t="str">
            <v>420 COLLIE RIVER RD</v>
          </cell>
          <cell r="J2213" t="str">
            <v>BUREKUP WA 6227</v>
          </cell>
          <cell r="K2213" t="str">
            <v>15M240130</v>
          </cell>
        </row>
        <row r="2214">
          <cell r="G2214" t="str">
            <v>COMMON FACILITIES NARROGIN</v>
          </cell>
          <cell r="H2214" t="str">
            <v>C003-009</v>
          </cell>
          <cell r="I2214" t="str">
            <v>LOT 50 BOXSELL RD</v>
          </cell>
          <cell r="J2214" t="str">
            <v>HILLSIDE WA 6312</v>
          </cell>
          <cell r="K2214" t="str">
            <v>15M108134</v>
          </cell>
        </row>
        <row r="2215">
          <cell r="G2215" t="str">
            <v>SPS BORDEAUX LANE THE VINES</v>
          </cell>
          <cell r="H2215" t="str">
            <v>S2003188</v>
          </cell>
          <cell r="I2215" t="str">
            <v>LOT 931 BORDEAUX LA</v>
          </cell>
          <cell r="J2215" t="str">
            <v>THE VINES WA 6069</v>
          </cell>
          <cell r="K2215" t="str">
            <v>0248000485</v>
          </cell>
        </row>
        <row r="2216">
          <cell r="G2216" t="str">
            <v>SPS HOBSON ST GEOGRAPHE</v>
          </cell>
          <cell r="H2216" t="str">
            <v>S0044319</v>
          </cell>
          <cell r="I2216" t="str">
            <v>LOT 5 HOBSON ST</v>
          </cell>
          <cell r="J2216" t="str">
            <v>BUSSELTON WA 6280</v>
          </cell>
          <cell r="K2216" t="str">
            <v>410M113467</v>
          </cell>
        </row>
        <row r="2217">
          <cell r="G2217" t="str">
            <v>WPS WS5G TARIN ROCK</v>
          </cell>
          <cell r="H2217" t="str">
            <v>W7000008</v>
          </cell>
          <cell r="I2217" t="str">
            <v>U54/LOC 13598 DUMBLEYUNG-LAKE GRACE</v>
          </cell>
          <cell r="J2217" t="str">
            <v>TARIN ROCK WA 6353</v>
          </cell>
          <cell r="K2217" t="str">
            <v>410M190306</v>
          </cell>
        </row>
        <row r="2218">
          <cell r="G2218" t="str">
            <v>SPS PORTER ST GWELUP</v>
          </cell>
          <cell r="H2218" t="str">
            <v>S2003245</v>
          </cell>
          <cell r="I2218" t="str">
            <v>PORTER ST</v>
          </cell>
          <cell r="J2218" t="str">
            <v>GWELUP WA 6018</v>
          </cell>
          <cell r="K2218" t="str">
            <v>0148006345</v>
          </cell>
        </row>
        <row r="2219">
          <cell r="G2219" t="str">
            <v>WPS PANORAMA DR PRESTON BEACH</v>
          </cell>
          <cell r="H2219" t="str">
            <v>W0046285</v>
          </cell>
          <cell r="I2219" t="str">
            <v>LOC 5195 PANORAMA DR</v>
          </cell>
          <cell r="J2219" t="str">
            <v>PRESTON BEACH WA 6215</v>
          </cell>
          <cell r="K2219" t="str">
            <v>0148002617</v>
          </cell>
        </row>
        <row r="2220">
          <cell r="G2220" t="str">
            <v>SPS PRINCE REGENT DR HEATHRIDGE</v>
          </cell>
          <cell r="H2220" t="str">
            <v>S0027305</v>
          </cell>
          <cell r="I2220" t="str">
            <v>PRINCE REGENT DR</v>
          </cell>
          <cell r="J2220" t="str">
            <v>HEATHRIDGE WA 6027</v>
          </cell>
          <cell r="K2220" t="str">
            <v>410M71212</v>
          </cell>
        </row>
        <row r="2221">
          <cell r="G2221" t="str">
            <v>TANK EL 1 BURBRIDGE ST MARVEL LOCH</v>
          </cell>
          <cell r="H2221" t="str">
            <v>W0020774</v>
          </cell>
          <cell r="I2221" t="str">
            <v>BURBRIDGE ST</v>
          </cell>
          <cell r="J2221" t="str">
            <v>MARVEL LOCH WA 6426</v>
          </cell>
          <cell r="K2221" t="str">
            <v>15M255529</v>
          </cell>
        </row>
        <row r="2222">
          <cell r="G2222" t="str">
            <v>BORE SITE L310</v>
          </cell>
          <cell r="H2222" t="str">
            <v>W1001425</v>
          </cell>
          <cell r="I2222" t="str">
            <v>LOT 390M GNANGARA RD</v>
          </cell>
          <cell r="J2222" t="str">
            <v>HENLEY BROOK WA 6055</v>
          </cell>
          <cell r="K2222" t="str">
            <v>0148001573</v>
          </cell>
        </row>
        <row r="2223">
          <cell r="G2223" t="str">
            <v>SPS WEST COAST DR WATERMANS BAY</v>
          </cell>
          <cell r="H2223" t="str">
            <v>S2018328</v>
          </cell>
          <cell r="I2223" t="str">
            <v>WEST COAST DRIVE</v>
          </cell>
          <cell r="J2223" t="str">
            <v>WATERMANS BAY WA 6020</v>
          </cell>
          <cell r="K2223" t="str">
            <v>0380001763</v>
          </cell>
        </row>
        <row r="2224">
          <cell r="G2224" t="str">
            <v>SPS BARRY CT EMU POINT</v>
          </cell>
          <cell r="H2224" t="str">
            <v>S7000158</v>
          </cell>
          <cell r="I2224" t="str">
            <v>LOT 1378 EMU POINT DR</v>
          </cell>
          <cell r="J2224" t="str">
            <v>EMU POINT WA 6330</v>
          </cell>
          <cell r="K2224" t="str">
            <v>410M200191</v>
          </cell>
        </row>
        <row r="2225">
          <cell r="G2225" t="str">
            <v>SPS INDIAN OCEAN DR RD LEEMAN</v>
          </cell>
          <cell r="H2225" t="str">
            <v>S0038021</v>
          </cell>
          <cell r="I2225" t="str">
            <v>LOT 430 GREENHEAD RD</v>
          </cell>
          <cell r="J2225" t="str">
            <v>LEEMAN WA 6514</v>
          </cell>
          <cell r="K2225" t="str">
            <v>410M59959</v>
          </cell>
        </row>
        <row r="2226">
          <cell r="G2226" t="str">
            <v>BORE SITE P10</v>
          </cell>
          <cell r="H2226" t="str">
            <v>W1001492</v>
          </cell>
          <cell r="I2226" t="str">
            <v>U41 LOT 10P PERRY RD</v>
          </cell>
          <cell r="J2226" t="str">
            <v>PINJAR WA 6078</v>
          </cell>
          <cell r="K2226" t="str">
            <v>002100184</v>
          </cell>
        </row>
        <row r="2227">
          <cell r="G2227" t="str">
            <v>SOUTH DANDALUP DAM</v>
          </cell>
          <cell r="H2227" t="str">
            <v>W0008262</v>
          </cell>
          <cell r="I2227" t="str">
            <v>LOCN 14 DEL PARK RD</v>
          </cell>
          <cell r="J2227" t="str">
            <v>NORTH DANDALUP WA 6207</v>
          </cell>
          <cell r="K2227" t="str">
            <v>0136005718</v>
          </cell>
        </row>
        <row r="2228">
          <cell r="G2228" t="str">
            <v>WPS LATHAM TRANSFER</v>
          </cell>
          <cell r="H2228" t="str">
            <v>W0040136</v>
          </cell>
          <cell r="I2228" t="str">
            <v>LOT 152 LOADING ST</v>
          </cell>
          <cell r="J2228" t="str">
            <v>PERENJORI WA 6620</v>
          </cell>
          <cell r="K2228" t="str">
            <v>410M136478</v>
          </cell>
        </row>
        <row r="2229">
          <cell r="G2229" t="str">
            <v>CP ZONE LEIPOLD RD 66S SHALLOW</v>
          </cell>
          <cell r="H2229" t="str">
            <v>W0013019</v>
          </cell>
          <cell r="I2229" t="str">
            <v>LOT 2145 LIGHTBODY RD</v>
          </cell>
          <cell r="J2229" t="str">
            <v>MARDELLA WA 6125</v>
          </cell>
          <cell r="K2229" t="str">
            <v>0380015912</v>
          </cell>
        </row>
        <row r="2230">
          <cell r="G2230" t="str">
            <v>WPS GREENVALE PL BANKSIA GROVE</v>
          </cell>
          <cell r="H2230" t="str">
            <v>W2000391</v>
          </cell>
          <cell r="I2230" t="str">
            <v>LOT 70 PINJAR RD</v>
          </cell>
          <cell r="J2230" t="str">
            <v>BANKSIA GROVE WA 6031</v>
          </cell>
          <cell r="K2230" t="str">
            <v>0136002734</v>
          </cell>
        </row>
        <row r="2231">
          <cell r="G2231" t="str">
            <v>#BRANCH CRCS TEMP SPS 901-60 BEELIAR</v>
          </cell>
          <cell r="H2231" t="str">
            <v>S0032831</v>
          </cell>
          <cell r="I2231" t="str">
            <v>L760 BRANCH CRCS</v>
          </cell>
          <cell r="J2231" t="str">
            <v>YANGEBUP WA 6164</v>
          </cell>
          <cell r="K2231" t="str">
            <v>15D030044</v>
          </cell>
        </row>
        <row r="2232">
          <cell r="G2232" t="str">
            <v>SPS WATERVIEW DR WOODVALE</v>
          </cell>
          <cell r="H2232" t="str">
            <v>S2000279</v>
          </cell>
          <cell r="I2232" t="str">
            <v>LOT 25 WATERVIEW DR</v>
          </cell>
          <cell r="J2232" t="str">
            <v>WOODVALE WA 6026</v>
          </cell>
          <cell r="K2232" t="str">
            <v>410M193822</v>
          </cell>
        </row>
        <row r="2233">
          <cell r="G2233" t="str">
            <v>WPS SEXTON ST SAWYERS VALLEY</v>
          </cell>
          <cell r="H2233" t="str">
            <v>W0035541</v>
          </cell>
          <cell r="I2233" t="str">
            <v>LOT 47 SEXTON ST</v>
          </cell>
          <cell r="J2233" t="str">
            <v>SAWYERS VALLEY WA 6074</v>
          </cell>
          <cell r="K2233" t="str">
            <v>410M90679</v>
          </cell>
        </row>
        <row r="2234">
          <cell r="G2234" t="str">
            <v>COCKMAN ROAD CMS</v>
          </cell>
          <cell r="H2234" t="str">
            <v>W0010341</v>
          </cell>
          <cell r="I2234" t="str">
            <v>COCKMAN RD</v>
          </cell>
          <cell r="J2234" t="str">
            <v>GREENWOOD WA 6024</v>
          </cell>
          <cell r="K2234" t="str">
            <v>410M101148</v>
          </cell>
        </row>
        <row r="2235">
          <cell r="G2235" t="str">
            <v>DPS COLIN RD SCARBOROUGH</v>
          </cell>
          <cell r="H2235" t="str">
            <v>D0036276</v>
          </cell>
          <cell r="I2235" t="str">
            <v>COLIN RD</v>
          </cell>
          <cell r="J2235" t="str">
            <v>SCARBOROUGH WA 6019</v>
          </cell>
          <cell r="K2235" t="str">
            <v>001401707</v>
          </cell>
        </row>
        <row r="2236">
          <cell r="G2236" t="str">
            <v>SPS OCEANSIDE PROM MULLALOO</v>
          </cell>
          <cell r="H2236" t="str">
            <v>S2017200</v>
          </cell>
          <cell r="I2236" t="str">
            <v>OCEANSIDE PROM</v>
          </cell>
          <cell r="J2236" t="str">
            <v>MULLALOO WA 6027</v>
          </cell>
          <cell r="K2236" t="str">
            <v>0180035825</v>
          </cell>
        </row>
        <row r="2237">
          <cell r="G2237" t="str">
            <v>SPS OCEAN VIEW DR GREEN HEAD</v>
          </cell>
          <cell r="H2237" t="str">
            <v>S4000785</v>
          </cell>
          <cell r="I2237" t="str">
            <v>LOT 713 OCEAN VIEW DR</v>
          </cell>
          <cell r="J2237" t="str">
            <v>GREEN HEAD WA 6514</v>
          </cell>
          <cell r="K2237" t="str">
            <v>410M196816</v>
          </cell>
        </row>
        <row r="2238">
          <cell r="G2238" t="str">
            <v>BORE 12-85 MT HILL ALLANOOKA</v>
          </cell>
          <cell r="H2238" t="str">
            <v>W0039224</v>
          </cell>
          <cell r="I2238" t="str">
            <v>U53 LOC 640 LOT 640 ALLANOOKA SPRINGS RD</v>
          </cell>
          <cell r="J2238" t="str">
            <v>ALLANOOKA WA 6525</v>
          </cell>
          <cell r="K2238" t="str">
            <v>002101574</v>
          </cell>
        </row>
        <row r="2239">
          <cell r="G2239" t="str">
            <v>WTP OLD COAST RD LESCHENAULT</v>
          </cell>
          <cell r="H2239" t="str">
            <v>W0045264</v>
          </cell>
          <cell r="I2239" t="str">
            <v>OLD COAST RD</v>
          </cell>
          <cell r="J2239" t="str">
            <v>LESCHENAULT WA 6233</v>
          </cell>
          <cell r="K2239" t="str">
            <v>0211001164</v>
          </cell>
        </row>
        <row r="2240">
          <cell r="G2240" t="str">
            <v>BORE SITE TR4</v>
          </cell>
          <cell r="H2240" t="str">
            <v>W1001610</v>
          </cell>
          <cell r="I2240" t="str">
            <v>LOCN 1370 DAMEPATTIE DR</v>
          </cell>
          <cell r="J2240" t="str">
            <v>TWO ROCKS WA 6037</v>
          </cell>
          <cell r="K2240" t="str">
            <v>0148005740</v>
          </cell>
        </row>
        <row r="2241">
          <cell r="G2241" t="str">
            <v>WUNGONG DAM</v>
          </cell>
          <cell r="H2241" t="str">
            <v>W0008978</v>
          </cell>
          <cell r="I2241" t="str">
            <v>ADMIRAL RD</v>
          </cell>
          <cell r="J2241" t="str">
            <v>BEDFORDALE WA 6112</v>
          </cell>
          <cell r="K2241" t="str">
            <v>0136004401</v>
          </cell>
        </row>
        <row r="2242">
          <cell r="G2242" t="str">
            <v>CP TRU 2RICH MAIN SPS RICHMOND ST CANNIN</v>
          </cell>
          <cell r="H2242" t="str">
            <v>S2019272</v>
          </cell>
          <cell r="I2242" t="str">
            <v>LOT 3164 METCALF RD</v>
          </cell>
          <cell r="J2242" t="str">
            <v>FERNDALE WA 6148</v>
          </cell>
          <cell r="K2242" t="str">
            <v>15D070693</v>
          </cell>
        </row>
        <row r="2243">
          <cell r="G2243" t="str">
            <v>SPS WATSON ST EATON</v>
          </cell>
          <cell r="H2243" t="str">
            <v>S8007023</v>
          </cell>
          <cell r="I2243" t="str">
            <v>LOT 403 WATSON ST</v>
          </cell>
          <cell r="J2243" t="str">
            <v>EATON WA 6232</v>
          </cell>
          <cell r="K2243" t="str">
            <v>0350310358</v>
          </cell>
        </row>
        <row r="2244">
          <cell r="G2244" t="str">
            <v>SP BORE 39-74 PRISON</v>
          </cell>
          <cell r="H2244" t="str">
            <v>W7000278</v>
          </cell>
          <cell r="I2244" t="str">
            <v>LOT 39 SAND PIT RD</v>
          </cell>
          <cell r="J2244" t="str">
            <v>CUTHBERT WA 6330</v>
          </cell>
          <cell r="K2244" t="str">
            <v>410M67692</v>
          </cell>
        </row>
        <row r="2245">
          <cell r="G2245" t="str">
            <v>TANK GL 1 WSC EAGLE BAY NATURALISTE</v>
          </cell>
          <cell r="H2245" t="str">
            <v>W8001279</v>
          </cell>
          <cell r="I2245" t="str">
            <v>LOT 21629 EAGLE BAY RD</v>
          </cell>
          <cell r="J2245" t="str">
            <v>MEELUP WA 6281</v>
          </cell>
          <cell r="K2245" t="str">
            <v>15D024022</v>
          </cell>
        </row>
        <row r="2246">
          <cell r="G2246" t="str">
            <v>SPS MAIDEN PARK DR WITHERS</v>
          </cell>
          <cell r="H2246" t="str">
            <v>S0044080</v>
          </cell>
          <cell r="I2246" t="str">
            <v>U51 LOT 613 OCEAN DR</v>
          </cell>
          <cell r="J2246" t="str">
            <v>BUNBURY WA 6230</v>
          </cell>
          <cell r="K2246" t="str">
            <v>0148002049</v>
          </cell>
        </row>
        <row r="2247">
          <cell r="G2247" t="str">
            <v>SPS MORISOT CR ASHBY</v>
          </cell>
          <cell r="H2247" t="str">
            <v>S2009295</v>
          </cell>
          <cell r="I2247" t="str">
            <v>6 MORISOT CRES</v>
          </cell>
          <cell r="J2247" t="str">
            <v>ASHBY WA 6065</v>
          </cell>
          <cell r="K2247" t="str">
            <v>0180013140</v>
          </cell>
        </row>
        <row r="2248">
          <cell r="G2248" t="str">
            <v>WPS NUNGARIN</v>
          </cell>
          <cell r="H2248" t="str">
            <v>W0020248</v>
          </cell>
          <cell r="I2248" t="str">
            <v>DANBERRIN RD</v>
          </cell>
          <cell r="J2248" t="str">
            <v>NUNGARIN WA 6490</v>
          </cell>
          <cell r="K2248" t="str">
            <v>0148005363</v>
          </cell>
        </row>
        <row r="2249">
          <cell r="G2249" t="str">
            <v>WSC MT MELVILLE DRV MT MELVILLE</v>
          </cell>
          <cell r="H2249" t="str">
            <v>W7000602</v>
          </cell>
          <cell r="I2249" t="str">
            <v>35 MELVILLE DR</v>
          </cell>
          <cell r="J2249" t="str">
            <v>MOUNT MELVILLE WA 6330</v>
          </cell>
          <cell r="K2249" t="str">
            <v>15M47414</v>
          </cell>
        </row>
        <row r="2250">
          <cell r="G2250" t="str">
            <v>SPS TUART RD GREENFIELDS</v>
          </cell>
          <cell r="H2250" t="str">
            <v>S0044796</v>
          </cell>
          <cell r="I2250" t="str">
            <v>114 TUART RD</v>
          </cell>
          <cell r="J2250" t="str">
            <v>GREENFIELDS WA 6210</v>
          </cell>
          <cell r="K2250" t="str">
            <v>0148005371</v>
          </cell>
        </row>
        <row r="2251">
          <cell r="G2251" t="str">
            <v>KWINANA WASTEWATER TREATMENT PLANT (NEW)</v>
          </cell>
          <cell r="H2251" t="str">
            <v>S001-001-027</v>
          </cell>
          <cell r="I2251" t="str">
            <v>MCLAUGHLAN RD</v>
          </cell>
          <cell r="J2251" t="str">
            <v>POSTANS WA 6167</v>
          </cell>
          <cell r="K2251" t="str">
            <v>0138000157</v>
          </cell>
        </row>
        <row r="2252">
          <cell r="G2252" t="str">
            <v>SPS DELTA DR SOUTH YUNDERUP</v>
          </cell>
          <cell r="H2252" t="str">
            <v>S0045039</v>
          </cell>
          <cell r="I2252" t="str">
            <v>LOT 253 DELTA DR</v>
          </cell>
          <cell r="J2252" t="str">
            <v>SOUTH YUNDERUP WA 6208</v>
          </cell>
          <cell r="K2252" t="str">
            <v>0350030847</v>
          </cell>
        </row>
        <row r="2253">
          <cell r="G2253" t="str">
            <v>DPS STAR ST CARLISLE</v>
          </cell>
          <cell r="H2253" t="str">
            <v>D0036437</v>
          </cell>
          <cell r="I2253" t="str">
            <v>STAR ST</v>
          </cell>
          <cell r="J2253" t="str">
            <v>CARLISLE WA 6101</v>
          </cell>
          <cell r="K2253" t="str">
            <v>410M141664</v>
          </cell>
        </row>
        <row r="2254">
          <cell r="G2254" t="str">
            <v>SPS WANNEROO RD CARRAMAR</v>
          </cell>
          <cell r="H2254" t="str">
            <v>S0029149</v>
          </cell>
          <cell r="I2254" t="str">
            <v>LOT 357 WANNEROO RD</v>
          </cell>
          <cell r="J2254" t="str">
            <v>CARRAMAR WA 6031</v>
          </cell>
          <cell r="K2254" t="str">
            <v>0136003338</v>
          </cell>
        </row>
        <row r="2255">
          <cell r="G2255" t="str">
            <v>BORE SITE M20</v>
          </cell>
          <cell r="H2255" t="str">
            <v>W1001321</v>
          </cell>
          <cell r="I2255" t="str">
            <v>LOT 10 ILLAWARRA CRES</v>
          </cell>
          <cell r="J2255" t="str">
            <v>BALLAJURA WA 6066</v>
          </cell>
          <cell r="K2255" t="str">
            <v>0148005745</v>
          </cell>
        </row>
        <row r="2256">
          <cell r="G2256" t="str">
            <v>SPS OCEAN REEF RD OCEAN REEF</v>
          </cell>
          <cell r="H2256" t="str">
            <v>S0027296</v>
          </cell>
          <cell r="I2256" t="str">
            <v>LOT 50 OCEAN REEF RD</v>
          </cell>
          <cell r="J2256" t="str">
            <v>OCEAN REEF WA 6027</v>
          </cell>
          <cell r="K2256" t="str">
            <v>0148006327</v>
          </cell>
        </row>
        <row r="2257">
          <cell r="G2257" t="str">
            <v>SP BORE 43-75 PRISON</v>
          </cell>
          <cell r="H2257" t="str">
            <v>W7000281</v>
          </cell>
          <cell r="I2257" t="str">
            <v>LOT 43P SAND PIT RD</v>
          </cell>
          <cell r="J2257" t="str">
            <v>CUTHBERT WA 6330</v>
          </cell>
          <cell r="K2257" t="str">
            <v>0148005776</v>
          </cell>
        </row>
        <row r="2258">
          <cell r="G2258" t="str">
            <v>SPS WANNEROO RD NEERABUP</v>
          </cell>
          <cell r="H2258" t="str">
            <v>S2019040</v>
          </cell>
          <cell r="I2258" t="str">
            <v>LOT 1708 WANNEROO RD</v>
          </cell>
          <cell r="J2258" t="str">
            <v>NEERABUP WA 6031</v>
          </cell>
          <cell r="K2258" t="str">
            <v>0211001048</v>
          </cell>
        </row>
        <row r="2259">
          <cell r="G2259" t="str">
            <v>SPS DAMPIER AV KALLAROO</v>
          </cell>
          <cell r="H2259" t="str">
            <v>S0028325</v>
          </cell>
          <cell r="I2259" t="str">
            <v>LOT 9212 WHITFORDS AVE</v>
          </cell>
          <cell r="J2259" t="str">
            <v>HILLARYS WA 6025</v>
          </cell>
          <cell r="K2259" t="str">
            <v>0148002885</v>
          </cell>
        </row>
        <row r="2260">
          <cell r="G2260" t="str">
            <v>WWTP 2 GERALDTON</v>
          </cell>
          <cell r="H2260" t="str">
            <v>S064-002-004</v>
          </cell>
          <cell r="I2260" t="str">
            <v>LOT 1956 EIGHTH ST</v>
          </cell>
          <cell r="J2260" t="str">
            <v>UTAKARRA WA 6530</v>
          </cell>
          <cell r="K2260" t="str">
            <v>0136006025</v>
          </cell>
        </row>
        <row r="2261">
          <cell r="G2261" t="str">
            <v>BOREFIELD YERECOIN</v>
          </cell>
          <cell r="H2261" t="str">
            <v>W0042911</v>
          </cell>
          <cell r="I2261" t="str">
            <v>LOC 1958</v>
          </cell>
          <cell r="J2261" t="str">
            <v>YERECOIN WA 6571</v>
          </cell>
          <cell r="K2261" t="str">
            <v>210AM1588</v>
          </cell>
        </row>
        <row r="2262">
          <cell r="G2262" t="str">
            <v>BOREFIELD WATHEROO</v>
          </cell>
          <cell r="H2262" t="str">
            <v>W0042746</v>
          </cell>
          <cell r="I2262" t="str">
            <v>LOC 2424</v>
          </cell>
          <cell r="J2262" t="str">
            <v>WATHEROO WA 6513</v>
          </cell>
          <cell r="K2262" t="str">
            <v>210M36215</v>
          </cell>
        </row>
        <row r="2263">
          <cell r="G2263"/>
          <cell r="H2263" t="e">
            <v>#N/A</v>
          </cell>
          <cell r="I2263" t="str">
            <v>HSE NO 604 LOT 100 NEWCASTLE ST</v>
          </cell>
          <cell r="J2263" t="str">
            <v>LEEDERVILLE WA 6007</v>
          </cell>
          <cell r="K2263" t="str">
            <v>0180016393</v>
          </cell>
        </row>
        <row r="2264">
          <cell r="G2264" t="str">
            <v>WPS WUBIN TANK</v>
          </cell>
          <cell r="H2264" t="str">
            <v>W5017230</v>
          </cell>
          <cell r="I2264" t="str">
            <v>LOC 27522 GT NORTHERN HWY</v>
          </cell>
          <cell r="J2264" t="str">
            <v>WUBIN WA 6612</v>
          </cell>
          <cell r="K2264" t="str">
            <v>0200031515</v>
          </cell>
        </row>
        <row r="2265">
          <cell r="G2265" t="str">
            <v>COMP BASIN BARTRAM RD BEELIAR</v>
          </cell>
          <cell r="H2265" t="str">
            <v>D0036701</v>
          </cell>
          <cell r="I2265" t="str">
            <v>LOT 41 BARTRAM RD</v>
          </cell>
          <cell r="J2265" t="str">
            <v>JANDAKOT WA 6164</v>
          </cell>
          <cell r="K2265" t="str">
            <v>410M164947</v>
          </cell>
        </row>
        <row r="2266">
          <cell r="G2266" t="str">
            <v>BORE 02-96 SOVEREIGN HILL</v>
          </cell>
          <cell r="H2266" t="str">
            <v>W0042723</v>
          </cell>
          <cell r="I2266" t="str">
            <v>LOT 15 SOVEREIGN HILL DR</v>
          </cell>
          <cell r="J2266" t="str">
            <v>GABBADAH WA 6041</v>
          </cell>
          <cell r="K2266" t="str">
            <v>450M14301</v>
          </cell>
        </row>
        <row r="2267">
          <cell r="G2267" t="str">
            <v>PINJARRA WATER TELEM SITE 2110 CARC PRV</v>
          </cell>
          <cell r="H2267" t="str">
            <v>W0046277</v>
          </cell>
          <cell r="I2267" t="str">
            <v>CARCOOLA AVE</v>
          </cell>
          <cell r="J2267" t="str">
            <v>PINJARRA</v>
          </cell>
          <cell r="K2267" t="str">
            <v>15M273765</v>
          </cell>
        </row>
        <row r="2268">
          <cell r="G2268" t="str">
            <v>BORE SITE P130</v>
          </cell>
          <cell r="H2268" t="str">
            <v>W1001516</v>
          </cell>
          <cell r="I2268" t="str">
            <v>LOT 130P PERRY RD</v>
          </cell>
          <cell r="J2268" t="str">
            <v>PINJAR WA 6065</v>
          </cell>
          <cell r="K2268" t="str">
            <v>0136003778</v>
          </cell>
        </row>
        <row r="2269">
          <cell r="G2269" t="str">
            <v>SPS BRUCE ST NORTH FREMANTLE</v>
          </cell>
          <cell r="H2269" t="str">
            <v>S0033146</v>
          </cell>
          <cell r="I2269" t="str">
            <v>LOT 1001 STIRLING HWY</v>
          </cell>
          <cell r="J2269" t="str">
            <v>NORTH FREMANTLE WA 6159</v>
          </cell>
          <cell r="K2269" t="str">
            <v>450M22331</v>
          </cell>
        </row>
        <row r="2270">
          <cell r="G2270" t="str">
            <v>SPS CASUARINA DR BUNBURY</v>
          </cell>
          <cell r="H2270" t="str">
            <v>S0044033</v>
          </cell>
          <cell r="I2270" t="str">
            <v>CASUARINA DR</v>
          </cell>
          <cell r="J2270" t="str">
            <v>BUNBURY WA 6230</v>
          </cell>
          <cell r="K2270" t="str">
            <v>410M175454</v>
          </cell>
        </row>
        <row r="2271">
          <cell r="G2271"/>
          <cell r="H2271" t="e">
            <v>#N/A</v>
          </cell>
          <cell r="I2271" t="str">
            <v>262 PLANET ST</v>
          </cell>
          <cell r="J2271" t="str">
            <v>WELSHPOOL WA 6106</v>
          </cell>
          <cell r="K2271" t="str">
            <v>410M197849</v>
          </cell>
        </row>
        <row r="2272">
          <cell r="G2272" t="str">
            <v>SPS EDELINE ST SPEARWOOD</v>
          </cell>
          <cell r="H2272" t="str">
            <v>S2019242</v>
          </cell>
          <cell r="I2272" t="str">
            <v>LOT 111 EDELINE ST</v>
          </cell>
          <cell r="J2272" t="str">
            <v>SPEARWOOD WA 6163</v>
          </cell>
          <cell r="K2272" t="str">
            <v>0350024459</v>
          </cell>
        </row>
        <row r="2273">
          <cell r="G2273" t="str">
            <v>WPS CHIDLOW</v>
          </cell>
          <cell r="H2273" t="str">
            <v>W0021002</v>
          </cell>
          <cell r="I2273" t="str">
            <v>LOT 8995 THOMAS ST</v>
          </cell>
          <cell r="J2273" t="str">
            <v>CHIDLOW WA 6556</v>
          </cell>
          <cell r="K2273" t="str">
            <v>0221000093</v>
          </cell>
        </row>
        <row r="2274">
          <cell r="G2274" t="str">
            <v>WPS WD14 FENCE RD MOULYINNING</v>
          </cell>
          <cell r="H2274" t="str">
            <v>W049-003-004-020-012-001</v>
          </cell>
          <cell r="I2274" t="str">
            <v>LOC 7994</v>
          </cell>
          <cell r="J2274" t="str">
            <v>KUKERIN WA 6352</v>
          </cell>
          <cell r="K2274" t="str">
            <v>210M32381</v>
          </cell>
        </row>
        <row r="2275">
          <cell r="G2275" t="str">
            <v>WPS DAM 2 CRANBROOK</v>
          </cell>
          <cell r="H2275" t="str">
            <v>W044-001-001-005</v>
          </cell>
          <cell r="I2275" t="str">
            <v>LOT 244 HARDY ST</v>
          </cell>
          <cell r="J2275" t="str">
            <v>CRANBROOK WA 6321</v>
          </cell>
          <cell r="K2275" t="str">
            <v>210AM4095</v>
          </cell>
        </row>
        <row r="2276">
          <cell r="G2276" t="str">
            <v>SPS WANAPING RD KENWICK</v>
          </cell>
          <cell r="H2276" t="str">
            <v>S0033506</v>
          </cell>
          <cell r="I2276" t="str">
            <v>LOT 14 WANAPING RD</v>
          </cell>
          <cell r="J2276" t="str">
            <v>KENWICK WA 6107</v>
          </cell>
          <cell r="K2276" t="str">
            <v>410M189806</v>
          </cell>
        </row>
        <row r="2277">
          <cell r="G2277" t="str">
            <v>VICTORIA RESERVOIR</v>
          </cell>
          <cell r="H2277" t="str">
            <v>W0008557</v>
          </cell>
          <cell r="I2277" t="str">
            <v>MASONMILL RD</v>
          </cell>
          <cell r="J2277" t="str">
            <v>CARMEL WA 6076</v>
          </cell>
          <cell r="K2277" t="str">
            <v>0204000127</v>
          </cell>
        </row>
        <row r="2278">
          <cell r="G2278" t="str">
            <v>SPS BRITTAIN RD CAREY PARK</v>
          </cell>
          <cell r="H2278" t="str">
            <v>S0044027</v>
          </cell>
          <cell r="I2278" t="str">
            <v>BRITTAIN RD</v>
          </cell>
          <cell r="J2278" t="str">
            <v>BUNBURY WA 6230</v>
          </cell>
          <cell r="K2278" t="str">
            <v>0148002046</v>
          </cell>
        </row>
        <row r="2279">
          <cell r="G2279" t="str">
            <v>TALBOT ROAD (EAST) CVS</v>
          </cell>
          <cell r="H2279" t="str">
            <v>W0011941</v>
          </cell>
          <cell r="I2279" t="str">
            <v>LOT 9 TALBOT RD</v>
          </cell>
          <cell r="J2279" t="str">
            <v>HAZELMERE WA 6055</v>
          </cell>
          <cell r="K2279" t="str">
            <v>0200012918</v>
          </cell>
        </row>
        <row r="2280">
          <cell r="G2280" t="str">
            <v>BORE SITE L430</v>
          </cell>
          <cell r="H2280" t="str">
            <v>W1001396</v>
          </cell>
          <cell r="I2280" t="str">
            <v>LOT 430L TRAINOR RD</v>
          </cell>
          <cell r="J2280" t="str">
            <v>LEXIA WA 6065</v>
          </cell>
          <cell r="K2280" t="str">
            <v>0148001533</v>
          </cell>
        </row>
        <row r="2281">
          <cell r="G2281" t="str">
            <v>VPS LYREBIRD RD BROADWATER</v>
          </cell>
          <cell r="H2281" t="str">
            <v>S8007749</v>
          </cell>
          <cell r="I2281" t="str">
            <v>21 LYREBIRD RD</v>
          </cell>
          <cell r="J2281" t="str">
            <v>BROADWATER WA 6280</v>
          </cell>
          <cell r="K2281" t="str">
            <v>0136004141</v>
          </cell>
        </row>
        <row r="2282">
          <cell r="G2282" t="str">
            <v>TPS MH0035 TUART ST LEEMAN</v>
          </cell>
          <cell r="H2282" t="str">
            <v>S0038014</v>
          </cell>
          <cell r="I2282" t="str">
            <v>LOT 512 TUART ST</v>
          </cell>
          <cell r="J2282" t="str">
            <v>LEEMAN WA 6514</v>
          </cell>
          <cell r="K2282" t="str">
            <v>410AM80419</v>
          </cell>
        </row>
        <row r="2283">
          <cell r="G2283" t="str">
            <v>TANK 2 WSC COPLEY RD UPPER SWAN</v>
          </cell>
          <cell r="H2283" t="str">
            <v>W0035381</v>
          </cell>
          <cell r="I2283" t="str">
            <v>236 COPLEY RD</v>
          </cell>
          <cell r="J2283" t="str">
            <v>UPPER SWAN WA 6069</v>
          </cell>
          <cell r="K2283" t="str">
            <v>410M230267</v>
          </cell>
        </row>
        <row r="2284">
          <cell r="G2284" t="str">
            <v>SPS GLENDALE RD DENMARK</v>
          </cell>
          <cell r="H2284" t="str">
            <v>S023-002-004</v>
          </cell>
          <cell r="I2284" t="str">
            <v>LOT 133 GLENDALE CLOSE</v>
          </cell>
          <cell r="J2284" t="str">
            <v>DENMARK  6333</v>
          </cell>
          <cell r="K2284" t="str">
            <v>0350006157</v>
          </cell>
        </row>
        <row r="2285">
          <cell r="G2285" t="str">
            <v>WPS ENEABBA</v>
          </cell>
          <cell r="H2285" t="str">
            <v>W0040956</v>
          </cell>
          <cell r="I2285" t="str">
            <v>72 KING ST</v>
          </cell>
          <cell r="J2285" t="str">
            <v>ENEABBA WA 6518</v>
          </cell>
          <cell r="K2285" t="str">
            <v>0148002564</v>
          </cell>
        </row>
        <row r="2286">
          <cell r="G2286" t="str">
            <v>SPS MONYASH RD CARINE</v>
          </cell>
          <cell r="H2286" t="str">
            <v>S0028564</v>
          </cell>
          <cell r="I2286" t="str">
            <v>U42 26 MONYASH RD</v>
          </cell>
          <cell r="J2286" t="str">
            <v>CARINE WA 6020</v>
          </cell>
          <cell r="K2286" t="str">
            <v>0102000272</v>
          </cell>
        </row>
        <row r="2287">
          <cell r="G2287" t="str">
            <v>SPS BORONIA AVE WALPOLE</v>
          </cell>
          <cell r="H2287" t="str">
            <v>S8000471</v>
          </cell>
          <cell r="I2287" t="str">
            <v>LOT 285 BORONIA AVE</v>
          </cell>
          <cell r="J2287" t="str">
            <v>WALPOLE WA 6398</v>
          </cell>
          <cell r="K2287" t="str">
            <v>410M2009622</v>
          </cell>
        </row>
        <row r="2288">
          <cell r="G2288" t="str">
            <v>SPS MCNEILL RD CHAMPION LAKES</v>
          </cell>
          <cell r="H2288" t="str">
            <v>S2003414</v>
          </cell>
          <cell r="I2288" t="str">
            <v>LOT 4994 MCNEILL RD</v>
          </cell>
          <cell r="J2288" t="str">
            <v>CHAMPION LAKES WA 6111</v>
          </cell>
          <cell r="K2288" t="str">
            <v>0380012463</v>
          </cell>
        </row>
        <row r="2289">
          <cell r="G2289" t="str">
            <v>SPS HENRY LAWSON WK EAST PERTH</v>
          </cell>
          <cell r="H2289" t="str">
            <v>S0030918</v>
          </cell>
          <cell r="I2289" t="str">
            <v>TRAFALGAR RD</v>
          </cell>
          <cell r="J2289" t="str">
            <v>EAST PERTH WA 6004</v>
          </cell>
          <cell r="K2289" t="str">
            <v>450M22338</v>
          </cell>
        </row>
        <row r="2290">
          <cell r="G2290" t="str">
            <v>WWTP 2 ANNIEBROOK RD DUNSBOROUGH</v>
          </cell>
          <cell r="H2290" t="str">
            <v>S8000642</v>
          </cell>
          <cell r="I2290" t="str">
            <v>HSE NO 104 LOT 641 ANNIEBROOK RD</v>
          </cell>
          <cell r="J2290" t="str">
            <v>ANNIEBROOK WA 6280</v>
          </cell>
          <cell r="K2290" t="str">
            <v>0136002061</v>
          </cell>
        </row>
        <row r="2291">
          <cell r="G2291" t="str">
            <v>TANK EL 1 WSC CASTEAU CL AUSTRALIND</v>
          </cell>
          <cell r="H2291" t="str">
            <v>W0045182</v>
          </cell>
          <cell r="I2291" t="str">
            <v>LOT 183 CHRISTISON WAY</v>
          </cell>
          <cell r="J2291" t="str">
            <v>AUSTRALIND WA 6233</v>
          </cell>
          <cell r="K2291" t="str">
            <v>15M45881</v>
          </cell>
        </row>
        <row r="2292">
          <cell r="G2292" t="str">
            <v>SPS WHITELEY AV HILBERT</v>
          </cell>
          <cell r="H2292" t="str">
            <v>S0032809</v>
          </cell>
          <cell r="I2292" t="str">
            <v>WHITELEY RD</v>
          </cell>
          <cell r="J2292" t="str">
            <v>ARMADALE WA 6112</v>
          </cell>
          <cell r="K2292" t="str">
            <v>002101086</v>
          </cell>
        </row>
        <row r="2293">
          <cell r="G2293" t="str">
            <v>WPS ALBANY HWY WILLYUNG</v>
          </cell>
          <cell r="H2293" t="str">
            <v>W0023178</v>
          </cell>
          <cell r="I2293" t="str">
            <v>LOCN 238 ALBANY HWY</v>
          </cell>
          <cell r="J2293" t="str">
            <v>ALBANY WA 6330</v>
          </cell>
          <cell r="K2293" t="str">
            <v>0148005773</v>
          </cell>
        </row>
        <row r="2294">
          <cell r="G2294" t="str">
            <v>SPS RAMILLIES ST SOUTH BUNBURY</v>
          </cell>
          <cell r="H2294" t="str">
            <v>S0044117</v>
          </cell>
          <cell r="I2294" t="str">
            <v>LOT 101 RAMILLIES ST</v>
          </cell>
          <cell r="J2294" t="str">
            <v>BUNBURY WA 6230</v>
          </cell>
          <cell r="K2294" t="str">
            <v>410M135623</v>
          </cell>
        </row>
        <row r="2295">
          <cell r="G2295" t="str">
            <v>DPS YANGEBUP RD YANGEBUP</v>
          </cell>
          <cell r="H2295" t="str">
            <v>D0036743</v>
          </cell>
          <cell r="I2295" t="str">
            <v>LOT 769 BRANCH CS</v>
          </cell>
          <cell r="J2295" t="str">
            <v>BEELIAR WA 6164</v>
          </cell>
          <cell r="K2295" t="str">
            <v>0180003610</v>
          </cell>
        </row>
        <row r="2296">
          <cell r="G2296" t="str">
            <v>SPS CHALMERS PL LEEMING</v>
          </cell>
          <cell r="H2296" t="str">
            <v>S0033619</v>
          </cell>
          <cell r="I2296" t="str">
            <v>4 CHALMERS PL</v>
          </cell>
          <cell r="J2296" t="str">
            <v>LEEMING WA 6149</v>
          </cell>
          <cell r="K2296" t="str">
            <v>002101280</v>
          </cell>
        </row>
        <row r="2297">
          <cell r="G2297" t="str">
            <v>SPS BARRICK RD CALISTA</v>
          </cell>
          <cell r="H2297" t="str">
            <v>S0030257</v>
          </cell>
          <cell r="I2297" t="str">
            <v>U43/21 BARRICK RD</v>
          </cell>
          <cell r="J2297" t="str">
            <v>CALISTA WA 6167</v>
          </cell>
          <cell r="K2297" t="str">
            <v>0148002673</v>
          </cell>
        </row>
        <row r="2298">
          <cell r="G2298" t="str">
            <v>SPS QUINNS RD MINDARIE</v>
          </cell>
          <cell r="H2298" t="str">
            <v>S0029135</v>
          </cell>
          <cell r="I2298" t="str">
            <v>LOT 10558 SEAHAM WAY</v>
          </cell>
          <cell r="J2298" t="str">
            <v>MINDARIE WA 6030</v>
          </cell>
          <cell r="K2298" t="str">
            <v>0248000016</v>
          </cell>
        </row>
        <row r="2299">
          <cell r="G2299" t="str">
            <v>SPS SLADE ST BAYSWATER</v>
          </cell>
          <cell r="H2299" t="str">
            <v>S0030203</v>
          </cell>
          <cell r="I2299" t="str">
            <v>LOT 4 SLADE ST</v>
          </cell>
          <cell r="J2299" t="str">
            <v>BAYSWATER WA 6053</v>
          </cell>
          <cell r="K2299" t="str">
            <v>0138000246</v>
          </cell>
        </row>
        <row r="2300">
          <cell r="G2300" t="str">
            <v>WPS GRANTS PATCH BALGARRI</v>
          </cell>
          <cell r="H2300" t="str">
            <v>W0020543</v>
          </cell>
          <cell r="I2300" t="str">
            <v>BLACK FLAG RD</v>
          </cell>
          <cell r="J2300" t="str">
            <v>ORA BANDA WA 6431</v>
          </cell>
          <cell r="K2300" t="str">
            <v>410M130663</v>
          </cell>
        </row>
        <row r="2301">
          <cell r="G2301" t="str">
            <v>SPS WARBURTON TRL LAKELANDS</v>
          </cell>
          <cell r="H2301" t="str">
            <v>S8009183</v>
          </cell>
          <cell r="I2301" t="str">
            <v>LOT 806 WARBURTON TRL</v>
          </cell>
          <cell r="J2301" t="str">
            <v>LAKELANDS WA 6180</v>
          </cell>
          <cell r="K2301" t="str">
            <v>0380015905</v>
          </cell>
        </row>
        <row r="2302">
          <cell r="G2302" t="str">
            <v>BORE SITE M34</v>
          </cell>
          <cell r="H2302" t="str">
            <v>W1001327</v>
          </cell>
          <cell r="I2302" t="str">
            <v>LOT 5 WEIR RD</v>
          </cell>
          <cell r="J2302" t="str">
            <v>MALAGA WA 6090</v>
          </cell>
          <cell r="K2302" t="str">
            <v>0148002840</v>
          </cell>
        </row>
        <row r="2303">
          <cell r="G2303" t="str">
            <v>BORE 10-83 NABAWA</v>
          </cell>
          <cell r="H2303" t="str">
            <v>W0042382</v>
          </cell>
          <cell r="I2303" t="str">
            <v>LOC 1870 INDIALLA SPUR RD</v>
          </cell>
          <cell r="J2303" t="str">
            <v>NABAWA WA 6532</v>
          </cell>
          <cell r="K2303" t="str">
            <v>410M124293</v>
          </cell>
        </row>
        <row r="2304">
          <cell r="G2304" t="str">
            <v>SPS BARWON RD CRAIGIE</v>
          </cell>
          <cell r="H2304" t="str">
            <v>S0028260</v>
          </cell>
          <cell r="I2304" t="str">
            <v>BARWON RD</v>
          </cell>
          <cell r="J2304" t="str">
            <v>CRAIGIE WA 6025</v>
          </cell>
          <cell r="K2304" t="str">
            <v>410M100524</v>
          </cell>
        </row>
        <row r="2305">
          <cell r="G2305" t="str">
            <v>SPS WATERSIDE DR DUDLEY PARK</v>
          </cell>
          <cell r="H2305" t="str">
            <v>S0044809</v>
          </cell>
          <cell r="I2305" t="str">
            <v>WATERSIDE DR</v>
          </cell>
          <cell r="J2305" t="str">
            <v>DUDLEY PARK WA 6210</v>
          </cell>
          <cell r="K2305" t="str">
            <v>410M144618</v>
          </cell>
        </row>
        <row r="2306">
          <cell r="G2306" t="str">
            <v>BULK WATER TRANSFER SCHEMES</v>
          </cell>
          <cell r="H2306" t="str">
            <v>W002</v>
          </cell>
          <cell r="I2306" t="str">
            <v>GREAT EASTERN HWY</v>
          </cell>
          <cell r="J2306" t="str">
            <v>SAWYERS VALLEY WA 6074</v>
          </cell>
          <cell r="K2306" t="str">
            <v>15M81092</v>
          </cell>
        </row>
        <row r="2307">
          <cell r="G2307" t="str">
            <v>BORE SITE P17</v>
          </cell>
          <cell r="H2307" t="str">
            <v>W1001528</v>
          </cell>
          <cell r="I2307" t="str">
            <v>5 (L17P) BARDIE RD</v>
          </cell>
          <cell r="J2307" t="str">
            <v>PINJAR WA 6065</v>
          </cell>
          <cell r="K2307" t="str">
            <v>0136005914</v>
          </cell>
        </row>
        <row r="2308">
          <cell r="G2308" t="str">
            <v>EFFLUENT DISPOSAL WOODMAN PT WWTP</v>
          </cell>
          <cell r="H2308" t="str">
            <v>S0003178</v>
          </cell>
          <cell r="I2308" t="str">
            <v>ROCKINGHAM RD</v>
          </cell>
          <cell r="J2308" t="str">
            <v>KWINANA BEACH WA 6167</v>
          </cell>
          <cell r="K2308" t="str">
            <v>15M160955</v>
          </cell>
        </row>
        <row r="2309">
          <cell r="G2309" t="str">
            <v>SPS MURRAY WATERS BVD SOUTH YUNDERUP</v>
          </cell>
          <cell r="H2309" t="str">
            <v>S0045059</v>
          </cell>
          <cell r="I2309" t="str">
            <v>WELLYA CRES</v>
          </cell>
          <cell r="J2309" t="str">
            <v>SOUTH YUNDERUP WA 6208</v>
          </cell>
          <cell r="K2309" t="str">
            <v>410M186742</v>
          </cell>
        </row>
        <row r="2310">
          <cell r="G2310" t="str">
            <v>SPS HAMERSLEY ST NORTH BEACH</v>
          </cell>
          <cell r="H2310" t="str">
            <v>S2009790</v>
          </cell>
          <cell r="I2310" t="str">
            <v>40 HAMMERSLEY ST</v>
          </cell>
          <cell r="J2310" t="str">
            <v>NORTH BEACH WA 6020</v>
          </cell>
          <cell r="K2310" t="str">
            <v>0148006372</v>
          </cell>
        </row>
        <row r="2311">
          <cell r="G2311" t="str">
            <v>WPS GROUP NON POT MING (ERROR)</v>
          </cell>
          <cell r="H2311" t="str">
            <v>C4000044</v>
          </cell>
          <cell r="I2311" t="str">
            <v>MINGENEW-MULLEWA RD</v>
          </cell>
          <cell r="J2311" t="str">
            <v>MINGENEW WA 6522</v>
          </cell>
          <cell r="K2311" t="str">
            <v>15D049826</v>
          </cell>
        </row>
        <row r="2312">
          <cell r="G2312" t="str">
            <v>BORE 22-69 SANDPATCH</v>
          </cell>
          <cell r="H2312" t="str">
            <v>W0023649</v>
          </cell>
          <cell r="I2312" t="str">
            <v>HUMPHREY RD</v>
          </cell>
          <cell r="J2312" t="str">
            <v>LITTLE GROVE  WA  6330</v>
          </cell>
          <cell r="K2312" t="str">
            <v>002101640</v>
          </cell>
        </row>
        <row r="2313">
          <cell r="G2313" t="str">
            <v>SPS ALUMINA RD EAST ROCKINGHAM</v>
          </cell>
          <cell r="H2313" t="str">
            <v>S2013252</v>
          </cell>
          <cell r="I2313" t="str">
            <v>ALUMINA RD</v>
          </cell>
          <cell r="J2313" t="str">
            <v>EAST ROCKINGHAM WA 6168</v>
          </cell>
          <cell r="K2313" t="str">
            <v>0180011172</v>
          </cell>
        </row>
        <row r="2314">
          <cell r="G2314" t="str">
            <v>SPS QUEEN PDE WANNANUP</v>
          </cell>
          <cell r="H2314" t="str">
            <v>S0045007</v>
          </cell>
          <cell r="I2314" t="str">
            <v>QUEEN PDE</v>
          </cell>
          <cell r="J2314" t="str">
            <v>WANNANUP WA 6210</v>
          </cell>
          <cell r="K2314" t="str">
            <v>0248002544</v>
          </cell>
        </row>
        <row r="2315">
          <cell r="G2315" t="str">
            <v>SPS MH881 FITZGERALD ST NORTHAM</v>
          </cell>
          <cell r="H2315" t="str">
            <v>S0016644</v>
          </cell>
          <cell r="I2315" t="str">
            <v>FITZGERALD ST</v>
          </cell>
          <cell r="J2315" t="str">
            <v>NORTHAM WA 6401</v>
          </cell>
          <cell r="K2315" t="str">
            <v>410M2001550</v>
          </cell>
        </row>
        <row r="2316">
          <cell r="G2316" t="str">
            <v>SPS RECREATION RD DAWESVILLE</v>
          </cell>
          <cell r="H2316" t="str">
            <v>S0045012</v>
          </cell>
          <cell r="I2316" t="str">
            <v>LOT 102 RECREATION RD</v>
          </cell>
          <cell r="J2316" t="str">
            <v>DAWESVILLE WA 6211</v>
          </cell>
          <cell r="K2316" t="str">
            <v>410M198027</v>
          </cell>
        </row>
        <row r="2317">
          <cell r="G2317" t="str">
            <v>SPS MANNING RD EAST BENTLEY</v>
          </cell>
          <cell r="H2317" t="str">
            <v>S0033040</v>
          </cell>
          <cell r="I2317" t="str">
            <v>117 MANNING RD</v>
          </cell>
          <cell r="J2317" t="str">
            <v>BENTLEY WA 6102</v>
          </cell>
          <cell r="K2317" t="str">
            <v>0248001042</v>
          </cell>
        </row>
        <row r="2318">
          <cell r="G2318" t="str">
            <v>BORE SITE Q40</v>
          </cell>
          <cell r="H2318" t="str">
            <v>W1001153</v>
          </cell>
          <cell r="I2318" t="str">
            <v>LOT 1 527 CONNOLLY DR</v>
          </cell>
          <cell r="J2318" t="str">
            <v>KINROSS WA 6028</v>
          </cell>
          <cell r="K2318" t="str">
            <v>0148005760</v>
          </cell>
        </row>
        <row r="2319">
          <cell r="G2319" t="str">
            <v>WSC PERENJORI</v>
          </cell>
          <cell r="H2319" t="str">
            <v>W0040195</v>
          </cell>
          <cell r="I2319" t="str">
            <v>LOC 11252 MULLEWA-WUBIN RD</v>
          </cell>
          <cell r="J2319" t="str">
            <v>MORAWA WA 6623</v>
          </cell>
          <cell r="K2319" t="str">
            <v>15D058463</v>
          </cell>
        </row>
        <row r="2320">
          <cell r="G2320" t="str">
            <v>WPS SOUTH WESTERN HWY MOUNT RICHON</v>
          </cell>
          <cell r="H2320" t="str">
            <v>W0035122</v>
          </cell>
          <cell r="I2320" t="str">
            <v>SOUTH WESTERN HWY</v>
          </cell>
          <cell r="J2320" t="str">
            <v>ARMADALE WA 6112</v>
          </cell>
          <cell r="K2320" t="str">
            <v>0136004962</v>
          </cell>
        </row>
        <row r="2321">
          <cell r="G2321" t="str">
            <v>BORE SITES Q200/Q205</v>
          </cell>
          <cell r="H2321" t="str">
            <v>W1001025</v>
          </cell>
          <cell r="I2321" t="str">
            <v>LOT 137 MARMION AVE</v>
          </cell>
          <cell r="J2321" t="str">
            <v>QUINNS ROCKS WA 6030</v>
          </cell>
          <cell r="K2321" t="str">
            <v xml:space="preserve">0211000162     </v>
          </cell>
        </row>
        <row r="2322">
          <cell r="G2322" t="str">
            <v>SPS WATTLE ST TUART HILL</v>
          </cell>
          <cell r="H2322" t="str">
            <v>S0028705</v>
          </cell>
          <cell r="I2322" t="str">
            <v>106 WATTLE ST</v>
          </cell>
          <cell r="J2322" t="str">
            <v>TUART HILL WA 6060</v>
          </cell>
          <cell r="K2322" t="str">
            <v>410M1001406</v>
          </cell>
        </row>
        <row r="2323">
          <cell r="G2323" t="str">
            <v>BORE SITE G140</v>
          </cell>
          <cell r="H2323" t="str">
            <v>W0009489</v>
          </cell>
          <cell r="I2323" t="str">
            <v>HSE NO 25 LOT 19 SALMSON ST</v>
          </cell>
          <cell r="J2323" t="str">
            <v>BALCATTA WA 6021</v>
          </cell>
          <cell r="K2323" t="str">
            <v>0148005935</v>
          </cell>
        </row>
        <row r="2324">
          <cell r="G2324" t="str">
            <v>BOREFIELD OCEAN FARMS NILGEN</v>
          </cell>
          <cell r="H2324" t="str">
            <v>W4002155</v>
          </cell>
          <cell r="I2324" t="str">
            <v>HSE NO 885 LOT 183 OCEAN FARM DR</v>
          </cell>
          <cell r="J2324" t="str">
            <v>NILGEN WA 6044</v>
          </cell>
          <cell r="K2324" t="str">
            <v>0248000930</v>
          </cell>
        </row>
        <row r="2325">
          <cell r="G2325" t="str">
            <v>WWTP BOOTH RD MANJIMUP</v>
          </cell>
          <cell r="H2325" t="str">
            <v>S092-001-003</v>
          </cell>
          <cell r="I2325" t="str">
            <v>LOC 13169 BOOTH RD</v>
          </cell>
          <cell r="J2325" t="str">
            <v>MANJIMUP WA 6258</v>
          </cell>
          <cell r="K2325" t="str">
            <v>0211000761</v>
          </cell>
        </row>
        <row r="2326">
          <cell r="G2326" t="str">
            <v>SPS ROBERTS RD ATTADALE</v>
          </cell>
          <cell r="H2326" t="str">
            <v>S0033826</v>
          </cell>
          <cell r="I2326" t="str">
            <v>U43 LOT 34 ROBERTS RD</v>
          </cell>
          <cell r="J2326" t="str">
            <v>ATTADALE WA 6156</v>
          </cell>
          <cell r="K2326" t="str">
            <v>0148001627</v>
          </cell>
        </row>
        <row r="2327">
          <cell r="G2327" t="str">
            <v>BORE 09-00 BREMER BAY</v>
          </cell>
          <cell r="H2327" t="str">
            <v>W7000488</v>
          </cell>
          <cell r="I2327" t="str">
            <v>UA LOC 205 WELLSTEAD RD</v>
          </cell>
          <cell r="J2327" t="str">
            <v>BREMER BAY WA 6338</v>
          </cell>
          <cell r="K2327" t="str">
            <v>0180002358</v>
          </cell>
        </row>
        <row r="2328">
          <cell r="G2328" t="str">
            <v>SPS THE GRANGE BEELIAR</v>
          </cell>
          <cell r="H2328" t="str">
            <v>S0032873</v>
          </cell>
          <cell r="I2328" t="str">
            <v>LOT 1482 THE GRANGE</v>
          </cell>
          <cell r="J2328" t="str">
            <v>BEELIAR WA 6164</v>
          </cell>
          <cell r="K2328" t="str">
            <v>410M176294</v>
          </cell>
        </row>
        <row r="2329">
          <cell r="G2329" t="str">
            <v>SPS HAVELOCK ST NARROGIN</v>
          </cell>
          <cell r="H2329" t="str">
            <v>S028-002-001</v>
          </cell>
          <cell r="I2329" t="str">
            <v>56 HAVELOCK ST</v>
          </cell>
          <cell r="J2329" t="str">
            <v>NARROGIN WA 6312</v>
          </cell>
          <cell r="K2329" t="str">
            <v>0148005585</v>
          </cell>
        </row>
        <row r="2330">
          <cell r="G2330" t="str">
            <v>SPS REDWOOD DR TAPPING</v>
          </cell>
          <cell r="H2330" t="str">
            <v>S2016971</v>
          </cell>
          <cell r="I2330" t="str">
            <v>ASHLEY RD</v>
          </cell>
          <cell r="J2330" t="str">
            <v>TAPPING WA 6065</v>
          </cell>
          <cell r="K2330" t="str">
            <v>000000000148002662</v>
          </cell>
        </row>
        <row r="2331">
          <cell r="G2331" t="str">
            <v>BORE 01-01 HESTER</v>
          </cell>
          <cell r="H2331" t="str">
            <v>W8001113</v>
          </cell>
          <cell r="I2331" t="str">
            <v>648 HESTER RD</v>
          </cell>
          <cell r="J2331" t="str">
            <v>BRIDGETOWN WA 6255</v>
          </cell>
          <cell r="K2331" t="str">
            <v>15D038162</v>
          </cell>
        </row>
        <row r="2332">
          <cell r="G2332" t="str">
            <v>MAIN BORE RESERVE ST-TRGWELL ST</v>
          </cell>
          <cell r="H2332" t="str">
            <v>W0045637</v>
          </cell>
          <cell r="I2332" t="str">
            <v>L468 TRIGWELL ST</v>
          </cell>
          <cell r="J2332" t="str">
            <v>DONNYBROOK WA 6239</v>
          </cell>
          <cell r="K2332" t="str">
            <v>410M185124</v>
          </cell>
        </row>
        <row r="2333">
          <cell r="G2333" t="str">
            <v>BORE SITE J390</v>
          </cell>
          <cell r="H2333" t="str">
            <v>W1001481</v>
          </cell>
          <cell r="I2333" t="str">
            <v>U41 LOT 390 LAKES WAY</v>
          </cell>
          <cell r="J2333" t="str">
            <v>JANDAKOT WA 6164</v>
          </cell>
          <cell r="K2333" t="str">
            <v>001900207</v>
          </cell>
        </row>
        <row r="2334">
          <cell r="G2334" t="str">
            <v>MAIN DRAIN HENLEY BROOK</v>
          </cell>
          <cell r="H2334" t="str">
            <v>D035-001-002</v>
          </cell>
          <cell r="I2334" t="str">
            <v>10 JOHN ST</v>
          </cell>
          <cell r="J2334" t="str">
            <v>HENLEY BROOK WA 6055</v>
          </cell>
          <cell r="K2334" t="str">
            <v>15M281491</v>
          </cell>
        </row>
        <row r="2335">
          <cell r="G2335" t="str">
            <v>SPS WESTVIEW PDE WANNANUP</v>
          </cell>
          <cell r="H2335" t="str">
            <v>S8000842</v>
          </cell>
          <cell r="I2335" t="str">
            <v>13 WESTVIEW PDE</v>
          </cell>
          <cell r="J2335" t="str">
            <v>WANNANUP WA 6210</v>
          </cell>
          <cell r="K2335" t="str">
            <v>450M22420</v>
          </cell>
        </row>
        <row r="2336">
          <cell r="G2336" t="str">
            <v>SPS BLUM BVD YALYALUP</v>
          </cell>
          <cell r="H2336" t="str">
            <v>S8000697</v>
          </cell>
          <cell r="I2336" t="str">
            <v>46A BLUM BVD</v>
          </cell>
          <cell r="J2336" t="str">
            <v>YALYALUP WA 6280</v>
          </cell>
          <cell r="K2336" t="str">
            <v>410M201784</v>
          </cell>
        </row>
        <row r="2337">
          <cell r="G2337" t="str">
            <v>SPS ASTLEY ST GOSNELLS</v>
          </cell>
          <cell r="H2337" t="str">
            <v>S0033378</v>
          </cell>
          <cell r="I2337" t="str">
            <v>ASTLEY ST</v>
          </cell>
          <cell r="J2337" t="str">
            <v>GOSNELLS WA 6110</v>
          </cell>
          <cell r="K2337" t="str">
            <v>0350043753</v>
          </cell>
        </row>
        <row r="2338">
          <cell r="G2338" t="str">
            <v>BORE SITE G5</v>
          </cell>
          <cell r="H2338" t="str">
            <v>W1001267</v>
          </cell>
          <cell r="I2338" t="str">
            <v>U41 AMBRIDGE ST</v>
          </cell>
          <cell r="J2338" t="str">
            <v>HAMERSLEY WA 6022</v>
          </cell>
          <cell r="K2338" t="str">
            <v>0148006198</v>
          </cell>
        </row>
        <row r="2339">
          <cell r="G2339" t="str">
            <v>BORE SITE TR6</v>
          </cell>
          <cell r="H2339" t="str">
            <v>W1001614</v>
          </cell>
          <cell r="I2339" t="str">
            <v>LOCN 1370 DAMEPATTIE DR</v>
          </cell>
          <cell r="J2339" t="str">
            <v>TWO ROCKS WA 6037</v>
          </cell>
          <cell r="K2339" t="str">
            <v>0136005087</v>
          </cell>
        </row>
        <row r="2340">
          <cell r="G2340" t="str">
            <v>SPS MASTERS ST KENWICK</v>
          </cell>
          <cell r="H2340" t="str">
            <v>S0033469</v>
          </cell>
          <cell r="I2340" t="str">
            <v>LOT 136 KENWICK RD</v>
          </cell>
          <cell r="J2340" t="str">
            <v>KENWICK WA 6107</v>
          </cell>
          <cell r="K2340" t="str">
            <v>410M192452</v>
          </cell>
        </row>
        <row r="2341">
          <cell r="G2341" t="str">
            <v>TAMWORTH TRANSFER PUMP STATION</v>
          </cell>
          <cell r="H2341" t="str">
            <v>W1005931</v>
          </cell>
          <cell r="I2341" t="str">
            <v>LOT 1310 MILLAR RD</v>
          </cell>
          <cell r="J2341" t="str">
            <v>BALDIVIS WA 6171</v>
          </cell>
          <cell r="K2341" t="str">
            <v>0104000391</v>
          </cell>
        </row>
        <row r="2342">
          <cell r="G2342" t="str">
            <v>BORE SITE G80</v>
          </cell>
          <cell r="H2342" t="str">
            <v>W1001285</v>
          </cell>
          <cell r="I2342" t="str">
            <v>LOT 246 SANDPIPER RD</v>
          </cell>
          <cell r="J2342" t="str">
            <v>STIRLING WA 6021</v>
          </cell>
          <cell r="K2342" t="str">
            <v>0148004310</v>
          </cell>
        </row>
        <row r="2343">
          <cell r="G2343" t="str">
            <v>PENSTOCK 1815 SECT MD 20-22.9KM DIV HARV</v>
          </cell>
          <cell r="H2343" t="str">
            <v>D8003312</v>
          </cell>
          <cell r="I2343" t="str">
            <v>LOT 266 BAKER ST</v>
          </cell>
          <cell r="J2343" t="str">
            <v>HARVEY WA 6220</v>
          </cell>
          <cell r="K2343" t="str">
            <v>0180014473</v>
          </cell>
        </row>
        <row r="2344">
          <cell r="G2344" t="str">
            <v>SPS GRIFFIN CR MANNING</v>
          </cell>
          <cell r="H2344" t="str">
            <v>S0034058</v>
          </cell>
          <cell r="I2344" t="str">
            <v>GRIFFIN CRES</v>
          </cell>
          <cell r="J2344" t="str">
            <v>MANNING WA 6152</v>
          </cell>
          <cell r="K2344" t="str">
            <v>0148001659</v>
          </cell>
        </row>
        <row r="2345">
          <cell r="G2345" t="str">
            <v>WSC WEST NORTHAM</v>
          </cell>
          <cell r="H2345" t="str">
            <v>W0021313</v>
          </cell>
          <cell r="I2345" t="str">
            <v>GREAT EASTERN HWY</v>
          </cell>
          <cell r="J2345" t="str">
            <v>NORTHAM WA 6401</v>
          </cell>
          <cell r="K2345" t="str">
            <v>000000000136005823</v>
          </cell>
        </row>
        <row r="2346">
          <cell r="G2346" t="str">
            <v>WPS WALNUT RD BICKLEY</v>
          </cell>
          <cell r="H2346" t="str">
            <v>W0035222</v>
          </cell>
          <cell r="I2346" t="str">
            <v>WALNUT RD</v>
          </cell>
          <cell r="J2346" t="str">
            <v>BICKLEY WA 6076</v>
          </cell>
          <cell r="K2346" t="str">
            <v>0350001125</v>
          </cell>
        </row>
        <row r="2347">
          <cell r="G2347" t="str">
            <v>BORE 51-75 RACECOURSE</v>
          </cell>
          <cell r="H2347" t="str">
            <v>W0023423</v>
          </cell>
          <cell r="I2347" t="str">
            <v>LOT 51R PRINCESS AVE</v>
          </cell>
          <cell r="J2347" t="str">
            <v>ROBINSON WA 6330</v>
          </cell>
          <cell r="K2347" t="str">
            <v>0148000160</v>
          </cell>
        </row>
        <row r="2348">
          <cell r="G2348" t="str">
            <v>SPS WATERFORD DR HILLARYS</v>
          </cell>
          <cell r="H2348" t="str">
            <v>S0028698</v>
          </cell>
          <cell r="I2348" t="str">
            <v>U42 18F WATERFORD DR</v>
          </cell>
          <cell r="J2348" t="str">
            <v>HILLARYS WA 6025</v>
          </cell>
          <cell r="K2348" t="str">
            <v>0102000514</v>
          </cell>
        </row>
        <row r="2349">
          <cell r="G2349" t="str">
            <v>SPS BAKER ST LOWER KING</v>
          </cell>
          <cell r="H2349" t="str">
            <v>S0022222</v>
          </cell>
          <cell r="I2349" t="str">
            <v>LOT 528 BAKER ST</v>
          </cell>
          <cell r="J2349" t="str">
            <v>LOWER KING WA 6330</v>
          </cell>
          <cell r="K2349" t="str">
            <v>410M92420</v>
          </cell>
        </row>
        <row r="2350">
          <cell r="G2350" t="str">
            <v>WPS MARVEL LOCH</v>
          </cell>
          <cell r="H2350" t="str">
            <v>W5008050</v>
          </cell>
          <cell r="I2350" t="str">
            <v>LOC 55 MARVEL LOCH RD</v>
          </cell>
          <cell r="J2350" t="str">
            <v>MARVEL LOCH WA 6426</v>
          </cell>
          <cell r="K2350" t="str">
            <v>0348001633</v>
          </cell>
        </row>
        <row r="2351">
          <cell r="G2351" t="str">
            <v>TANK EL 1 WSC HERBERT ST FRANKLAND</v>
          </cell>
          <cell r="H2351" t="str">
            <v>W0022784</v>
          </cell>
          <cell r="I2351" t="str">
            <v>73 HERBERT ST</v>
          </cell>
          <cell r="J2351" t="str">
            <v>FRANKLAND RIVER WA 6396</v>
          </cell>
          <cell r="K2351" t="str">
            <v>15M278485</v>
          </cell>
        </row>
        <row r="2352">
          <cell r="G2352" t="str">
            <v>WPS BROCKMAN RD EAST NANNUP TRANSFER</v>
          </cell>
          <cell r="H2352" t="str">
            <v>W8007889</v>
          </cell>
          <cell r="I2352" t="str">
            <v>LOT 934 FELSPAR RD</v>
          </cell>
          <cell r="J2352" t="str">
            <v>EAST NANNUP WA 6275</v>
          </cell>
          <cell r="K2352" t="str">
            <v>0136006495</v>
          </cell>
        </row>
        <row r="2353">
          <cell r="G2353" t="str">
            <v>WPS STH WEST HWY BRIDGETOWN</v>
          </cell>
          <cell r="H2353" t="str">
            <v>W0045430</v>
          </cell>
          <cell r="I2353" t="str">
            <v>SOUTH WESTERN HWY</v>
          </cell>
          <cell r="J2353" t="str">
            <v>BRIDGETOWN WA 6255</v>
          </cell>
          <cell r="K2353" t="str">
            <v>0248000850</v>
          </cell>
        </row>
        <row r="2354">
          <cell r="G2354"/>
          <cell r="H2354" t="e">
            <v>#N/A</v>
          </cell>
          <cell r="I2354" t="str">
            <v>CHURCH ST</v>
          </cell>
          <cell r="J2354" t="str">
            <v>KELMSCOTT WA 6111</v>
          </cell>
          <cell r="K2354" t="str">
            <v>0248000105</v>
          </cell>
        </row>
        <row r="2355">
          <cell r="G2355" t="str">
            <v>SPS TUART ST SOUTH BUNBURY</v>
          </cell>
          <cell r="H2355" t="str">
            <v>S0044149</v>
          </cell>
          <cell r="I2355" t="str">
            <v>LOT 254 FRANCIS ST</v>
          </cell>
          <cell r="J2355" t="str">
            <v>BUNBURY WA 6230</v>
          </cell>
          <cell r="K2355" t="str">
            <v>0148002045</v>
          </cell>
        </row>
        <row r="2356">
          <cell r="G2356" t="str">
            <v>WPS BROOKS RD ROLEYSTONE</v>
          </cell>
          <cell r="H2356" t="str">
            <v>W2000402</v>
          </cell>
          <cell r="I2356" t="str">
            <v>BROOKS RD</v>
          </cell>
          <cell r="J2356" t="str">
            <v>ROLEYSTONE WA 6111</v>
          </cell>
          <cell r="K2356" t="str">
            <v>0280001745</v>
          </cell>
        </row>
        <row r="2357">
          <cell r="G2357" t="str">
            <v>BELGRAVIA &amp; WRIGHT CVS</v>
          </cell>
          <cell r="H2357" t="str">
            <v>W0012468</v>
          </cell>
          <cell r="I2357" t="str">
            <v>BELGRAVIA ST</v>
          </cell>
          <cell r="J2357" t="str">
            <v>CLOVERDALE WA 6105</v>
          </cell>
          <cell r="K2357" t="str">
            <v>15M225132</v>
          </cell>
        </row>
        <row r="2358">
          <cell r="G2358" t="str">
            <v>WPS GHOOLI (OLD)</v>
          </cell>
          <cell r="H2358" t="str">
            <v>W0021057</v>
          </cell>
          <cell r="I2358" t="str">
            <v>GREAT EASTERN HWY</v>
          </cell>
          <cell r="J2358" t="str">
            <v>GHOOLI WA 6426</v>
          </cell>
          <cell r="K2358" t="str">
            <v>15D080839</v>
          </cell>
        </row>
        <row r="2359">
          <cell r="G2359" t="str">
            <v>TANK GL 1 WSC LLOYD ST TOODYAY</v>
          </cell>
          <cell r="H2359" t="str">
            <v>W0019034</v>
          </cell>
          <cell r="I2359" t="str">
            <v>LOT 89 HENRY ST</v>
          </cell>
          <cell r="J2359" t="str">
            <v>TOODYAY WA 6566</v>
          </cell>
          <cell r="K2359" t="str">
            <v>15M136030</v>
          </cell>
        </row>
        <row r="2360">
          <cell r="G2360" t="str">
            <v>SPS JORDAN ST TWO ROCKS</v>
          </cell>
          <cell r="H2360" t="str">
            <v>S0030326</v>
          </cell>
          <cell r="I2360" t="str">
            <v>CHARNWOOD AVE</v>
          </cell>
          <cell r="J2360" t="str">
            <v>TWO ROCKS WA 6037</v>
          </cell>
          <cell r="K2360" t="str">
            <v>410M160875</v>
          </cell>
        </row>
        <row r="2361">
          <cell r="G2361" t="str">
            <v>POINT PERON WWTP</v>
          </cell>
          <cell r="H2361" t="str">
            <v>S001-001-016</v>
          </cell>
          <cell r="I2361" t="str">
            <v>POINT PERON RD</v>
          </cell>
          <cell r="J2361" t="str">
            <v>ROCKINGHAM WA 6168</v>
          </cell>
          <cell r="K2361" t="str">
            <v>0140000451</v>
          </cell>
        </row>
        <row r="2362">
          <cell r="G2362" t="str">
            <v>SPS VICTORIA RD EAST MALAGA</v>
          </cell>
          <cell r="H2362" t="str">
            <v>S0028674</v>
          </cell>
          <cell r="I2362" t="str">
            <v>UA 401 VICTORIA RD</v>
          </cell>
          <cell r="J2362" t="str">
            <v>MALAGA WA 6090</v>
          </cell>
          <cell r="K2362" t="str">
            <v>0148006373</v>
          </cell>
        </row>
        <row r="2363">
          <cell r="G2363" t="str">
            <v>SOUTH WEST HIGHWAY CVS</v>
          </cell>
          <cell r="H2363" t="str">
            <v>W0013142</v>
          </cell>
          <cell r="I2363" t="str">
            <v>SOUTH WESTERN HWY</v>
          </cell>
          <cell r="J2363" t="str">
            <v>SERPENTINE WA 6125</v>
          </cell>
          <cell r="K2363" t="str">
            <v>410M168884</v>
          </cell>
        </row>
        <row r="2364">
          <cell r="G2364" t="str">
            <v>SP BORE 18-69 SANDPATCH</v>
          </cell>
          <cell r="H2364" t="str">
            <v>W7000270</v>
          </cell>
          <cell r="I2364" t="str">
            <v>HUMPHREY RD</v>
          </cell>
          <cell r="J2364" t="str">
            <v>LITTLE GROVE  WA  6330</v>
          </cell>
          <cell r="K2364" t="str">
            <v>0148005821</v>
          </cell>
        </row>
        <row r="2365">
          <cell r="G2365" t="str">
            <v>SPS MONASH BVD EATON</v>
          </cell>
          <cell r="H2365" t="str">
            <v>S8000288</v>
          </cell>
          <cell r="I2365" t="str">
            <v>LOT 779 EATON DR</v>
          </cell>
          <cell r="J2365" t="str">
            <v>EATON WA 6232</v>
          </cell>
          <cell r="K2365" t="str">
            <v>0136001227</v>
          </cell>
        </row>
        <row r="2366">
          <cell r="G2366" t="str">
            <v>SPS HOPKINSON RD BYFORD</v>
          </cell>
          <cell r="H2366" t="str">
            <v>S2004013</v>
          </cell>
          <cell r="I2366" t="str">
            <v>LOT 301 HOPKINSON RD</v>
          </cell>
          <cell r="J2366" t="str">
            <v>BYFORD WA 6122</v>
          </cell>
          <cell r="K2366" t="str">
            <v>0148006387</v>
          </cell>
        </row>
        <row r="2367">
          <cell r="G2367" t="str">
            <v>WPS HARRINGTON BK OCEAN BEACH</v>
          </cell>
          <cell r="H2367" t="str">
            <v>W045-002-001-003</v>
          </cell>
          <cell r="I2367" t="str">
            <v>LOT 41 HARRINGTON BRK</v>
          </cell>
          <cell r="J2367" t="str">
            <v>DENMARK WA 6333</v>
          </cell>
          <cell r="K2367" t="str">
            <v>15M285607</v>
          </cell>
        </row>
        <row r="2368">
          <cell r="G2368" t="str">
            <v>SPS GNANGARA RD EAST HENLEY BROOK</v>
          </cell>
          <cell r="H2368" t="str">
            <v>S2019412</v>
          </cell>
          <cell r="I2368" t="str">
            <v>8008 GNANGARA RD EAST</v>
          </cell>
          <cell r="J2368" t="str">
            <v>ELLENBROOK  WA  6069</v>
          </cell>
          <cell r="K2368" t="str">
            <v>0136005193</v>
          </cell>
        </row>
        <row r="2369">
          <cell r="G2369" t="str">
            <v>DWELLINGUP WATER TREATMENT PLANT</v>
          </cell>
          <cell r="H2369" t="str">
            <v>W8001389</v>
          </cell>
          <cell r="I2369" t="str">
            <v>4 NEWTON ST</v>
          </cell>
          <cell r="J2369" t="str">
            <v>DWELLINGUP WA 6213</v>
          </cell>
          <cell r="K2369" t="str">
            <v>000000000148006117</v>
          </cell>
        </row>
        <row r="2370">
          <cell r="G2370" t="str">
            <v>WPS CARAWATHA AV MT NASURA</v>
          </cell>
          <cell r="H2370" t="str">
            <v>W0035089</v>
          </cell>
          <cell r="I2370" t="str">
            <v>CARAWATHA AVE</v>
          </cell>
          <cell r="J2370" t="str">
            <v>MOUNT NASURA WA 6112</v>
          </cell>
          <cell r="K2370" t="str">
            <v>0248000117</v>
          </cell>
        </row>
        <row r="2371">
          <cell r="G2371" t="str">
            <v>CP ZONE SOUTH TCE 183S DEEP</v>
          </cell>
          <cell r="H2371" t="str">
            <v>W1014865</v>
          </cell>
          <cell r="I2371" t="str">
            <v>LOT 51 SOUTH TCE</v>
          </cell>
          <cell r="J2371" t="str">
            <v>SOUTH PERTH WA 6151</v>
          </cell>
          <cell r="K2371" t="str">
            <v>0350027106</v>
          </cell>
        </row>
        <row r="2372">
          <cell r="G2372" t="str">
            <v>SPS SOUTH YUNDERUP RD SOUTH YUNDERUP</v>
          </cell>
          <cell r="H2372" t="str">
            <v>S0045063</v>
          </cell>
          <cell r="I2372" t="str">
            <v>YUNDERUP RD</v>
          </cell>
          <cell r="J2372" t="str">
            <v>SOUTH YUNDERUP WA 6208</v>
          </cell>
          <cell r="K2372" t="str">
            <v>0350029433</v>
          </cell>
        </row>
        <row r="2373">
          <cell r="G2373" t="str">
            <v>WPS OLD COAST RD DAWESVILLE BOOSTER</v>
          </cell>
          <cell r="H2373" t="str">
            <v>W0045911</v>
          </cell>
          <cell r="I2373" t="str">
            <v>U43 1361 OLD COAST RD</v>
          </cell>
          <cell r="J2373" t="str">
            <v>DAWESVILLE WA 6211</v>
          </cell>
          <cell r="K2373" t="str">
            <v>0148001632</v>
          </cell>
        </row>
        <row r="2374">
          <cell r="G2374" t="str">
            <v>SPS GLOUCESTER PARK EAST PERTH</v>
          </cell>
          <cell r="H2374" t="str">
            <v>S0030904</v>
          </cell>
          <cell r="I2374" t="str">
            <v>U42 NELSON AVE</v>
          </cell>
          <cell r="J2374" t="str">
            <v>EAST PERTH WA 6004</v>
          </cell>
          <cell r="K2374" t="str">
            <v>002100310</v>
          </cell>
        </row>
        <row r="2375">
          <cell r="G2375" t="str">
            <v>CHL SYS PARAGON ST PINGELLY</v>
          </cell>
          <cell r="H2375" t="str">
            <v>W7003394</v>
          </cell>
          <cell r="I2375" t="str">
            <v>LOT 305 GREAT SOUTHERN HWY</v>
          </cell>
          <cell r="J2375" t="str">
            <v>PINGELLY WA 6308</v>
          </cell>
          <cell r="K2375" t="str">
            <v>0148005347</v>
          </cell>
        </row>
        <row r="2376">
          <cell r="G2376" t="str">
            <v>SPS CALADENIA PDE MT CLAREMONT</v>
          </cell>
          <cell r="H2376" t="str">
            <v>S0032596</v>
          </cell>
          <cell r="I2376" t="str">
            <v>LOT 42 ALFRED RD</v>
          </cell>
          <cell r="J2376" t="str">
            <v>SWANBOURNE WA 6010</v>
          </cell>
          <cell r="K2376" t="str">
            <v>0380016236</v>
          </cell>
        </row>
        <row r="2377">
          <cell r="G2377" t="str">
            <v>RESERVOIR WSC CUNDERDIN</v>
          </cell>
          <cell r="H2377" t="str">
            <v>W0021266</v>
          </cell>
          <cell r="I2377" t="str">
            <v>U54/LOT 411 WATTS ST</v>
          </cell>
          <cell r="J2377" t="str">
            <v>CUNDERDIN WA 6407</v>
          </cell>
          <cell r="K2377" t="str">
            <v>15D006392</v>
          </cell>
        </row>
        <row r="2378">
          <cell r="G2378" t="str">
            <v>WPS BREMER BAY</v>
          </cell>
          <cell r="H2378" t="str">
            <v>W0022678</v>
          </cell>
          <cell r="I2378" t="str">
            <v>U56 LOT 2032 BREMER BAY RD</v>
          </cell>
          <cell r="J2378" t="str">
            <v>BREMER BAY WA 6338</v>
          </cell>
          <cell r="K2378" t="str">
            <v>0148002633</v>
          </cell>
        </row>
        <row r="2379">
          <cell r="G2379" t="str">
            <v>SPS JOHN ST INGLEWOOD</v>
          </cell>
          <cell r="H2379" t="str">
            <v>S0031721</v>
          </cell>
          <cell r="I2379" t="str">
            <v>JOHN ST</v>
          </cell>
          <cell r="J2379" t="str">
            <v>INGLEWOOD WA 6052</v>
          </cell>
          <cell r="K2379" t="str">
            <v>450M22346</v>
          </cell>
        </row>
        <row r="2380">
          <cell r="G2380" t="str">
            <v>BORE 01/83 NORTHAMPTON (NIU)</v>
          </cell>
          <cell r="H2380" t="str">
            <v>W0042461</v>
          </cell>
          <cell r="I2380" t="str">
            <v>LOT 359 SEVENTH AVE</v>
          </cell>
          <cell r="J2380" t="str">
            <v>NORTHAMPTON WA 6535</v>
          </cell>
          <cell r="K2380" t="str">
            <v>000000000148002456</v>
          </cell>
        </row>
        <row r="2381">
          <cell r="G2381" t="str">
            <v>WPS MERREDIN</v>
          </cell>
          <cell r="H2381" t="str">
            <v>W5004967</v>
          </cell>
          <cell r="I2381" t="str">
            <v>LOT 1361 GT EASTERN HIGHWAY</v>
          </cell>
          <cell r="J2381" t="str">
            <v>MERREDIN WA 6415</v>
          </cell>
          <cell r="K2381" t="str">
            <v>15D087774</v>
          </cell>
        </row>
        <row r="2382">
          <cell r="G2382" t="str">
            <v>SPS PALMER WY MANDURAH</v>
          </cell>
          <cell r="H2382" t="str">
            <v>S8006744</v>
          </cell>
          <cell r="I2382" t="str">
            <v>2 PALMER WAY</v>
          </cell>
          <cell r="J2382" t="str">
            <v>MANDURAH WA 6210</v>
          </cell>
          <cell r="K2382" t="str">
            <v>0180017342</v>
          </cell>
        </row>
        <row r="2383">
          <cell r="G2383" t="str">
            <v>SPS THE QUARTERDECK WILLETTON</v>
          </cell>
          <cell r="H2383" t="str">
            <v>S0034445</v>
          </cell>
          <cell r="I2383" t="str">
            <v>LOT 1 THE QUARTERDECK</v>
          </cell>
          <cell r="J2383" t="str">
            <v>WILLETTON WA 6155</v>
          </cell>
          <cell r="K2383" t="str">
            <v>0081000151</v>
          </cell>
        </row>
        <row r="2384">
          <cell r="G2384" t="str">
            <v>SPS PORT RD ALBANY</v>
          </cell>
          <cell r="H2384" t="str">
            <v>S0022320</v>
          </cell>
          <cell r="I2384" t="str">
            <v>LOT 1126 PRINCESS ROYAL DR</v>
          </cell>
          <cell r="J2384" t="str">
            <v>ALBANY WA 6330</v>
          </cell>
          <cell r="K2384" t="str">
            <v>410M172640</v>
          </cell>
        </row>
        <row r="2385">
          <cell r="G2385" t="str">
            <v>SPS COLLINS RD WILLETTON</v>
          </cell>
          <cell r="H2385" t="str">
            <v>S0034265</v>
          </cell>
          <cell r="I2385" t="str">
            <v>U43 LOT 65 COLLINS RD</v>
          </cell>
          <cell r="J2385" t="str">
            <v>WILLETTON WA 6155</v>
          </cell>
          <cell r="K2385" t="str">
            <v>0081000149</v>
          </cell>
        </row>
        <row r="2386">
          <cell r="G2386" t="str">
            <v>SPS ST RAPHAEL CR PORT KENNEDY</v>
          </cell>
          <cell r="H2386" t="str">
            <v>S0030556</v>
          </cell>
          <cell r="I2386" t="str">
            <v>LOT 23 SAINT RAPHAEL CRES</v>
          </cell>
          <cell r="J2386" t="str">
            <v>PORT KENNEDY WA 6172</v>
          </cell>
          <cell r="K2386" t="str">
            <v>410M180432</v>
          </cell>
        </row>
        <row r="2387">
          <cell r="G2387" t="str">
            <v>SPS KEMPTON ST BLUFF POINT</v>
          </cell>
          <cell r="H2387" t="str">
            <v>S0037774</v>
          </cell>
          <cell r="I2387" t="str">
            <v>LOT 14430 KEMPTON ST</v>
          </cell>
          <cell r="J2387" t="str">
            <v>GERALDTON WA 6530</v>
          </cell>
          <cell r="K2387" t="str">
            <v>0180023418</v>
          </cell>
        </row>
        <row r="2388">
          <cell r="G2388" t="str">
            <v>BOREFIELD LANCELIN</v>
          </cell>
          <cell r="H2388" t="str">
            <v>W0041883</v>
          </cell>
          <cell r="I2388" t="str">
            <v>U54 CARL ST</v>
          </cell>
          <cell r="J2388" t="str">
            <v>LANCELIN WA 6044</v>
          </cell>
          <cell r="K2388" t="str">
            <v>000000000136002302</v>
          </cell>
        </row>
        <row r="2389">
          <cell r="G2389" t="str">
            <v>STANDPIPE COIN OPERATED TWS ORA BANDA</v>
          </cell>
          <cell r="H2389" t="str">
            <v>W6001280</v>
          </cell>
          <cell r="I2389" t="str">
            <v>LOT 90 TURNEY ST</v>
          </cell>
          <cell r="J2389" t="str">
            <v>ORA BANDA WA 6431</v>
          </cell>
          <cell r="K2389" t="str">
            <v>15D007320</v>
          </cell>
        </row>
        <row r="2390">
          <cell r="G2390" t="str">
            <v>SPS TIMBER CT COWARAMUP</v>
          </cell>
          <cell r="H2390" t="str">
            <v>S8007861</v>
          </cell>
          <cell r="I2390" t="str">
            <v>LOT 158 BROCKMAN RD</v>
          </cell>
          <cell r="J2390" t="str">
            <v>COWARAMUP WA 6284</v>
          </cell>
          <cell r="K2390" t="str">
            <v>0380001196</v>
          </cell>
        </row>
        <row r="2391">
          <cell r="G2391" t="str">
            <v>SPS BERTRAM RD BERTRAM</v>
          </cell>
          <cell r="H2391" t="str">
            <v>S0030266</v>
          </cell>
          <cell r="I2391" t="str">
            <v>BERTRAM RD</v>
          </cell>
          <cell r="J2391" t="str">
            <v>BERTRAM WA 6167</v>
          </cell>
          <cell r="K2391" t="str">
            <v>0136000726</v>
          </cell>
        </row>
        <row r="2392">
          <cell r="G2392" t="str">
            <v>BORE SITE J70</v>
          </cell>
          <cell r="H2392" t="str">
            <v>W1001446</v>
          </cell>
          <cell r="I2392" t="str">
            <v>LOT 70J ARMADALE RD</v>
          </cell>
          <cell r="J2392" t="str">
            <v>BANJUP WA 6164</v>
          </cell>
          <cell r="K2392" t="str">
            <v>0148005612</v>
          </cell>
        </row>
        <row r="2393">
          <cell r="G2393" t="str">
            <v>SPS WANJEEP ST NTH COODANUP</v>
          </cell>
          <cell r="H2393" t="str">
            <v>S0044800</v>
          </cell>
          <cell r="I2393" t="str">
            <v>WANJEEP ST</v>
          </cell>
          <cell r="J2393" t="str">
            <v>COODANUP WA  6210</v>
          </cell>
          <cell r="K2393" t="str">
            <v>000000000348000717</v>
          </cell>
        </row>
        <row r="2394">
          <cell r="G2394" t="str">
            <v>FRIAR RD CVS</v>
          </cell>
          <cell r="H2394" t="str">
            <v>W0011013</v>
          </cell>
          <cell r="I2394" t="str">
            <v>FRIAR RD</v>
          </cell>
          <cell r="J2394" t="str">
            <v>ARMADALE WA 6112</v>
          </cell>
          <cell r="K2394" t="str">
            <v>410M105892</v>
          </cell>
        </row>
        <row r="2395">
          <cell r="G2395" t="str">
            <v>BORE SITE Q10</v>
          </cell>
          <cell r="H2395" t="str">
            <v>W1001122</v>
          </cell>
          <cell r="I2395" t="str">
            <v>LOT 1211 MONKTON PL</v>
          </cell>
          <cell r="J2395" t="str">
            <v>KINROSS WA 6028</v>
          </cell>
          <cell r="K2395" t="str">
            <v>0148005743</v>
          </cell>
        </row>
        <row r="2396">
          <cell r="G2396" t="str">
            <v>SPS LE GRANDE AVE ORANA</v>
          </cell>
          <cell r="H2396" t="str">
            <v>S0022386</v>
          </cell>
          <cell r="I2396" t="str">
            <v>HSE NO 471 LOT 6 ALBANY HWY</v>
          </cell>
          <cell r="J2396" t="str">
            <v>ORANA WA 6330</v>
          </cell>
          <cell r="K2396" t="str">
            <v>0148005768</v>
          </cell>
        </row>
        <row r="2397">
          <cell r="G2397" t="str">
            <v>SPS TARCOOLA VW MT TARCOOLA</v>
          </cell>
          <cell r="H2397" t="str">
            <v>S0037826</v>
          </cell>
          <cell r="I2397" t="str">
            <v>LOT 488 SUTHERLAND DR</v>
          </cell>
          <cell r="J2397" t="str">
            <v>MOUNT TARCOOLA WA 6530</v>
          </cell>
          <cell r="K2397" t="str">
            <v>410M229099</v>
          </cell>
        </row>
        <row r="2398">
          <cell r="G2398" t="str">
            <v>NORTH DANDALUP DAM</v>
          </cell>
          <cell r="H2398" t="str">
            <v>W0007427</v>
          </cell>
          <cell r="I2398" t="str">
            <v>SCARP RD</v>
          </cell>
          <cell r="J2398" t="str">
            <v>NORTH DANDALUP WA 6207</v>
          </cell>
          <cell r="K2398" t="str">
            <v>0148002807</v>
          </cell>
        </row>
        <row r="2399">
          <cell r="G2399" t="str">
            <v>WPS DAM 2 GNOWANGERUP</v>
          </cell>
          <cell r="H2399" t="str">
            <v>W049-005-001-002-001-004</v>
          </cell>
          <cell r="I2399" t="str">
            <v>CORBETT ST</v>
          </cell>
          <cell r="J2399" t="str">
            <v>GNOWANGERUP WA 6335</v>
          </cell>
          <cell r="K2399" t="str">
            <v>0180012914</v>
          </cell>
        </row>
        <row r="2400">
          <cell r="G2400" t="str">
            <v>SPS ABEONA PDE MADORA BAY</v>
          </cell>
          <cell r="H2400" t="str">
            <v>S8007064</v>
          </cell>
          <cell r="I2400" t="str">
            <v>ABEONA PDE</v>
          </cell>
          <cell r="J2400" t="str">
            <v>MADORA BAY WA 6210</v>
          </cell>
          <cell r="K2400" t="str">
            <v>0350034235</v>
          </cell>
        </row>
        <row r="2401">
          <cell r="G2401" t="str">
            <v>SPS MARLENE WY BIBRA LAKE</v>
          </cell>
          <cell r="H2401" t="str">
            <v>S0032863</v>
          </cell>
          <cell r="I2401" t="str">
            <v>MARLENE WAY</v>
          </cell>
          <cell r="J2401" t="str">
            <v>BIBRA LAKE WA 6163</v>
          </cell>
          <cell r="K2401" t="str">
            <v>410M6097</v>
          </cell>
        </row>
        <row r="2402">
          <cell r="G2402" t="str">
            <v>SPS OCEAN RD DAWESVILLE</v>
          </cell>
          <cell r="H2402" t="str">
            <v>S8000838</v>
          </cell>
          <cell r="I2402" t="str">
            <v>LOT 531 OCEAN RD</v>
          </cell>
          <cell r="J2402" t="str">
            <v>DAWESVILLE WA 6210</v>
          </cell>
          <cell r="K2402" t="str">
            <v>410M229010</v>
          </cell>
        </row>
        <row r="2403">
          <cell r="G2403" t="str">
            <v>SPS LEACH HWY BRENTWOOD</v>
          </cell>
          <cell r="H2403" t="str">
            <v>S0033749</v>
          </cell>
          <cell r="I2403" t="str">
            <v>LOT 2446 LEACH HWY</v>
          </cell>
          <cell r="J2403" t="str">
            <v>BULL CREEK WA 6149</v>
          </cell>
          <cell r="K2403" t="str">
            <v>0148004371</v>
          </cell>
        </row>
        <row r="2404">
          <cell r="G2404" t="str">
            <v>SPS ASCOT PL ASCOT</v>
          </cell>
          <cell r="H2404" t="str">
            <v>S0033967</v>
          </cell>
          <cell r="I2404" t="str">
            <v>LOT 10913 ASCOT PL</v>
          </cell>
          <cell r="J2404" t="str">
            <v>ASCOT WA 6104</v>
          </cell>
          <cell r="K2404" t="str">
            <v>450M22328</v>
          </cell>
        </row>
        <row r="2405">
          <cell r="G2405" t="str">
            <v>ELECT INSTALL BORE 03-98 SUE COAL</v>
          </cell>
          <cell r="H2405" t="str">
            <v>W8003611</v>
          </cell>
          <cell r="I2405" t="str">
            <v>LOT 98 VASSE-YALLINGUP SIDING RD</v>
          </cell>
          <cell r="J2405" t="str">
            <v>QUINDALUP WA 6281</v>
          </cell>
          <cell r="K2405" t="str">
            <v>0211001370</v>
          </cell>
        </row>
        <row r="2406">
          <cell r="G2406" t="str">
            <v>SPS DA VINCI WY FORRESTDALE</v>
          </cell>
          <cell r="H2406" t="str">
            <v>S2019199</v>
          </cell>
          <cell r="I2406" t="str">
            <v>1 DAVINCI WAY</v>
          </cell>
          <cell r="J2406" t="str">
            <v>FORRESTDALE WA 6112</v>
          </cell>
          <cell r="K2406" t="str">
            <v>0350034475</v>
          </cell>
        </row>
        <row r="2407">
          <cell r="G2407" t="str">
            <v>SPS YATE PLACE BREMER BAY</v>
          </cell>
          <cell r="H2407" t="str">
            <v>S021-002-003</v>
          </cell>
          <cell r="I2407" t="str">
            <v>LOT 772 YATE PL</v>
          </cell>
          <cell r="J2407" t="str">
            <v>BREMER BAY WA 6338</v>
          </cell>
          <cell r="K2407" t="str">
            <v>410M179916</v>
          </cell>
        </row>
        <row r="2408">
          <cell r="G2408" t="str">
            <v>ELECT INSTALL SRS STH WEST HWY PEMBERTON</v>
          </cell>
          <cell r="H2408" t="str">
            <v>S8006526</v>
          </cell>
          <cell r="I2408" t="str">
            <v>VASSE HWY</v>
          </cell>
          <cell r="J2408" t="str">
            <v>PEMBERTON WA 6260</v>
          </cell>
          <cell r="K2408" t="str">
            <v>410M170838</v>
          </cell>
        </row>
        <row r="2409">
          <cell r="G2409" t="str">
            <v>SPS BEDINGFIELD WY AUSTRALIND</v>
          </cell>
          <cell r="H2409" t="str">
            <v>S0043935</v>
          </cell>
          <cell r="I2409" t="str">
            <v>LOT 450 BEDINGFIELD WAY</v>
          </cell>
          <cell r="J2409" t="str">
            <v>AUSTRALIND WA 6233</v>
          </cell>
          <cell r="K2409" t="str">
            <v>0248000392</v>
          </cell>
        </row>
        <row r="2410">
          <cell r="G2410" t="str">
            <v>CDP SCABBY GULLY DAM GLENORAN</v>
          </cell>
          <cell r="H2410" t="str">
            <v>W8001436</v>
          </cell>
          <cell r="I2410" t="str">
            <v>LOCN 5827 APPADENE RD</v>
          </cell>
          <cell r="J2410" t="str">
            <v>MANJIMUP WA 6258</v>
          </cell>
          <cell r="K2410" t="str">
            <v>0137000182</v>
          </cell>
        </row>
        <row r="2411">
          <cell r="G2411" t="str">
            <v>WPS BROOKFIELD AV MARGARET RIVER BOOSTER</v>
          </cell>
          <cell r="H2411" t="str">
            <v>W8003669</v>
          </cell>
          <cell r="I2411" t="str">
            <v>BROOKFIELD AVE</v>
          </cell>
          <cell r="J2411" t="str">
            <v>MARGARET RIVER WA 6285</v>
          </cell>
          <cell r="K2411" t="str">
            <v>0180016256</v>
          </cell>
        </row>
        <row r="2412">
          <cell r="G2412" t="str">
            <v>SPS JONES ST BALCATTA</v>
          </cell>
          <cell r="H2412" t="str">
            <v>S0028502</v>
          </cell>
          <cell r="I2412" t="str">
            <v>LOT 227 JONES ST</v>
          </cell>
          <cell r="J2412" t="str">
            <v>BALCATTA WA 6021</v>
          </cell>
          <cell r="K2412" t="str">
            <v>410M103683</v>
          </cell>
        </row>
        <row r="2413">
          <cell r="G2413" t="str">
            <v>TANK WSC MARNIE RD DARLINGTON</v>
          </cell>
          <cell r="H2413" t="str">
            <v>W0035518</v>
          </cell>
          <cell r="I2413" t="str">
            <v>LOT 529 MARNIE RD</v>
          </cell>
          <cell r="J2413" t="str">
            <v>DARLINGTON WA 6070</v>
          </cell>
          <cell r="K2413" t="str">
            <v>000000000530000022</v>
          </cell>
        </row>
        <row r="2414">
          <cell r="G2414" t="str">
            <v>SPS HARDEY RD BELMONT</v>
          </cell>
          <cell r="H2414" t="str">
            <v>S0034072</v>
          </cell>
          <cell r="I2414" t="str">
            <v>HARDEY RD</v>
          </cell>
          <cell r="J2414" t="str">
            <v>BELMONT WA 6104</v>
          </cell>
          <cell r="K2414" t="str">
            <v>0148004149</v>
          </cell>
        </row>
        <row r="2415">
          <cell r="G2415" t="str">
            <v>WWTP GOLD MINE RD BODDINGTON</v>
          </cell>
          <cell r="H2415" t="str">
            <v>S020-003-001</v>
          </cell>
          <cell r="I2415" t="str">
            <v>LOT 100 OLD SOLDIERS RD</v>
          </cell>
          <cell r="J2415" t="str">
            <v>BODDINGTON WA 6390</v>
          </cell>
          <cell r="K2415" t="str">
            <v>0248001250</v>
          </cell>
        </row>
        <row r="2416">
          <cell r="G2416" t="str">
            <v>BORE 04-96 MT HILL ALLANOOKA</v>
          </cell>
          <cell r="H2416" t="str">
            <v>W0039394</v>
          </cell>
          <cell r="I2416" t="str">
            <v>LOC640 ALLANOOKA SPRINGS RD</v>
          </cell>
          <cell r="J2416" t="str">
            <v>ALLANOOKA WA 6525</v>
          </cell>
          <cell r="K2416" t="str">
            <v>0148006244</v>
          </cell>
        </row>
        <row r="2417">
          <cell r="G2417" t="str">
            <v>SPS TIMPERLEY RD STH BUNBURY</v>
          </cell>
          <cell r="H2417" t="str">
            <v>S0044145</v>
          </cell>
          <cell r="I2417" t="str">
            <v>TIMPERLEY RD</v>
          </cell>
          <cell r="J2417" t="str">
            <v>BUNBURY WA 6230</v>
          </cell>
          <cell r="K2417" t="str">
            <v>410M110544</v>
          </cell>
        </row>
        <row r="2418">
          <cell r="G2418" t="str">
            <v>BUILDING STORE BUNBURY</v>
          </cell>
          <cell r="H2418" t="str">
            <v>C0043884</v>
          </cell>
          <cell r="I2418" t="str">
            <v>LOT 2 RICHTER RD</v>
          </cell>
          <cell r="J2418" t="str">
            <v>BUNBURY WA 6230</v>
          </cell>
          <cell r="K2418" t="str">
            <v>410M16565</v>
          </cell>
        </row>
        <row r="2419">
          <cell r="G2419" t="str">
            <v>SPS MEDIC ST COLLIE</v>
          </cell>
          <cell r="H2419" t="str">
            <v>S0044405</v>
          </cell>
          <cell r="I2419" t="str">
            <v>LOCN 24375 MEDIC ST</v>
          </cell>
          <cell r="J2419" t="str">
            <v>COLLIE WA 6225</v>
          </cell>
          <cell r="K2419" t="str">
            <v>0211000901</v>
          </cell>
        </row>
        <row r="2420">
          <cell r="G2420" t="str">
            <v>WPS RAYMOND RD WALLISTON</v>
          </cell>
          <cell r="H2420" t="str">
            <v>W0035213</v>
          </cell>
          <cell r="I2420" t="str">
            <v>RAYMOND RD</v>
          </cell>
          <cell r="J2420" t="str">
            <v>WALLISTON WA 6076</v>
          </cell>
          <cell r="K2420" t="str">
            <v>0248001349</v>
          </cell>
        </row>
        <row r="2421">
          <cell r="G2421" t="str">
            <v>SPS WOODVILLE HTS HILLARYS</v>
          </cell>
          <cell r="H2421" t="str">
            <v>S0028717</v>
          </cell>
          <cell r="I2421" t="str">
            <v>U42 23 WOODVILLE HTS</v>
          </cell>
          <cell r="J2421" t="str">
            <v>HILLARYS WA 6025</v>
          </cell>
          <cell r="K2421" t="str">
            <v>0081000008</v>
          </cell>
        </row>
        <row r="2422">
          <cell r="G2422" t="str">
            <v>SPS WILLIAM ST WILLIAMS</v>
          </cell>
          <cell r="H2422" t="str">
            <v>S7013120</v>
          </cell>
          <cell r="I2422" t="str">
            <v>LOT 345 WILLIAM ST</v>
          </cell>
          <cell r="J2422" t="str">
            <v>WILLIAMS WA 6391</v>
          </cell>
          <cell r="K2422" t="str">
            <v>0380008177</v>
          </cell>
        </row>
        <row r="2423">
          <cell r="G2423" t="str">
            <v>SPS WATERWORKS RD HAYNES</v>
          </cell>
          <cell r="H2423" t="str">
            <v>S0032795</v>
          </cell>
          <cell r="I2423" t="str">
            <v>WATERWORKS RD</v>
          </cell>
          <cell r="J2423" t="str">
            <v>BROOKDALE WA 6112</v>
          </cell>
          <cell r="K2423" t="str">
            <v>0140000754</v>
          </cell>
        </row>
        <row r="2424">
          <cell r="G2424" t="str">
            <v>SPS OCEAN DR DONGARA</v>
          </cell>
          <cell r="H2424" t="str">
            <v>S4001006</v>
          </cell>
          <cell r="I2424" t="str">
            <v>LOT 165 OCEAN DRIVE</v>
          </cell>
          <cell r="J2424" t="str">
            <v>DONGARA WA 6525</v>
          </cell>
          <cell r="K2424" t="str">
            <v>0180019036</v>
          </cell>
        </row>
        <row r="2425">
          <cell r="G2425" t="str">
            <v>WPS HALE RD FORRESTFIELD</v>
          </cell>
          <cell r="H2425" t="str">
            <v>W0035850</v>
          </cell>
          <cell r="I2425" t="str">
            <v>HALE RD</v>
          </cell>
          <cell r="J2425" t="str">
            <v>FORRESTFIELD WA 6058</v>
          </cell>
          <cell r="K2425" t="str">
            <v>0136004266</v>
          </cell>
        </row>
        <row r="2426">
          <cell r="G2426" t="str">
            <v>SPS COHN ST KEWDALE</v>
          </cell>
          <cell r="H2426" t="str">
            <v>S2000268</v>
          </cell>
          <cell r="I2426" t="str">
            <v>LOT 340 COHN ST</v>
          </cell>
          <cell r="J2426" t="str">
            <v>CARLISLE WA 6101</v>
          </cell>
          <cell r="K2426" t="str">
            <v>410M194976</v>
          </cell>
        </row>
        <row r="2427">
          <cell r="G2427" t="str">
            <v>SPS SALTER ST PINJARRA</v>
          </cell>
          <cell r="H2427" t="str">
            <v>S0044976</v>
          </cell>
          <cell r="I2427" t="str">
            <v>1 SALTER ST</v>
          </cell>
          <cell r="J2427" t="str">
            <v>PINJARRA WA 6208</v>
          </cell>
          <cell r="K2427" t="str">
            <v>410M84559</v>
          </cell>
        </row>
        <row r="2428">
          <cell r="G2428"/>
          <cell r="H2428"/>
          <cell r="I2428" t="str">
            <v>GREAT EASTERN HWY MERREDIN 6415</v>
          </cell>
          <cell r="J2428" t="str">
            <v>MERREDIN WA 6415</v>
          </cell>
          <cell r="K2428" t="str">
            <v>450M2000322</v>
          </cell>
        </row>
        <row r="2429">
          <cell r="G2429" t="str">
            <v>BOREFIELD WATHEROO</v>
          </cell>
          <cell r="H2429" t="str">
            <v>W0042746</v>
          </cell>
          <cell r="I2429" t="str">
            <v>LOC 2040</v>
          </cell>
          <cell r="J2429" t="str">
            <v>WATHEROO WA 6513</v>
          </cell>
          <cell r="K2429" t="str">
            <v>0200218155</v>
          </cell>
        </row>
        <row r="2430">
          <cell r="G2430" t="str">
            <v>SPS FLYNN ST CHURCHLANDS</v>
          </cell>
          <cell r="H2430" t="str">
            <v>S0031690</v>
          </cell>
          <cell r="I2430" t="str">
            <v>U42 97 FLYNN ST</v>
          </cell>
          <cell r="J2430" t="str">
            <v>CHURCHLANDS WA 6018</v>
          </cell>
          <cell r="K2430" t="str">
            <v>0148001669</v>
          </cell>
        </row>
        <row r="2431">
          <cell r="G2431" t="str">
            <v>DAM LOGUE BROOK SW SCHEMES</v>
          </cell>
          <cell r="H2431" t="str">
            <v>W0046440</v>
          </cell>
          <cell r="I2431" t="str">
            <v>LOT 1001 OLD BUNBURY RD</v>
          </cell>
          <cell r="J2431" t="str">
            <v>LAKE CLIFTON WA 6215</v>
          </cell>
          <cell r="K2431" t="str">
            <v>15M280234</v>
          </cell>
        </row>
        <row r="2432">
          <cell r="G2432" t="str">
            <v>SPS SAFETY BAY RD STH WARNBRO</v>
          </cell>
          <cell r="H2432" t="str">
            <v>S2017556</v>
          </cell>
          <cell r="I2432" t="str">
            <v>LOT 2000 SAFETY BAY RD</v>
          </cell>
          <cell r="J2432" t="str">
            <v>WARNBRO WA 6169</v>
          </cell>
          <cell r="K2432" t="str">
            <v>0140000986</v>
          </cell>
        </row>
        <row r="2433">
          <cell r="G2433" t="str">
            <v>SPS BOUNDARY RD PERON</v>
          </cell>
          <cell r="H2433" t="str">
            <v>S2000010</v>
          </cell>
          <cell r="I2433" t="str">
            <v>25 BOUNDARY RD</v>
          </cell>
          <cell r="J2433" t="str">
            <v>SHOALWATER WA 6169</v>
          </cell>
          <cell r="K2433" t="str">
            <v>410M191760</v>
          </cell>
        </row>
        <row r="2434">
          <cell r="G2434" t="str">
            <v>CDP MUNGALUP RD COLLIE</v>
          </cell>
          <cell r="H2434" t="str">
            <v>W8001387</v>
          </cell>
          <cell r="I2434" t="str">
            <v>LOC 30480 / LOT 5042 MUNGALUP RD</v>
          </cell>
          <cell r="J2434" t="str">
            <v>COLLIE WA 6225</v>
          </cell>
          <cell r="K2434" t="str">
            <v>450AM2652</v>
          </cell>
        </row>
        <row r="2435">
          <cell r="G2435" t="str">
            <v>EFFLUENT DISPOSAL WWTP ENEABBA</v>
          </cell>
          <cell r="H2435" t="str">
            <v>S062-001-004</v>
          </cell>
          <cell r="I2435" t="str">
            <v>LOT 11161 BRAND HWY</v>
          </cell>
          <cell r="J2435" t="str">
            <v>ENEABBA WA 6518</v>
          </cell>
          <cell r="K2435" t="str">
            <v>15M307804</v>
          </cell>
        </row>
        <row r="2436">
          <cell r="G2436" t="str">
            <v>SPS CULLIGAN RD THORNLIE</v>
          </cell>
          <cell r="H2436" t="str">
            <v>S0033407</v>
          </cell>
          <cell r="I2436" t="str">
            <v>LOT 3112 CULLIGAN RD</v>
          </cell>
          <cell r="J2436" t="str">
            <v>THORNLIE WA 6108</v>
          </cell>
          <cell r="K2436" t="str">
            <v>450M22351</v>
          </cell>
        </row>
        <row r="2437">
          <cell r="G2437" t="str">
            <v>WPS BROOKING RD MAHOGANY CREEK</v>
          </cell>
          <cell r="H2437" t="str">
            <v>W0035496</v>
          </cell>
          <cell r="I2437" t="str">
            <v>U42 445 BROOKING RD</v>
          </cell>
          <cell r="J2437" t="str">
            <v>MAHOGANY CREEK WA 6072</v>
          </cell>
          <cell r="K2437" t="str">
            <v>0102000014</v>
          </cell>
        </row>
        <row r="2438">
          <cell r="G2438" t="str">
            <v>WPS BEGA ST DARLINGTON</v>
          </cell>
          <cell r="H2438" t="str">
            <v>W0035427</v>
          </cell>
          <cell r="I2438" t="str">
            <v>LOT 535 BURTON RD</v>
          </cell>
          <cell r="J2438" t="str">
            <v>DARLINGTON WA 6070</v>
          </cell>
          <cell r="K2438" t="str">
            <v>0211001220</v>
          </cell>
        </row>
        <row r="2439">
          <cell r="G2439" t="str">
            <v>SPS AUSTRAL PDE EAST BUNBURY</v>
          </cell>
          <cell r="H2439" t="str">
            <v>S0044013</v>
          </cell>
          <cell r="I2439" t="str">
            <v>LOT 591 AUSTRAL PDE</v>
          </cell>
          <cell r="J2439" t="str">
            <v>BUNBURY WA 6230</v>
          </cell>
          <cell r="K2439" t="str">
            <v>450M5148</v>
          </cell>
        </row>
        <row r="2440">
          <cell r="G2440" t="str">
            <v>SPS STONEHAM ST ASCOT</v>
          </cell>
          <cell r="H2440" t="str">
            <v>S0034174</v>
          </cell>
          <cell r="I2440" t="str">
            <v>STONEHAM ST</v>
          </cell>
          <cell r="J2440" t="str">
            <v>ASCOT WA 6104</v>
          </cell>
          <cell r="K2440" t="str">
            <v>450M22329</v>
          </cell>
        </row>
        <row r="2441">
          <cell r="G2441" t="str">
            <v>SPS ELMSLIE ST ORELIA</v>
          </cell>
          <cell r="H2441" t="str">
            <v>S0030294</v>
          </cell>
          <cell r="I2441" t="str">
            <v>14 ELMSLIE ST</v>
          </cell>
          <cell r="J2441" t="str">
            <v>ORELIA WA 6167</v>
          </cell>
          <cell r="K2441" t="str">
            <v>0350025352</v>
          </cell>
        </row>
        <row r="2442">
          <cell r="G2442" t="str">
            <v>SPS JANIS ST HALLS HEAD</v>
          </cell>
          <cell r="H2442" t="str">
            <v>S0044579</v>
          </cell>
          <cell r="I2442" t="str">
            <v>6 JANIS ST</v>
          </cell>
          <cell r="J2442" t="str">
            <v>HALLS HEAD WA 6210</v>
          </cell>
          <cell r="K2442" t="str">
            <v>410LA00546</v>
          </cell>
        </row>
        <row r="2443">
          <cell r="G2443"/>
          <cell r="H2443"/>
          <cell r="I2443" t="str">
            <v>LOT 127 RAILWAY PDE</v>
          </cell>
          <cell r="J2443" t="str">
            <v>BECKENHAM WA 6107</v>
          </cell>
          <cell r="K2443" t="str">
            <v>15M296222</v>
          </cell>
        </row>
        <row r="2444">
          <cell r="G2444" t="str">
            <v>SPS PEBBLE BEACH BVD MEADOW SPRINGS</v>
          </cell>
          <cell r="H2444" t="str">
            <v>S8003705</v>
          </cell>
          <cell r="I2444" t="str">
            <v>PEBBLE BEACH BVD</v>
          </cell>
          <cell r="J2444" t="str">
            <v>MEADOW SPRINGS WA 6210</v>
          </cell>
          <cell r="K2444" t="str">
            <v>0148006016</v>
          </cell>
        </row>
        <row r="2445">
          <cell r="G2445" t="str">
            <v>SPS HALL RD COWARAMUP</v>
          </cell>
          <cell r="H2445" t="str">
            <v>S8006459</v>
          </cell>
          <cell r="I2445" t="str">
            <v>9 BOTTRILL ST</v>
          </cell>
          <cell r="J2445" t="str">
            <v>COWARAMUP WA 6284</v>
          </cell>
          <cell r="K2445" t="str">
            <v>0180019156</v>
          </cell>
        </row>
        <row r="2446">
          <cell r="G2446" t="str">
            <v>WPS BRUCE ROCK</v>
          </cell>
          <cell r="H2446" t="str">
            <v>W0020474</v>
          </cell>
          <cell r="I2446" t="str">
            <v>LOC 19675 NOONAJIN RD</v>
          </cell>
          <cell r="J2446" t="str">
            <v>BRUCE ROCK WA 6418</v>
          </cell>
          <cell r="K2446" t="str">
            <v>0148006395</v>
          </cell>
        </row>
        <row r="2447">
          <cell r="G2447" t="str">
            <v>SPS PEELWOOD PDE HALLS HEAD</v>
          </cell>
          <cell r="H2447" t="str">
            <v>S8009219</v>
          </cell>
          <cell r="I2447" t="str">
            <v>LOT 2136 PEELWOOD PDE</v>
          </cell>
          <cell r="J2447" t="str">
            <v>HALLS HEAD WA 6210</v>
          </cell>
          <cell r="K2447" t="str">
            <v>0350000149</v>
          </cell>
        </row>
        <row r="2448">
          <cell r="G2448" t="str">
            <v>SPS PINETREE GULLY NTH WILLETTON</v>
          </cell>
          <cell r="H2448" t="str">
            <v>S0034351</v>
          </cell>
          <cell r="I2448" t="str">
            <v>LOT 707 PINETREE GULLY RD</v>
          </cell>
          <cell r="J2448" t="str">
            <v>WILLETTON WA 6155</v>
          </cell>
          <cell r="K2448" t="str">
            <v>0081000139</v>
          </cell>
        </row>
        <row r="2449">
          <cell r="G2449" t="str">
            <v>SPS ROBINSON AV CLOVERDALE</v>
          </cell>
          <cell r="H2449" t="str">
            <v>S0034155</v>
          </cell>
          <cell r="I2449" t="str">
            <v>WRIGHT ST</v>
          </cell>
          <cell r="J2449" t="str">
            <v>BELMONT WA 6104</v>
          </cell>
          <cell r="K2449" t="str">
            <v>410M116466</v>
          </cell>
        </row>
        <row r="2450">
          <cell r="G2450" t="str">
            <v>WPS NULLA NULLA</v>
          </cell>
          <cell r="H2450" t="str">
            <v>W0021201</v>
          </cell>
          <cell r="I2450" t="str">
            <v>LOCN 1</v>
          </cell>
          <cell r="J2450" t="str">
            <v>MOORINE ROCK WA 6425</v>
          </cell>
          <cell r="K2450" t="str">
            <v>0211001060</v>
          </cell>
        </row>
        <row r="2451">
          <cell r="G2451" t="str">
            <v>SPS PUMPHILL RD PEMBERTON</v>
          </cell>
          <cell r="H2451" t="str">
            <v>S0044941</v>
          </cell>
          <cell r="I2451" t="str">
            <v>PUMP HILL RD</v>
          </cell>
          <cell r="J2451" t="str">
            <v>PEMBERTON WA 6260</v>
          </cell>
          <cell r="K2451" t="str">
            <v>410M169900</v>
          </cell>
        </row>
        <row r="2452">
          <cell r="G2452" t="str">
            <v>BORE SITE M130</v>
          </cell>
          <cell r="H2452" t="str">
            <v>W1001357</v>
          </cell>
          <cell r="I2452" t="str">
            <v>LOT 130M MARANGAROO DR</v>
          </cell>
          <cell r="J2452" t="str">
            <v>CULLACABARDEE WA 6067</v>
          </cell>
          <cell r="K2452" t="str">
            <v>0148003431</v>
          </cell>
        </row>
        <row r="2453">
          <cell r="G2453" t="str">
            <v>SPS GLEN CT FERNDALE</v>
          </cell>
          <cell r="H2453" t="str">
            <v>S0034305</v>
          </cell>
          <cell r="I2453" t="str">
            <v>LOT 518 GLEN WAY</v>
          </cell>
          <cell r="J2453" t="str">
            <v>FERNDALE WA 6148</v>
          </cell>
          <cell r="K2453" t="str">
            <v>450M22354</v>
          </cell>
        </row>
        <row r="2454">
          <cell r="G2454" t="str">
            <v>SPS PADBURY CIR SORRENTO</v>
          </cell>
          <cell r="H2454" t="str">
            <v>S2004018</v>
          </cell>
          <cell r="I2454" t="str">
            <v>PADBURY CIR</v>
          </cell>
          <cell r="J2454" t="str">
            <v>SORRENTO WA 6020</v>
          </cell>
          <cell r="K2454" t="str">
            <v>0148006384</v>
          </cell>
        </row>
        <row r="2455">
          <cell r="G2455" t="str">
            <v>SPS CRAIG CRT SPALDING</v>
          </cell>
          <cell r="H2455" t="str">
            <v>S4000138</v>
          </cell>
          <cell r="I2455" t="str">
            <v>4 CRAIG CT</v>
          </cell>
          <cell r="J2455" t="str">
            <v>SPALDING WA 6530</v>
          </cell>
          <cell r="K2455" t="str">
            <v>410M204792</v>
          </cell>
        </row>
        <row r="2456">
          <cell r="G2456" t="str">
            <v>SPS CRESSWELL RD DIANELLA</v>
          </cell>
          <cell r="H2456" t="str">
            <v>S0030110</v>
          </cell>
          <cell r="I2456" t="str">
            <v>LOT 3 CRESSWELL RD</v>
          </cell>
          <cell r="J2456" t="str">
            <v>DIANELLA WA 6059</v>
          </cell>
          <cell r="K2456" t="str">
            <v>0211000414</v>
          </cell>
        </row>
        <row r="2457">
          <cell r="G2457" t="str">
            <v>SPS BEECHBORO RD MORLEY</v>
          </cell>
          <cell r="H2457" t="str">
            <v>S0030028</v>
          </cell>
          <cell r="I2457" t="str">
            <v>LOT 737 BEECHBORO RD</v>
          </cell>
          <cell r="J2457" t="str">
            <v>MORLEY WA 6062</v>
          </cell>
          <cell r="K2457" t="str">
            <v>0102000522</v>
          </cell>
        </row>
        <row r="2458">
          <cell r="G2458" t="str">
            <v>SPS RAILWAY PDE WELSHPOOL</v>
          </cell>
          <cell r="H2458" t="str">
            <v>S0033128</v>
          </cell>
          <cell r="I2458" t="str">
            <v>U43 WELSHPOOL RD</v>
          </cell>
          <cell r="J2458" t="str">
            <v>WELSHPOOL WA 6106</v>
          </cell>
          <cell r="K2458" t="str">
            <v>0148001636</v>
          </cell>
        </row>
        <row r="2459">
          <cell r="G2459" t="str">
            <v>WWTP CAMM ST NARROGIN</v>
          </cell>
          <cell r="H2459" t="str">
            <v>S028-003-001</v>
          </cell>
          <cell r="I2459" t="str">
            <v>O'CONNOR ST</v>
          </cell>
          <cell r="J2459" t="str">
            <v>NARROGIN WA 6312</v>
          </cell>
          <cell r="K2459" t="str">
            <v>0148005766</v>
          </cell>
        </row>
        <row r="2460">
          <cell r="G2460" t="str">
            <v>SPS MITCHELL ST MT BARKER</v>
          </cell>
          <cell r="H2460" t="str">
            <v>S027-002-002</v>
          </cell>
          <cell r="I2460" t="str">
            <v>LOT 22 ALBANY HWY</v>
          </cell>
          <cell r="J2460" t="str">
            <v>MOUNT BARKER WA 6324</v>
          </cell>
          <cell r="K2460" t="str">
            <v>410M181795</v>
          </cell>
        </row>
        <row r="2461">
          <cell r="G2461" t="str">
            <v>WPS NICHOLSON RD</v>
          </cell>
          <cell r="H2461" t="str">
            <v>W1012900</v>
          </cell>
          <cell r="I2461" t="str">
            <v>LOT 111 NICHOLSON RD</v>
          </cell>
          <cell r="J2461" t="str">
            <v>FORRESTDALE WA 6112</v>
          </cell>
          <cell r="K2461" t="str">
            <v>0295000110</v>
          </cell>
        </row>
        <row r="2462">
          <cell r="G2462" t="str">
            <v>WWTP DRAKE RD WAROONA</v>
          </cell>
          <cell r="H2462" t="str">
            <v>S098-001-003</v>
          </cell>
          <cell r="I2462" t="str">
            <v>LOT 22 DRAKE RD</v>
          </cell>
          <cell r="J2462" t="str">
            <v>WAROONA WA 6215</v>
          </cell>
          <cell r="K2462" t="str">
            <v>410M183241</v>
          </cell>
        </row>
        <row r="2463">
          <cell r="G2463" t="str">
            <v>WPS HL TRANSFER CHITTERING</v>
          </cell>
          <cell r="H2463" t="str">
            <v>W0040610</v>
          </cell>
          <cell r="I2463" t="str">
            <v>LOT 269 FORREST HILLS PDE</v>
          </cell>
          <cell r="J2463" t="str">
            <v>BINDOON WA 6502</v>
          </cell>
          <cell r="K2463" t="str">
            <v>410M174985</v>
          </cell>
        </row>
        <row r="2464">
          <cell r="G2464"/>
          <cell r="H2464"/>
          <cell r="I2464" t="str">
            <v>LOC 16287 GREAT EASTERN HIGHWAY</v>
          </cell>
          <cell r="J2464" t="str">
            <v>KELLERBERRIN</v>
          </cell>
          <cell r="K2464" t="str">
            <v>0200077558</v>
          </cell>
        </row>
        <row r="2465">
          <cell r="G2465" t="str">
            <v>SPS CUREDALE MEWS BULL CREEK</v>
          </cell>
          <cell r="H2465" t="str">
            <v>S0033647</v>
          </cell>
          <cell r="I2465" t="str">
            <v>LOT 133 CUREDALE MEWS</v>
          </cell>
          <cell r="J2465" t="str">
            <v>BULL CREEK WA 6149</v>
          </cell>
          <cell r="K2465" t="str">
            <v>410M2002520</v>
          </cell>
        </row>
        <row r="2466">
          <cell r="G2466" t="str">
            <v>WTP PENN ST BOYANUP</v>
          </cell>
          <cell r="H2466" t="str">
            <v>W0045376</v>
          </cell>
          <cell r="I2466" t="str">
            <v>PENN ST</v>
          </cell>
          <cell r="J2466" t="str">
            <v>BOYANUP WA 6237</v>
          </cell>
          <cell r="K2466" t="str">
            <v>0116000238</v>
          </cell>
        </row>
        <row r="2467">
          <cell r="G2467" t="str">
            <v>TANK GL1 WSC BILLERANGA</v>
          </cell>
          <cell r="H2467" t="str">
            <v>W0040078</v>
          </cell>
          <cell r="I2467" t="str">
            <v>LOC 11756 MORAWA-THREE SPRINGS RD</v>
          </cell>
          <cell r="J2467" t="str">
            <v>MORAWA  WA  6623</v>
          </cell>
          <cell r="K2467" t="str">
            <v>0200083891</v>
          </cell>
        </row>
        <row r="2468">
          <cell r="G2468" t="str">
            <v>WPS VIDLER RD NATURALISTE</v>
          </cell>
          <cell r="H2468" t="str">
            <v>W8000905</v>
          </cell>
          <cell r="I2468" t="str">
            <v>LOC 1374 CAVES RD</v>
          </cell>
          <cell r="J2468" t="str">
            <v>YALLINGUP WA 6282</v>
          </cell>
          <cell r="K2468" t="str">
            <v>15M305973</v>
          </cell>
        </row>
        <row r="2469">
          <cell r="G2469" t="str">
            <v>WPS STEVEN ST WANNEROO</v>
          </cell>
          <cell r="H2469" t="str">
            <v>W0035704</v>
          </cell>
          <cell r="I2469" t="str">
            <v>LOT 2 BELGRADE RD</v>
          </cell>
          <cell r="J2469" t="str">
            <v>WANNEROO WA 6065</v>
          </cell>
          <cell r="K2469" t="str">
            <v>0136006207</v>
          </cell>
        </row>
        <row r="2470">
          <cell r="G2470" t="str">
            <v>WPS MELARA RD NON POT SUPP MINGENEW</v>
          </cell>
          <cell r="H2470" t="str">
            <v>W4002171</v>
          </cell>
          <cell r="I2470" t="str">
            <v>LOC 10 YANDANOOKA MELARA RD</v>
          </cell>
          <cell r="J2470" t="str">
            <v>MINGENEW WA 6522</v>
          </cell>
          <cell r="K2470" t="str">
            <v>15D103779</v>
          </cell>
        </row>
        <row r="2471">
          <cell r="G2471" t="str">
            <v>SPS VALONIA RD LANGFORD</v>
          </cell>
          <cell r="H2471" t="str">
            <v>S0034452</v>
          </cell>
          <cell r="I2471" t="str">
            <v>4 VALONIA RD</v>
          </cell>
          <cell r="J2471" t="str">
            <v>LANGFORD WA 6147</v>
          </cell>
          <cell r="K2471" t="str">
            <v>0148001605</v>
          </cell>
        </row>
        <row r="2472">
          <cell r="G2472" t="str">
            <v>ELECT INSTALL WWTP DONNYBROOK</v>
          </cell>
          <cell r="H2472" t="str">
            <v>S8014079</v>
          </cell>
          <cell r="I2472" t="str">
            <v>LOT 2861 SOUTH WEST HWY</v>
          </cell>
          <cell r="J2472" t="str">
            <v>DONNYBROOK WA 6239</v>
          </cell>
          <cell r="K2472" t="str">
            <v>000000000211001336</v>
          </cell>
        </row>
        <row r="2473">
          <cell r="G2473" t="str">
            <v>BORE SITE L320</v>
          </cell>
          <cell r="H2473" t="str">
            <v>W1001428</v>
          </cell>
          <cell r="I2473" t="str">
            <v>LOT 1628 HORSESHOE CCT</v>
          </cell>
          <cell r="J2473" t="str">
            <v>HENLEY BROOK WA 6055</v>
          </cell>
          <cell r="K2473" t="str">
            <v>0148005135</v>
          </cell>
        </row>
        <row r="2474">
          <cell r="G2474" t="str">
            <v>BORE 07-57 SANDPATCH</v>
          </cell>
          <cell r="H2474" t="str">
            <v>W0023685</v>
          </cell>
          <cell r="I2474" t="str">
            <v>LOC 6475</v>
          </cell>
          <cell r="J2474" t="str">
            <v>LITTLE GROVE WA 6330</v>
          </cell>
          <cell r="K2474" t="str">
            <v>410M110772</v>
          </cell>
        </row>
        <row r="2475">
          <cell r="G2475" t="str">
            <v>CP ZONE KARGOTICH RD 45S SHALLOW</v>
          </cell>
          <cell r="H2475" t="str">
            <v>W0013018</v>
          </cell>
          <cell r="I2475" t="str">
            <v>U43 L10 KARGOTICH RD</v>
          </cell>
          <cell r="J2475" t="str">
            <v>MUNDIJONG</v>
          </cell>
          <cell r="K2475" t="str">
            <v>15M282830</v>
          </cell>
        </row>
        <row r="2476">
          <cell r="G2476" t="str">
            <v>WPS DATHAGNOORARA</v>
          </cell>
          <cell r="H2476" t="str">
            <v>W0040267</v>
          </cell>
          <cell r="I2476" t="str">
            <v>LOCN 9920 CARNAMAH-ENEABBA RD</v>
          </cell>
          <cell r="J2476" t="str">
            <v>CARNAMAH WA 6517</v>
          </cell>
          <cell r="K2476" t="str">
            <v>0136001808</v>
          </cell>
        </row>
        <row r="2477">
          <cell r="G2477" t="str">
            <v>SPS DODD ST HAMILTON HILL</v>
          </cell>
          <cell r="H2477" t="str">
            <v>S0033205</v>
          </cell>
          <cell r="I2477" t="str">
            <v>12 DODD ST</v>
          </cell>
          <cell r="J2477" t="str">
            <v>HAMILTON HILL WA 6163</v>
          </cell>
          <cell r="K2477" t="str">
            <v>410M175968</v>
          </cell>
        </row>
        <row r="2478">
          <cell r="G2478" t="str">
            <v>SPS PEARSON ST CHURCHLANDS</v>
          </cell>
          <cell r="H2478" t="str">
            <v>S0032016</v>
          </cell>
          <cell r="I2478" t="str">
            <v>PEARSON ST</v>
          </cell>
          <cell r="J2478" t="str">
            <v>WOODLANDS WA 6018</v>
          </cell>
          <cell r="K2478" t="str">
            <v>410M121831</v>
          </cell>
        </row>
        <row r="2479">
          <cell r="G2479" t="str">
            <v>SPS 1 DOREEN ST NAREMBEEN</v>
          </cell>
          <cell r="H2479" t="str">
            <v>S0016618</v>
          </cell>
          <cell r="I2479" t="str">
            <v>U54 33 DOREEN ST</v>
          </cell>
          <cell r="J2479" t="str">
            <v>NAREMBEEN WA 6369</v>
          </cell>
          <cell r="K2479" t="str">
            <v>0116000742</v>
          </cell>
        </row>
        <row r="2480">
          <cell r="G2480" t="str">
            <v>WPS WELLER RD HOVEA</v>
          </cell>
          <cell r="H2480" t="str">
            <v>W2000326</v>
          </cell>
          <cell r="I2480" t="str">
            <v>WELLER RD</v>
          </cell>
          <cell r="J2480" t="str">
            <v>HOVEA WA 6071</v>
          </cell>
          <cell r="K2480" t="str">
            <v>0136002697</v>
          </cell>
        </row>
        <row r="2481">
          <cell r="G2481" t="str">
            <v>BORE 01-92 HORROCKS</v>
          </cell>
          <cell r="H2481" t="str">
            <v>W0041667</v>
          </cell>
          <cell r="I2481" t="str">
            <v>LOC 6863 HORROCKS BEACH RD</v>
          </cell>
          <cell r="J2481" t="str">
            <v>NORTHAMPTON WA 6535</v>
          </cell>
          <cell r="K2481" t="str">
            <v>410M161793</v>
          </cell>
        </row>
        <row r="2482">
          <cell r="G2482" t="str">
            <v>BORE SITE P140</v>
          </cell>
          <cell r="H2482" t="str">
            <v>W1001518</v>
          </cell>
          <cell r="I2482" t="str">
            <v>LOT 140 PERRY RD</v>
          </cell>
          <cell r="J2482" t="str">
            <v>PINJAR WA 6065</v>
          </cell>
          <cell r="K2482" t="str">
            <v>0136004502</v>
          </cell>
        </row>
        <row r="2483">
          <cell r="G2483" t="str">
            <v>BORE SITE P20</v>
          </cell>
          <cell r="H2483" t="str">
            <v>W1001494</v>
          </cell>
          <cell r="I2483" t="str">
            <v>LOT 20P PERRY RD</v>
          </cell>
          <cell r="J2483" t="str">
            <v>PINJAR WA 6065</v>
          </cell>
          <cell r="K2483" t="str">
            <v>0211001224</v>
          </cell>
        </row>
        <row r="2484">
          <cell r="G2484" t="str">
            <v>WPS ML TRANSFER DANDARAGAN</v>
          </cell>
          <cell r="H2484" t="str">
            <v>W0040818</v>
          </cell>
          <cell r="I2484" t="str">
            <v>LOC 31014 BROCKMAN CT</v>
          </cell>
          <cell r="J2484" t="str">
            <v>DANDARAGAN WA 6507</v>
          </cell>
          <cell r="K2484" t="str">
            <v>15M53368</v>
          </cell>
        </row>
        <row r="2485">
          <cell r="G2485" t="str">
            <v>WWTP MUNGALUP RD COLLIE</v>
          </cell>
          <cell r="H2485" t="str">
            <v>S083-001-003</v>
          </cell>
          <cell r="I2485" t="str">
            <v>LOT 4 MUNGALUP RD</v>
          </cell>
          <cell r="J2485" t="str">
            <v>COLLIE WA 6225</v>
          </cell>
          <cell r="K2485" t="str">
            <v>0214001646</v>
          </cell>
        </row>
        <row r="2486">
          <cell r="G2486" t="str">
            <v>DEPOT THROSSEL STREET KALGOORLIE</v>
          </cell>
          <cell r="H2486" t="str">
            <v>C0013664</v>
          </cell>
          <cell r="I2486" t="str">
            <v>THROSSELL ST</v>
          </cell>
          <cell r="J2486" t="str">
            <v>KALGOORLIE WA 6430</v>
          </cell>
          <cell r="K2486" t="str">
            <v>0148005317</v>
          </cell>
        </row>
        <row r="2487">
          <cell r="G2487" t="str">
            <v>SPS LUYER AV EAST CANNINGTON</v>
          </cell>
          <cell r="H2487" t="str">
            <v>S0033035</v>
          </cell>
          <cell r="I2487" t="str">
            <v>94 LUYER AVE EAST</v>
          </cell>
          <cell r="J2487" t="str">
            <v>CANNINGTON WA  6107</v>
          </cell>
          <cell r="K2487" t="str">
            <v>450M22317</v>
          </cell>
        </row>
        <row r="2488">
          <cell r="G2488" t="str">
            <v>CHL SYS HYPO TRAYNING</v>
          </cell>
          <cell r="H2488" t="str">
            <v>W5001145</v>
          </cell>
          <cell r="I2488" t="str">
            <v>NUNGARIN RD</v>
          </cell>
          <cell r="J2488" t="str">
            <v>NUNGARIN WA 6490</v>
          </cell>
          <cell r="K2488" t="str">
            <v>0149000303</v>
          </cell>
        </row>
        <row r="2489">
          <cell r="G2489" t="str">
            <v>SPS RUMMER WY BATEMAN</v>
          </cell>
          <cell r="H2489" t="str">
            <v>S2002889</v>
          </cell>
          <cell r="I2489" t="str">
            <v>LOT 2462 RUMMER WY</v>
          </cell>
          <cell r="J2489" t="str">
            <v>BATEMAN WA 6150</v>
          </cell>
          <cell r="K2489" t="str">
            <v>410M198080</v>
          </cell>
        </row>
        <row r="2490">
          <cell r="G2490" t="str">
            <v>SPS CLAISEBROOK MAIN EAST PERTH</v>
          </cell>
          <cell r="H2490" t="str">
            <v>S0030881</v>
          </cell>
          <cell r="I2490" t="str">
            <v>54 (LOT 8) ARDEN ST</v>
          </cell>
          <cell r="J2490" t="str">
            <v>EAST PERTH WA 6004</v>
          </cell>
          <cell r="K2490" t="str">
            <v>0211000017</v>
          </cell>
        </row>
        <row r="2491">
          <cell r="G2491" t="str">
            <v>BORE SITE M110</v>
          </cell>
          <cell r="H2491" t="str">
            <v>W0009826</v>
          </cell>
          <cell r="I2491" t="str">
            <v>LOT 110M MARANGAROO DR</v>
          </cell>
          <cell r="J2491" t="str">
            <v>CULLACABARDEE WA 6067</v>
          </cell>
          <cell r="K2491" t="str">
            <v>0136004874</v>
          </cell>
        </row>
        <row r="2492">
          <cell r="G2492" t="str">
            <v>NEERABUP DROVERS PL CVS</v>
          </cell>
          <cell r="H2492" t="str">
            <v>W1000015</v>
          </cell>
          <cell r="I2492" t="str">
            <v>LOT 67 DROVERS PL</v>
          </cell>
          <cell r="J2492" t="str">
            <v>WANNEROO WA 6065</v>
          </cell>
          <cell r="K2492" t="str">
            <v>15M304327</v>
          </cell>
        </row>
        <row r="2493">
          <cell r="G2493" t="str">
            <v>SPS GAYHURST RD KENWICK</v>
          </cell>
          <cell r="H2493" t="str">
            <v>S0033412</v>
          </cell>
          <cell r="I2493" t="str">
            <v>LOT 2599 GAYHURST RD</v>
          </cell>
          <cell r="J2493" t="str">
            <v>KENWICK WA 6107</v>
          </cell>
          <cell r="K2493" t="str">
            <v>450M22353</v>
          </cell>
        </row>
        <row r="2494">
          <cell r="G2494" t="str">
            <v>BORE 01-10 MOWEN RD BAUDIN</v>
          </cell>
          <cell r="H2494" t="str">
            <v>W8008254</v>
          </cell>
          <cell r="I2494" t="str">
            <v>LOT 300 MOWEN RD</v>
          </cell>
          <cell r="J2494" t="str">
            <v>MARGARET RIVER WA 6285</v>
          </cell>
          <cell r="K2494" t="str">
            <v>0214003643</v>
          </cell>
        </row>
        <row r="2495">
          <cell r="G2495" t="str">
            <v>SPS BROWNELL CR MEDINA</v>
          </cell>
          <cell r="H2495" t="str">
            <v>S2020172</v>
          </cell>
          <cell r="I2495" t="str">
            <v>LOT 506 BROWNELL CRES</v>
          </cell>
          <cell r="J2495" t="str">
            <v>MEDINA WA 6167</v>
          </cell>
          <cell r="K2495" t="str">
            <v>0211001360</v>
          </cell>
        </row>
        <row r="2496">
          <cell r="G2496" t="str">
            <v>WPS HALL RD WAGGRAKINE</v>
          </cell>
          <cell r="H2496" t="str">
            <v>W4002046</v>
          </cell>
          <cell r="I2496" t="str">
            <v>2 (LOT 2) COOPER ST</v>
          </cell>
          <cell r="J2496" t="str">
            <v>WAGGRAKINE WA 6530</v>
          </cell>
          <cell r="K2496" t="str">
            <v>0136004305</v>
          </cell>
        </row>
        <row r="2497">
          <cell r="G2497" t="str">
            <v>WPS COOLGARDIE</v>
          </cell>
          <cell r="H2497" t="str">
            <v>W5168830</v>
          </cell>
          <cell r="I2497" t="str">
            <v>LOT 2123 JOBSON ST</v>
          </cell>
          <cell r="J2497" t="str">
            <v>COOLGARDIE  WA  6429</v>
          </cell>
          <cell r="K2497" t="str">
            <v>0211001244</v>
          </cell>
        </row>
        <row r="2498">
          <cell r="G2498" t="str">
            <v>ALKIMOS WWTP</v>
          </cell>
          <cell r="H2498" t="str">
            <v>S001-001-002</v>
          </cell>
          <cell r="I2498" t="str">
            <v>LOT 102 ROMEO RD</v>
          </cell>
          <cell r="J2498" t="str">
            <v>CARABOODA WA 6033</v>
          </cell>
          <cell r="K2498" t="str">
            <v>0214000550</v>
          </cell>
        </row>
        <row r="2499">
          <cell r="G2499" t="str">
            <v>WPS BOONDI</v>
          </cell>
          <cell r="H2499" t="str">
            <v>W5022417</v>
          </cell>
          <cell r="I2499" t="str">
            <v>RESERVE 38397 GT EASTERN HIGHWAY</v>
          </cell>
          <cell r="J2499" t="str">
            <v>BOONDI WA 6431</v>
          </cell>
          <cell r="K2499" t="str">
            <v>0214000408</v>
          </cell>
        </row>
        <row r="2500">
          <cell r="G2500" t="str">
            <v>WPS RAVENSWOOD PUMP STATION</v>
          </cell>
          <cell r="H2500" t="str">
            <v>W1016043</v>
          </cell>
          <cell r="I2500" t="str">
            <v>LOT 501 MANDURAH RD</v>
          </cell>
          <cell r="J2500" t="str">
            <v>PINJARRA  WA  6208</v>
          </cell>
          <cell r="K2500" t="str">
            <v>0214000427</v>
          </cell>
        </row>
        <row r="2501">
          <cell r="G2501" t="str">
            <v>WTP TEMPLE RD PICTON EAST</v>
          </cell>
          <cell r="H2501" t="str">
            <v>W8009944</v>
          </cell>
          <cell r="I2501" t="str">
            <v>LOT 1 TEMPLE RD</v>
          </cell>
          <cell r="J2501" t="str">
            <v>PICTON WA 6229</v>
          </cell>
          <cell r="K2501" t="str">
            <v>0214001561</v>
          </cell>
        </row>
        <row r="2502">
          <cell r="G2502" t="str">
            <v>SPS DARLING CH WANDI</v>
          </cell>
          <cell r="H2502" t="str">
            <v>S2023500</v>
          </cell>
          <cell r="I2502" t="str">
            <v>LOT 675 LYON RD</v>
          </cell>
          <cell r="J2502" t="str">
            <v>WANDI WA 6167</v>
          </cell>
          <cell r="K2502" t="str">
            <v>0214002076</v>
          </cell>
        </row>
        <row r="2503">
          <cell r="G2503" t="str">
            <v>WPS LOWER HELENA DAM PUMP STATION</v>
          </cell>
          <cell r="H2503" t="str">
            <v>W1014414</v>
          </cell>
          <cell r="I2503" t="str">
            <v>LOT 22897 VICTOR RD</v>
          </cell>
          <cell r="J2503" t="str">
            <v>DARLINGTON WA 6070</v>
          </cell>
          <cell r="K2503" t="str">
            <v>0214000323
0214000710</v>
          </cell>
        </row>
        <row r="2504">
          <cell r="G2504" t="str">
            <v>WTP LILLY RD ROSA BROOK</v>
          </cell>
          <cell r="H2504" t="str">
            <v>W8008256</v>
          </cell>
          <cell r="I2504" t="str">
            <v>LOT 750 NEILSON RD</v>
          </cell>
          <cell r="J2504" t="str">
            <v>ROSA BROOK WA 6285</v>
          </cell>
          <cell r="K2504" t="str">
            <v>0214002564</v>
          </cell>
        </row>
        <row r="2505">
          <cell r="G2505" t="str">
            <v>BORE 01-84 KINCRAIG ST</v>
          </cell>
          <cell r="H2505" t="str">
            <v>W0045620</v>
          </cell>
          <cell r="I2505" t="str">
            <v>LOT 4 YELVERTON ST - KINCRAIG ST ??</v>
          </cell>
          <cell r="J2505" t="str">
            <v>DONNYBROOK  WA  6329</v>
          </cell>
          <cell r="K2505" t="str">
            <v>0348002499</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112"/>
  <sheetViews>
    <sheetView view="pageBreakPreview" zoomScale="70" zoomScaleNormal="80" zoomScaleSheetLayoutView="70" workbookViewId="0">
      <selection activeCell="H11" sqref="H11:I21"/>
    </sheetView>
  </sheetViews>
  <sheetFormatPr defaultColWidth="9.109375" defaultRowHeight="47.25" customHeight="1" x14ac:dyDescent="0.4"/>
  <cols>
    <col min="1" max="1" width="29.88671875" style="8" bestFit="1" customWidth="1"/>
    <col min="2" max="2" width="40.33203125" style="7" customWidth="1"/>
    <col min="3" max="3" width="7.88671875" style="3" bestFit="1" customWidth="1"/>
    <col min="4" max="5" width="12" style="1" customWidth="1"/>
    <col min="6" max="6" width="112.109375" style="2" customWidth="1"/>
    <col min="7" max="7" width="12.88671875" style="3" customWidth="1"/>
    <col min="8" max="8" width="51.44140625" style="2" customWidth="1"/>
    <col min="9" max="9" width="51.109375" style="1" customWidth="1"/>
    <col min="10" max="10" width="58.6640625" style="1" customWidth="1"/>
    <col min="11" max="16384" width="9.109375" style="1"/>
  </cols>
  <sheetData>
    <row r="1" spans="1:11" s="2" customFormat="1" ht="47.25" customHeight="1" x14ac:dyDescent="0.3">
      <c r="A1" s="12" t="s">
        <v>57</v>
      </c>
      <c r="B1" s="21" t="s">
        <v>59</v>
      </c>
      <c r="C1" s="29" t="s">
        <v>191</v>
      </c>
      <c r="D1" s="186" t="s">
        <v>60</v>
      </c>
      <c r="E1" s="187"/>
      <c r="F1" s="188"/>
      <c r="G1" s="28" t="s">
        <v>519</v>
      </c>
      <c r="H1" s="21" t="s">
        <v>58</v>
      </c>
      <c r="I1" s="5" t="s">
        <v>65</v>
      </c>
      <c r="K1" s="2" t="str">
        <f>C4</f>
        <v>SPS MAGENTA CR BALDIVIS</v>
      </c>
    </row>
    <row r="2" spans="1:11" ht="23.4" x14ac:dyDescent="0.25">
      <c r="A2" s="202" t="s">
        <v>56</v>
      </c>
      <c r="B2" s="15" t="s">
        <v>0</v>
      </c>
      <c r="C2" s="205" t="str">
        <f>VLOOKUP(C4,AllsiteData,2,FALSE)</f>
        <v>S2016916</v>
      </c>
      <c r="D2" s="206"/>
      <c r="E2" s="206"/>
      <c r="F2" s="206"/>
      <c r="G2" s="207"/>
      <c r="H2" s="129" t="str">
        <f>VLOOKUP(C$4,AllsiteData,15,FALSE)</f>
        <v xml:space="preserve"> </v>
      </c>
      <c r="I2" s="130"/>
    </row>
    <row r="3" spans="1:11" ht="32.4" x14ac:dyDescent="0.25">
      <c r="A3" s="203"/>
      <c r="B3" s="16" t="s">
        <v>3064</v>
      </c>
      <c r="C3" s="199">
        <v>143</v>
      </c>
      <c r="D3" s="200"/>
      <c r="E3" s="200"/>
      <c r="F3" s="200"/>
      <c r="G3" s="201"/>
      <c r="H3" s="131"/>
      <c r="I3" s="132"/>
    </row>
    <row r="4" spans="1:11" ht="23.4" x14ac:dyDescent="0.25">
      <c r="A4" s="203"/>
      <c r="B4" s="16" t="s">
        <v>1</v>
      </c>
      <c r="C4" s="214" t="str">
        <f>VLOOKUP(C3,MainAuditNumber,2,FALSE)</f>
        <v>SPS MAGENTA CR BALDIVIS</v>
      </c>
      <c r="D4" s="215"/>
      <c r="E4" s="215"/>
      <c r="F4" s="215"/>
      <c r="G4" s="216"/>
      <c r="H4" s="131" t="str">
        <f t="shared" ref="H4:H10" si="0">CONCATENATE("SB Drawings: ",VLOOKUP(C$4,AllsiteData,19,FALSE))</f>
        <v>SB Drawings: GU36-42-5</v>
      </c>
      <c r="I4" s="132"/>
    </row>
    <row r="5" spans="1:11" ht="23.4" x14ac:dyDescent="0.25">
      <c r="A5" s="203"/>
      <c r="B5" s="16" t="s">
        <v>2</v>
      </c>
      <c r="C5" s="208" t="str">
        <f>VLOOKUP(C$4,AllsiteData,5,FALSE)</f>
        <v>34 MAGENTA CR</v>
      </c>
      <c r="D5" s="209"/>
      <c r="E5" s="209"/>
      <c r="F5" s="209"/>
      <c r="G5" s="210"/>
      <c r="H5" s="131" t="str">
        <f t="shared" si="0"/>
        <v>SB Drawings: GU36-42-5</v>
      </c>
      <c r="I5" s="132"/>
    </row>
    <row r="6" spans="1:11" ht="23.4" x14ac:dyDescent="0.25">
      <c r="A6" s="203"/>
      <c r="B6" s="16" t="s">
        <v>214</v>
      </c>
      <c r="C6" s="208" t="str">
        <f>VLOOKUP(C$4,AllsiteData,6,FALSE)</f>
        <v>BALDIVIS</v>
      </c>
      <c r="D6" s="209"/>
      <c r="E6" s="209"/>
      <c r="F6" s="209"/>
      <c r="G6" s="210"/>
      <c r="H6" s="131" t="str">
        <f t="shared" si="0"/>
        <v>SB Drawings: GU36-42-5</v>
      </c>
      <c r="I6" s="132"/>
    </row>
    <row r="7" spans="1:11" ht="23.4" x14ac:dyDescent="0.25">
      <c r="A7" s="203"/>
      <c r="B7" s="16" t="s">
        <v>215</v>
      </c>
      <c r="C7" s="208" t="str">
        <f>VLOOKUP(C$4,AllsiteData,13,FALSE)</f>
        <v>2005</v>
      </c>
      <c r="D7" s="209"/>
      <c r="E7" s="209"/>
      <c r="F7" s="209"/>
      <c r="G7" s="210"/>
      <c r="H7" s="131" t="str">
        <f t="shared" si="0"/>
        <v>SB Drawings: GU36-42-5</v>
      </c>
      <c r="I7" s="132"/>
    </row>
    <row r="8" spans="1:11" ht="23.4" x14ac:dyDescent="0.25">
      <c r="A8" s="203"/>
      <c r="B8" s="16" t="s">
        <v>761</v>
      </c>
      <c r="C8" s="208">
        <f>VLOOKUP(C$4,AllsiteData,14,FALSE)</f>
        <v>2005</v>
      </c>
      <c r="D8" s="209"/>
      <c r="E8" s="209"/>
      <c r="F8" s="209"/>
      <c r="G8" s="210"/>
      <c r="H8" s="131" t="str">
        <f t="shared" si="0"/>
        <v>SB Drawings: GU36-42-5</v>
      </c>
      <c r="I8" s="132"/>
    </row>
    <row r="9" spans="1:11" ht="23.4" x14ac:dyDescent="0.25">
      <c r="A9" s="203"/>
      <c r="B9" s="17" t="s">
        <v>529</v>
      </c>
      <c r="C9" s="208" t="str">
        <f>CONCATENATE(VLOOKUP(C$4,AllsiteData,9,FALSE)," - ",VLOOKUP(C$4,AllsiteData,10,FALSE))</f>
        <v xml:space="preserve"> - </v>
      </c>
      <c r="D9" s="209"/>
      <c r="E9" s="209"/>
      <c r="F9" s="209"/>
      <c r="G9" s="210"/>
      <c r="H9" s="131" t="str">
        <f t="shared" si="0"/>
        <v>SB Drawings: GU36-42-5</v>
      </c>
      <c r="I9" s="132"/>
    </row>
    <row r="10" spans="1:11" ht="23.4" x14ac:dyDescent="0.25">
      <c r="A10" s="204"/>
      <c r="B10" s="17" t="s">
        <v>64</v>
      </c>
      <c r="C10" s="211" t="str">
        <f>IF(VLOOKUP(C$4,AllsiteData,8,FALSE)=0," ",VLOOKUP(C$4,AllsiteData,8,FALSE))</f>
        <v>\Metro South\Rockingham-Kwinana\Baldivis\WWPS - Magenta Cr</v>
      </c>
      <c r="D10" s="212"/>
      <c r="E10" s="212"/>
      <c r="F10" s="212"/>
      <c r="G10" s="213"/>
      <c r="H10" s="133" t="str">
        <f t="shared" si="0"/>
        <v>SB Drawings: GU36-42-5</v>
      </c>
      <c r="I10" s="134"/>
    </row>
    <row r="11" spans="1:11" s="2" customFormat="1" ht="47.25" customHeight="1" x14ac:dyDescent="0.3">
      <c r="A11" s="141" t="s">
        <v>2754</v>
      </c>
      <c r="B11" s="142"/>
      <c r="C11" s="14">
        <v>1</v>
      </c>
      <c r="D11" s="191"/>
      <c r="E11" s="192"/>
      <c r="F11" s="192"/>
      <c r="G11" s="193"/>
      <c r="H11" s="105"/>
      <c r="I11" s="106"/>
    </row>
    <row r="12" spans="1:11" ht="70.5" customHeight="1" x14ac:dyDescent="0.25">
      <c r="A12" s="97" t="s">
        <v>49</v>
      </c>
      <c r="B12" s="6" t="s">
        <v>3</v>
      </c>
      <c r="C12" s="14">
        <f t="shared" ref="C12:C76" si="1">C11+1</f>
        <v>2</v>
      </c>
      <c r="D12" s="70" t="s">
        <v>185</v>
      </c>
      <c r="E12" s="70" t="s">
        <v>186</v>
      </c>
      <c r="F12" s="194" t="s">
        <v>187</v>
      </c>
      <c r="G12" s="195"/>
      <c r="H12" s="107"/>
      <c r="I12" s="108"/>
    </row>
    <row r="13" spans="1:11" ht="47.25" customHeight="1" x14ac:dyDescent="0.25">
      <c r="A13" s="98"/>
      <c r="B13" s="6" t="s">
        <v>5</v>
      </c>
      <c r="C13" s="14">
        <f t="shared" si="1"/>
        <v>3</v>
      </c>
      <c r="D13" s="27" t="s">
        <v>184</v>
      </c>
      <c r="E13" s="27" t="s">
        <v>183</v>
      </c>
      <c r="F13" s="64"/>
      <c r="G13" s="53" t="s">
        <v>519</v>
      </c>
      <c r="H13" s="107"/>
      <c r="I13" s="108"/>
    </row>
    <row r="14" spans="1:11" ht="84.75" customHeight="1" x14ac:dyDescent="0.25">
      <c r="A14" s="98"/>
      <c r="B14" s="6" t="s">
        <v>6</v>
      </c>
      <c r="C14" s="14">
        <f t="shared" si="1"/>
        <v>4</v>
      </c>
      <c r="D14" s="27" t="s">
        <v>184</v>
      </c>
      <c r="E14" s="27" t="s">
        <v>183</v>
      </c>
      <c r="F14" s="46" t="s">
        <v>187</v>
      </c>
      <c r="G14" s="53" t="s">
        <v>519</v>
      </c>
      <c r="H14" s="107"/>
      <c r="I14" s="108"/>
    </row>
    <row r="15" spans="1:11" ht="47.25" customHeight="1" x14ac:dyDescent="0.25">
      <c r="A15" s="98"/>
      <c r="B15" s="6" t="s">
        <v>7</v>
      </c>
      <c r="C15" s="14">
        <f t="shared" si="1"/>
        <v>5</v>
      </c>
      <c r="D15" s="27" t="s">
        <v>184</v>
      </c>
      <c r="E15" s="27" t="s">
        <v>183</v>
      </c>
      <c r="F15" s="190"/>
      <c r="G15" s="173"/>
      <c r="H15" s="107"/>
      <c r="I15" s="108"/>
    </row>
    <row r="16" spans="1:11" ht="47.25" customHeight="1" x14ac:dyDescent="0.25">
      <c r="A16" s="98"/>
      <c r="B16" s="6" t="s">
        <v>822</v>
      </c>
      <c r="C16" s="14">
        <f t="shared" si="1"/>
        <v>6</v>
      </c>
      <c r="D16" s="96"/>
      <c r="E16" s="96"/>
      <c r="F16" s="96"/>
      <c r="G16" s="53" t="s">
        <v>519</v>
      </c>
      <c r="H16" s="107"/>
      <c r="I16" s="108"/>
    </row>
    <row r="17" spans="1:9" ht="47.25" customHeight="1" x14ac:dyDescent="0.25">
      <c r="A17" s="98"/>
      <c r="B17" s="6" t="s">
        <v>213</v>
      </c>
      <c r="C17" s="14">
        <f t="shared" si="1"/>
        <v>7</v>
      </c>
      <c r="D17" s="96"/>
      <c r="E17" s="96"/>
      <c r="F17" s="96"/>
      <c r="G17" s="53" t="s">
        <v>519</v>
      </c>
      <c r="H17" s="107"/>
      <c r="I17" s="108"/>
    </row>
    <row r="18" spans="1:9" ht="49.5" customHeight="1" x14ac:dyDescent="0.25">
      <c r="A18" s="98"/>
      <c r="B18" s="6" t="s">
        <v>8</v>
      </c>
      <c r="C18" s="14">
        <f t="shared" si="1"/>
        <v>8</v>
      </c>
      <c r="D18" s="96"/>
      <c r="E18" s="96"/>
      <c r="F18" s="96"/>
      <c r="G18" s="53" t="s">
        <v>519</v>
      </c>
      <c r="H18" s="107"/>
      <c r="I18" s="108"/>
    </row>
    <row r="19" spans="1:9" ht="47.25" customHeight="1" x14ac:dyDescent="0.25">
      <c r="A19" s="98"/>
      <c r="B19" s="6" t="s">
        <v>9</v>
      </c>
      <c r="C19" s="14">
        <f t="shared" si="1"/>
        <v>9</v>
      </c>
      <c r="D19" s="96"/>
      <c r="E19" s="96"/>
      <c r="F19" s="96"/>
      <c r="G19" s="53" t="s">
        <v>519</v>
      </c>
      <c r="H19" s="107"/>
      <c r="I19" s="108"/>
    </row>
    <row r="20" spans="1:9" ht="47.25" customHeight="1" x14ac:dyDescent="0.25">
      <c r="A20" s="98"/>
      <c r="B20" s="6" t="s">
        <v>10</v>
      </c>
      <c r="C20" s="14">
        <f t="shared" si="1"/>
        <v>10</v>
      </c>
      <c r="D20" s="65" t="s">
        <v>184</v>
      </c>
      <c r="E20" s="65" t="s">
        <v>183</v>
      </c>
      <c r="F20" s="66"/>
      <c r="G20" s="53" t="s">
        <v>519</v>
      </c>
      <c r="H20" s="107"/>
      <c r="I20" s="108"/>
    </row>
    <row r="21" spans="1:9" ht="47.25" customHeight="1" x14ac:dyDescent="0.25">
      <c r="A21" s="99"/>
      <c r="B21" s="67" t="s">
        <v>11</v>
      </c>
      <c r="C21" s="68">
        <f t="shared" si="1"/>
        <v>11</v>
      </c>
      <c r="D21" s="59" t="s">
        <v>184</v>
      </c>
      <c r="E21" s="59" t="s">
        <v>183</v>
      </c>
      <c r="F21" s="60"/>
      <c r="G21" s="69" t="s">
        <v>519</v>
      </c>
      <c r="H21" s="109"/>
      <c r="I21" s="110"/>
    </row>
    <row r="22" spans="1:9" ht="76.5" customHeight="1" x14ac:dyDescent="0.25">
      <c r="A22" s="97" t="s">
        <v>50</v>
      </c>
      <c r="B22" s="6" t="s">
        <v>15</v>
      </c>
      <c r="C22" s="19">
        <f t="shared" si="1"/>
        <v>12</v>
      </c>
      <c r="D22" s="196" t="s">
        <v>823</v>
      </c>
      <c r="E22" s="197"/>
      <c r="F22" s="197"/>
      <c r="G22" s="198"/>
      <c r="H22" s="168"/>
      <c r="I22" s="169"/>
    </row>
    <row r="23" spans="1:9" ht="57" customHeight="1" x14ac:dyDescent="0.25">
      <c r="A23" s="98"/>
      <c r="B23" s="41" t="s">
        <v>12</v>
      </c>
      <c r="C23" s="14">
        <f t="shared" si="1"/>
        <v>13</v>
      </c>
      <c r="D23" s="27" t="s">
        <v>184</v>
      </c>
      <c r="E23" s="27" t="s">
        <v>183</v>
      </c>
      <c r="F23" s="22" t="s">
        <v>824</v>
      </c>
      <c r="G23" s="72" t="s">
        <v>519</v>
      </c>
      <c r="H23" s="137"/>
      <c r="I23" s="138"/>
    </row>
    <row r="24" spans="1:9" ht="81" customHeight="1" x14ac:dyDescent="0.25">
      <c r="A24" s="98"/>
      <c r="B24" s="6" t="s">
        <v>14</v>
      </c>
      <c r="C24" s="14">
        <f t="shared" si="1"/>
        <v>14</v>
      </c>
      <c r="D24" s="148"/>
      <c r="E24" s="153"/>
      <c r="F24" s="189"/>
      <c r="G24" s="72" t="s">
        <v>519</v>
      </c>
      <c r="H24" s="137"/>
      <c r="I24" s="138"/>
    </row>
    <row r="25" spans="1:9" ht="73.5" customHeight="1" x14ac:dyDescent="0.25">
      <c r="A25" s="98"/>
      <c r="B25" s="6" t="s">
        <v>13</v>
      </c>
      <c r="C25" s="14">
        <f t="shared" si="1"/>
        <v>15</v>
      </c>
      <c r="D25" s="27" t="s">
        <v>184</v>
      </c>
      <c r="E25" s="27" t="s">
        <v>183</v>
      </c>
      <c r="F25" s="46" t="s">
        <v>187</v>
      </c>
      <c r="G25" s="72" t="s">
        <v>519</v>
      </c>
      <c r="H25" s="137"/>
      <c r="I25" s="138"/>
    </row>
    <row r="26" spans="1:9" ht="81" customHeight="1" x14ac:dyDescent="0.25">
      <c r="A26" s="98"/>
      <c r="B26" s="6" t="s">
        <v>188</v>
      </c>
      <c r="C26" s="14">
        <f t="shared" si="1"/>
        <v>16</v>
      </c>
      <c r="D26" s="71" t="s">
        <v>184</v>
      </c>
      <c r="E26" s="71" t="s">
        <v>183</v>
      </c>
      <c r="F26" s="13" t="s">
        <v>190</v>
      </c>
      <c r="G26" s="72" t="s">
        <v>519</v>
      </c>
      <c r="H26" s="137"/>
      <c r="I26" s="138"/>
    </row>
    <row r="27" spans="1:9" ht="93.75" customHeight="1" x14ac:dyDescent="0.25">
      <c r="A27" s="98"/>
      <c r="B27" s="6" t="s">
        <v>189</v>
      </c>
      <c r="C27" s="14">
        <f t="shared" si="1"/>
        <v>17</v>
      </c>
      <c r="D27" s="71" t="s">
        <v>184</v>
      </c>
      <c r="E27" s="71" t="s">
        <v>183</v>
      </c>
      <c r="F27" s="13" t="s">
        <v>190</v>
      </c>
      <c r="G27" s="72" t="s">
        <v>519</v>
      </c>
      <c r="H27" s="137"/>
      <c r="I27" s="138"/>
    </row>
    <row r="28" spans="1:9" ht="47.25" customHeight="1" x14ac:dyDescent="0.25">
      <c r="A28" s="99"/>
      <c r="B28" s="6" t="s">
        <v>16</v>
      </c>
      <c r="C28" s="20">
        <f t="shared" si="1"/>
        <v>18</v>
      </c>
      <c r="D28" s="59" t="s">
        <v>184</v>
      </c>
      <c r="E28" s="59" t="s">
        <v>183</v>
      </c>
      <c r="F28" s="60"/>
      <c r="G28" s="73" t="s">
        <v>519</v>
      </c>
      <c r="H28" s="139"/>
      <c r="I28" s="140"/>
    </row>
    <row r="29" spans="1:9" ht="69" customHeight="1" x14ac:dyDescent="0.25">
      <c r="A29" s="47" t="s">
        <v>51</v>
      </c>
      <c r="B29" s="6" t="s">
        <v>17</v>
      </c>
      <c r="C29" s="48">
        <f t="shared" si="1"/>
        <v>19</v>
      </c>
      <c r="D29" s="49" t="s">
        <v>184</v>
      </c>
      <c r="E29" s="49" t="s">
        <v>183</v>
      </c>
      <c r="F29" s="50" t="s">
        <v>528</v>
      </c>
      <c r="G29" s="51" t="s">
        <v>519</v>
      </c>
      <c r="H29" s="166" t="str">
        <f>CONCATENATE("SB Drawings: ",VLOOKUP(C$4,AllsiteData,19,FALSE))</f>
        <v>SB Drawings: GU36-42-5</v>
      </c>
      <c r="I29" s="167"/>
    </row>
    <row r="30" spans="1:9" ht="47.25" customHeight="1" x14ac:dyDescent="0.25">
      <c r="A30" s="98" t="s">
        <v>55</v>
      </c>
      <c r="B30" s="36" t="s">
        <v>44</v>
      </c>
      <c r="C30" s="31">
        <f t="shared" si="1"/>
        <v>20</v>
      </c>
      <c r="D30" s="32" t="s">
        <v>184</v>
      </c>
      <c r="E30" s="32" t="s">
        <v>183</v>
      </c>
      <c r="F30" s="40" t="s">
        <v>520</v>
      </c>
      <c r="G30" s="34" t="s">
        <v>519</v>
      </c>
      <c r="H30" s="120" t="str">
        <f>VLOOKUP(C$4,AllsiteData,36,FALSE)</f>
        <v>Yes</v>
      </c>
      <c r="I30" s="121"/>
    </row>
    <row r="31" spans="1:9" ht="69" customHeight="1" x14ac:dyDescent="0.25">
      <c r="A31" s="98"/>
      <c r="B31" s="6" t="s">
        <v>45</v>
      </c>
      <c r="C31" s="14">
        <f t="shared" si="1"/>
        <v>21</v>
      </c>
      <c r="D31" s="27" t="s">
        <v>184</v>
      </c>
      <c r="E31" s="27" t="s">
        <v>183</v>
      </c>
      <c r="F31" s="22" t="s">
        <v>521</v>
      </c>
      <c r="G31" s="30" t="s">
        <v>519</v>
      </c>
      <c r="H31" s="122" t="str">
        <f>VLOOKUP(C$4,AllsiteData,34,FALSE)</f>
        <v>PDS Compact 550</v>
      </c>
      <c r="I31" s="123"/>
    </row>
    <row r="32" spans="1:9" ht="69" customHeight="1" x14ac:dyDescent="0.25">
      <c r="A32" s="98"/>
      <c r="B32" s="6" t="s">
        <v>210</v>
      </c>
      <c r="C32" s="14">
        <f t="shared" si="1"/>
        <v>22</v>
      </c>
      <c r="D32" s="27" t="s">
        <v>184</v>
      </c>
      <c r="E32" s="27" t="s">
        <v>183</v>
      </c>
      <c r="F32" s="22" t="s">
        <v>521</v>
      </c>
      <c r="G32" s="30" t="s">
        <v>519</v>
      </c>
      <c r="H32" s="124"/>
      <c r="I32" s="125"/>
    </row>
    <row r="33" spans="1:9" ht="69" customHeight="1" x14ac:dyDescent="0.25">
      <c r="A33" s="98"/>
      <c r="B33" s="6" t="s">
        <v>522</v>
      </c>
      <c r="C33" s="14">
        <f>C31+1</f>
        <v>22</v>
      </c>
      <c r="D33" s="87" t="s">
        <v>184</v>
      </c>
      <c r="E33" s="87" t="s">
        <v>183</v>
      </c>
      <c r="F33" s="13" t="s">
        <v>3066</v>
      </c>
      <c r="G33" s="88" t="s">
        <v>519</v>
      </c>
      <c r="H33" s="89"/>
      <c r="I33" s="90"/>
    </row>
    <row r="34" spans="1:9" ht="69" customHeight="1" x14ac:dyDescent="0.25">
      <c r="A34" s="98"/>
      <c r="B34" s="6" t="s">
        <v>3055</v>
      </c>
      <c r="C34" s="14">
        <f>C32+1</f>
        <v>23</v>
      </c>
      <c r="D34" s="35" t="s">
        <v>184</v>
      </c>
      <c r="E34" s="35" t="s">
        <v>183</v>
      </c>
      <c r="F34" s="13" t="s">
        <v>527</v>
      </c>
      <c r="G34" s="30" t="s">
        <v>519</v>
      </c>
      <c r="H34" s="122"/>
      <c r="I34" s="123"/>
    </row>
    <row r="35" spans="1:9" ht="23.4" x14ac:dyDescent="0.25">
      <c r="A35" s="98"/>
      <c r="B35" s="18" t="s">
        <v>61</v>
      </c>
      <c r="C35" s="14">
        <f t="shared" si="1"/>
        <v>24</v>
      </c>
      <c r="D35" s="27" t="s">
        <v>184</v>
      </c>
      <c r="E35" s="27" t="s">
        <v>183</v>
      </c>
      <c r="F35" s="154"/>
      <c r="G35" s="155"/>
      <c r="H35" s="135"/>
      <c r="I35" s="136"/>
    </row>
    <row r="36" spans="1:9" ht="21" x14ac:dyDescent="0.25">
      <c r="A36" s="98"/>
      <c r="B36" s="45" t="s">
        <v>63</v>
      </c>
      <c r="C36" s="14">
        <f t="shared" si="1"/>
        <v>25</v>
      </c>
      <c r="D36" s="27" t="s">
        <v>184</v>
      </c>
      <c r="E36" s="27" t="s">
        <v>183</v>
      </c>
      <c r="F36" s="156"/>
      <c r="G36" s="157"/>
      <c r="H36" s="137"/>
      <c r="I36" s="138"/>
    </row>
    <row r="37" spans="1:9" ht="23.4" x14ac:dyDescent="0.25">
      <c r="A37" s="99"/>
      <c r="B37" s="18" t="s">
        <v>62</v>
      </c>
      <c r="C37" s="20">
        <f t="shared" si="1"/>
        <v>26</v>
      </c>
      <c r="D37" s="183"/>
      <c r="E37" s="184"/>
      <c r="F37" s="184"/>
      <c r="G37" s="185"/>
      <c r="H37" s="137"/>
      <c r="I37" s="138"/>
    </row>
    <row r="38" spans="1:9" ht="47.25" customHeight="1" x14ac:dyDescent="0.25">
      <c r="A38" s="97" t="s">
        <v>46</v>
      </c>
      <c r="B38" s="6" t="s">
        <v>46</v>
      </c>
      <c r="C38" s="19">
        <f t="shared" si="1"/>
        <v>27</v>
      </c>
      <c r="D38" s="24" t="s">
        <v>184</v>
      </c>
      <c r="E38" s="24" t="s">
        <v>183</v>
      </c>
      <c r="F38" s="25"/>
      <c r="G38" s="26" t="s">
        <v>519</v>
      </c>
      <c r="H38" s="137"/>
      <c r="I38" s="138"/>
    </row>
    <row r="39" spans="1:9" ht="47.25" customHeight="1" x14ac:dyDescent="0.25">
      <c r="A39" s="98"/>
      <c r="B39" s="6" t="s">
        <v>211</v>
      </c>
      <c r="C39" s="14">
        <f t="shared" si="1"/>
        <v>28</v>
      </c>
      <c r="D39" s="148"/>
      <c r="E39" s="153"/>
      <c r="F39" s="153"/>
      <c r="G39" s="149"/>
      <c r="H39" s="137"/>
      <c r="I39" s="138"/>
    </row>
    <row r="40" spans="1:9" ht="47.25" customHeight="1" x14ac:dyDescent="0.25">
      <c r="A40" s="98"/>
      <c r="B40" s="6" t="s">
        <v>212</v>
      </c>
      <c r="C40" s="14">
        <f t="shared" si="1"/>
        <v>29</v>
      </c>
      <c r="D40" s="148"/>
      <c r="E40" s="153"/>
      <c r="F40" s="153"/>
      <c r="G40" s="149"/>
      <c r="H40" s="137"/>
      <c r="I40" s="138"/>
    </row>
    <row r="41" spans="1:9" ht="47.25" customHeight="1" x14ac:dyDescent="0.25">
      <c r="A41" s="98"/>
      <c r="B41" s="6" t="s">
        <v>47</v>
      </c>
      <c r="C41" s="14">
        <f t="shared" si="1"/>
        <v>30</v>
      </c>
      <c r="D41" s="148"/>
      <c r="E41" s="153"/>
      <c r="F41" s="153"/>
      <c r="G41" s="149"/>
      <c r="H41" s="137"/>
      <c r="I41" s="138"/>
    </row>
    <row r="42" spans="1:9" ht="47.25" customHeight="1" x14ac:dyDescent="0.25">
      <c r="A42" s="99"/>
      <c r="B42" s="6" t="s">
        <v>48</v>
      </c>
      <c r="C42" s="20">
        <f t="shared" si="1"/>
        <v>31</v>
      </c>
      <c r="D42" s="170"/>
      <c r="E42" s="171"/>
      <c r="F42" s="171"/>
      <c r="G42" s="172"/>
      <c r="H42" s="137"/>
      <c r="I42" s="138"/>
    </row>
    <row r="43" spans="1:9" ht="47.25" customHeight="1" x14ac:dyDescent="0.25">
      <c r="A43" s="97" t="s">
        <v>3056</v>
      </c>
      <c r="B43" s="6" t="s">
        <v>3057</v>
      </c>
      <c r="C43" s="91">
        <f t="shared" si="1"/>
        <v>32</v>
      </c>
      <c r="D43" s="27" t="s">
        <v>184</v>
      </c>
      <c r="E43" s="27" t="s">
        <v>183</v>
      </c>
      <c r="F43" s="100"/>
      <c r="G43" s="101"/>
      <c r="H43" s="137"/>
      <c r="I43" s="138"/>
    </row>
    <row r="44" spans="1:9" ht="47.25" customHeight="1" x14ac:dyDescent="0.25">
      <c r="A44" s="98"/>
      <c r="B44" s="6" t="s">
        <v>3058</v>
      </c>
      <c r="C44" s="91">
        <f t="shared" si="1"/>
        <v>33</v>
      </c>
      <c r="D44" s="27" t="s">
        <v>184</v>
      </c>
      <c r="E44" s="27" t="s">
        <v>183</v>
      </c>
      <c r="F44" s="100"/>
      <c r="G44" s="101"/>
      <c r="H44" s="137"/>
      <c r="I44" s="138"/>
    </row>
    <row r="45" spans="1:9" ht="47.25" customHeight="1" x14ac:dyDescent="0.25">
      <c r="A45" s="98"/>
      <c r="B45" s="6" t="s">
        <v>3059</v>
      </c>
      <c r="C45" s="91">
        <f t="shared" si="1"/>
        <v>34</v>
      </c>
      <c r="D45" s="102" t="s">
        <v>3062</v>
      </c>
      <c r="E45" s="103"/>
      <c r="F45" s="103"/>
      <c r="G45" s="104"/>
      <c r="H45" s="137"/>
      <c r="I45" s="138"/>
    </row>
    <row r="46" spans="1:9" ht="47.25" customHeight="1" x14ac:dyDescent="0.25">
      <c r="A46" s="98"/>
      <c r="B46" s="6" t="s">
        <v>3060</v>
      </c>
      <c r="C46" s="91">
        <f t="shared" si="1"/>
        <v>35</v>
      </c>
      <c r="D46" s="102" t="s">
        <v>3062</v>
      </c>
      <c r="E46" s="103"/>
      <c r="F46" s="103"/>
      <c r="G46" s="104"/>
      <c r="H46" s="137"/>
      <c r="I46" s="138"/>
    </row>
    <row r="47" spans="1:9" ht="47.25" customHeight="1" x14ac:dyDescent="0.25">
      <c r="A47" s="99"/>
      <c r="B47" s="6" t="s">
        <v>3061</v>
      </c>
      <c r="C47" s="91">
        <f t="shared" si="1"/>
        <v>36</v>
      </c>
      <c r="D47" s="102" t="s">
        <v>3062</v>
      </c>
      <c r="E47" s="103"/>
      <c r="F47" s="103"/>
      <c r="G47" s="104"/>
      <c r="H47" s="137"/>
      <c r="I47" s="138"/>
    </row>
    <row r="48" spans="1:9" ht="47.25" customHeight="1" x14ac:dyDescent="0.25">
      <c r="A48" s="176" t="s">
        <v>182</v>
      </c>
      <c r="B48" s="6" t="s">
        <v>43</v>
      </c>
      <c r="C48" s="19">
        <f t="shared" si="1"/>
        <v>37</v>
      </c>
      <c r="D48" s="24" t="s">
        <v>184</v>
      </c>
      <c r="E48" s="24" t="s">
        <v>183</v>
      </c>
      <c r="F48" s="181"/>
      <c r="G48" s="182"/>
      <c r="H48" s="137"/>
      <c r="I48" s="138"/>
    </row>
    <row r="49" spans="1:9" ht="47.25" customHeight="1" x14ac:dyDescent="0.25">
      <c r="A49" s="177"/>
      <c r="B49" s="178" t="s">
        <v>4</v>
      </c>
      <c r="C49" s="14">
        <f t="shared" si="1"/>
        <v>38</v>
      </c>
      <c r="D49" s="148"/>
      <c r="E49" s="153"/>
      <c r="F49" s="153"/>
      <c r="G49" s="149"/>
      <c r="H49" s="137"/>
      <c r="I49" s="138"/>
    </row>
    <row r="50" spans="1:9" ht="47.25" customHeight="1" x14ac:dyDescent="0.25">
      <c r="A50" s="177"/>
      <c r="B50" s="179"/>
      <c r="C50" s="14">
        <f t="shared" si="1"/>
        <v>39</v>
      </c>
      <c r="D50" s="148"/>
      <c r="E50" s="153"/>
      <c r="F50" s="153"/>
      <c r="G50" s="149"/>
      <c r="H50" s="137"/>
      <c r="I50" s="138"/>
    </row>
    <row r="51" spans="1:9" ht="47.25" customHeight="1" x14ac:dyDescent="0.25">
      <c r="A51" s="177"/>
      <c r="B51" s="179"/>
      <c r="C51" s="14">
        <f t="shared" si="1"/>
        <v>40</v>
      </c>
      <c r="D51" s="148"/>
      <c r="E51" s="153"/>
      <c r="F51" s="153"/>
      <c r="G51" s="149"/>
      <c r="H51" s="137"/>
      <c r="I51" s="138"/>
    </row>
    <row r="52" spans="1:9" ht="47.25" customHeight="1" x14ac:dyDescent="0.25">
      <c r="A52" s="177"/>
      <c r="B52" s="180"/>
      <c r="C52" s="20">
        <f t="shared" si="1"/>
        <v>41</v>
      </c>
      <c r="D52" s="170"/>
      <c r="E52" s="171"/>
      <c r="F52" s="171"/>
      <c r="G52" s="172"/>
      <c r="H52" s="139"/>
      <c r="I52" s="140"/>
    </row>
    <row r="53" spans="1:9" ht="47.25" customHeight="1" x14ac:dyDescent="0.25">
      <c r="A53" s="176" t="s">
        <v>52</v>
      </c>
      <c r="B53" s="6" t="s">
        <v>18</v>
      </c>
      <c r="C53" s="19">
        <f t="shared" si="1"/>
        <v>42</v>
      </c>
      <c r="D53" s="24" t="s">
        <v>184</v>
      </c>
      <c r="E53" s="24" t="s">
        <v>183</v>
      </c>
      <c r="F53" s="25"/>
      <c r="G53" s="26" t="s">
        <v>519</v>
      </c>
      <c r="H53" s="42" t="str">
        <f>VLOOKUP(C$4,AllsiteData,30,FALSE)</f>
        <v>Yes</v>
      </c>
      <c r="I53" s="117"/>
    </row>
    <row r="54" spans="1:9" ht="47.25" customHeight="1" x14ac:dyDescent="0.25">
      <c r="A54" s="177"/>
      <c r="B54" s="6" t="s">
        <v>19</v>
      </c>
      <c r="C54" s="14">
        <f t="shared" si="1"/>
        <v>43</v>
      </c>
      <c r="D54" s="148"/>
      <c r="E54" s="153"/>
      <c r="F54" s="153"/>
      <c r="G54" s="149"/>
      <c r="H54" s="9"/>
      <c r="I54" s="118"/>
    </row>
    <row r="55" spans="1:9" ht="47.25" customHeight="1" x14ac:dyDescent="0.25">
      <c r="A55" s="177"/>
      <c r="B55" s="6" t="s">
        <v>20</v>
      </c>
      <c r="C55" s="14">
        <f t="shared" si="1"/>
        <v>44</v>
      </c>
      <c r="D55" s="27" t="s">
        <v>192</v>
      </c>
      <c r="E55" s="27" t="s">
        <v>193</v>
      </c>
      <c r="F55" s="100"/>
      <c r="G55" s="101"/>
      <c r="H55" s="9"/>
      <c r="I55" s="118"/>
    </row>
    <row r="56" spans="1:9" ht="47.25" customHeight="1" x14ac:dyDescent="0.25">
      <c r="A56" s="177"/>
      <c r="B56" s="6" t="s">
        <v>21</v>
      </c>
      <c r="C56" s="14">
        <f t="shared" si="1"/>
        <v>45</v>
      </c>
      <c r="D56" s="148"/>
      <c r="E56" s="153"/>
      <c r="F56" s="153"/>
      <c r="G56" s="149"/>
      <c r="H56" s="9"/>
      <c r="I56" s="118"/>
    </row>
    <row r="57" spans="1:9" ht="47.25" customHeight="1" x14ac:dyDescent="0.25">
      <c r="A57" s="177"/>
      <c r="B57" s="6" t="s">
        <v>22</v>
      </c>
      <c r="C57" s="14">
        <f t="shared" si="1"/>
        <v>46</v>
      </c>
      <c r="D57" s="148"/>
      <c r="E57" s="153"/>
      <c r="F57" s="153"/>
      <c r="G57" s="149"/>
      <c r="H57" s="9"/>
      <c r="I57" s="118"/>
    </row>
    <row r="58" spans="1:9" ht="47.25" customHeight="1" x14ac:dyDescent="0.25">
      <c r="A58" s="177"/>
      <c r="B58" s="6" t="s">
        <v>23</v>
      </c>
      <c r="C58" s="14">
        <f t="shared" si="1"/>
        <v>47</v>
      </c>
      <c r="D58" s="148"/>
      <c r="E58" s="153"/>
      <c r="F58" s="153"/>
      <c r="G58" s="149"/>
      <c r="H58" s="9"/>
      <c r="I58" s="118"/>
    </row>
    <row r="59" spans="1:9" ht="47.25" customHeight="1" x14ac:dyDescent="0.25">
      <c r="A59" s="177"/>
      <c r="B59" s="6" t="s">
        <v>194</v>
      </c>
      <c r="C59" s="14">
        <f t="shared" si="1"/>
        <v>48</v>
      </c>
      <c r="D59" s="27" t="s">
        <v>208</v>
      </c>
      <c r="E59" s="27" t="s">
        <v>207</v>
      </c>
      <c r="F59" s="100"/>
      <c r="G59" s="101"/>
      <c r="H59" s="9"/>
      <c r="I59" s="118"/>
    </row>
    <row r="60" spans="1:9" ht="62.25" customHeight="1" x14ac:dyDescent="0.25">
      <c r="A60" s="177"/>
      <c r="B60" s="6" t="s">
        <v>24</v>
      </c>
      <c r="C60" s="14">
        <f t="shared" si="1"/>
        <v>49</v>
      </c>
      <c r="D60" s="126" t="s">
        <v>523</v>
      </c>
      <c r="E60" s="127"/>
      <c r="F60" s="127"/>
      <c r="G60" s="128"/>
      <c r="H60" s="9"/>
      <c r="I60" s="118"/>
    </row>
    <row r="61" spans="1:9" ht="63" customHeight="1" x14ac:dyDescent="0.25">
      <c r="A61" s="177"/>
      <c r="B61" s="6" t="s">
        <v>195</v>
      </c>
      <c r="C61" s="14">
        <f t="shared" si="1"/>
        <v>50</v>
      </c>
      <c r="D61" s="160" t="s">
        <v>524</v>
      </c>
      <c r="E61" s="161"/>
      <c r="F61" s="161"/>
      <c r="G61" s="162"/>
      <c r="H61" s="9"/>
      <c r="I61" s="118"/>
    </row>
    <row r="62" spans="1:9" ht="62.25" customHeight="1" x14ac:dyDescent="0.25">
      <c r="A62" s="177"/>
      <c r="B62" s="6" t="s">
        <v>25</v>
      </c>
      <c r="C62" s="14">
        <f t="shared" si="1"/>
        <v>51</v>
      </c>
      <c r="D62" s="126" t="s">
        <v>198</v>
      </c>
      <c r="E62" s="127"/>
      <c r="F62" s="127"/>
      <c r="G62" s="128"/>
      <c r="H62" s="9"/>
      <c r="I62" s="118"/>
    </row>
    <row r="63" spans="1:9" ht="68.25" customHeight="1" x14ac:dyDescent="0.25">
      <c r="A63" s="177"/>
      <c r="B63" s="6" t="s">
        <v>199</v>
      </c>
      <c r="C63" s="14">
        <f t="shared" si="1"/>
        <v>52</v>
      </c>
      <c r="D63" s="126" t="s">
        <v>525</v>
      </c>
      <c r="E63" s="127"/>
      <c r="F63" s="127"/>
      <c r="G63" s="128"/>
      <c r="H63" s="9"/>
      <c r="I63" s="118"/>
    </row>
    <row r="64" spans="1:9" ht="47.25" customHeight="1" x14ac:dyDescent="0.25">
      <c r="A64" s="177"/>
      <c r="B64" s="6" t="s">
        <v>196</v>
      </c>
      <c r="C64" s="14">
        <f t="shared" si="1"/>
        <v>53</v>
      </c>
      <c r="D64" s="148"/>
      <c r="E64" s="153"/>
      <c r="F64" s="153"/>
      <c r="G64" s="149"/>
      <c r="H64" s="11"/>
      <c r="I64" s="118"/>
    </row>
    <row r="65" spans="1:9" ht="47.25" customHeight="1" x14ac:dyDescent="0.25">
      <c r="A65" s="177"/>
      <c r="B65" s="6" t="s">
        <v>197</v>
      </c>
      <c r="C65" s="14">
        <f t="shared" si="1"/>
        <v>54</v>
      </c>
      <c r="D65" s="148"/>
      <c r="E65" s="153"/>
      <c r="F65" s="153"/>
      <c r="G65" s="149"/>
      <c r="H65" s="11"/>
      <c r="I65" s="118"/>
    </row>
    <row r="66" spans="1:9" ht="47.25" customHeight="1" x14ac:dyDescent="0.25">
      <c r="A66" s="177"/>
      <c r="B66" s="6" t="s">
        <v>200</v>
      </c>
      <c r="C66" s="14">
        <f t="shared" si="1"/>
        <v>55</v>
      </c>
      <c r="D66" s="96" t="s">
        <v>201</v>
      </c>
      <c r="E66" s="96"/>
      <c r="F66" s="158"/>
      <c r="G66" s="159"/>
      <c r="H66" s="11"/>
      <c r="I66" s="118"/>
    </row>
    <row r="67" spans="1:9" ht="47.25" customHeight="1" x14ac:dyDescent="0.25">
      <c r="A67" s="177"/>
      <c r="B67" s="6" t="s">
        <v>200</v>
      </c>
      <c r="C67" s="14">
        <f t="shared" si="1"/>
        <v>56</v>
      </c>
      <c r="D67" s="96" t="s">
        <v>202</v>
      </c>
      <c r="E67" s="96"/>
      <c r="F67" s="148"/>
      <c r="G67" s="149"/>
      <c r="H67" s="11"/>
      <c r="I67" s="118"/>
    </row>
    <row r="68" spans="1:9" ht="23.4" x14ac:dyDescent="0.25">
      <c r="A68" s="177"/>
      <c r="B68" s="18" t="s">
        <v>61</v>
      </c>
      <c r="C68" s="14">
        <f t="shared" si="1"/>
        <v>57</v>
      </c>
      <c r="D68" s="27" t="s">
        <v>184</v>
      </c>
      <c r="E68" s="27" t="s">
        <v>183</v>
      </c>
      <c r="F68" s="154"/>
      <c r="G68" s="155"/>
      <c r="H68" s="11"/>
      <c r="I68" s="118"/>
    </row>
    <row r="69" spans="1:9" ht="21" x14ac:dyDescent="0.25">
      <c r="A69" s="177"/>
      <c r="B69" s="45" t="s">
        <v>63</v>
      </c>
      <c r="C69" s="14">
        <f t="shared" si="1"/>
        <v>58</v>
      </c>
      <c r="D69" s="27" t="s">
        <v>184</v>
      </c>
      <c r="E69" s="27" t="s">
        <v>183</v>
      </c>
      <c r="F69" s="156"/>
      <c r="G69" s="157"/>
      <c r="H69" s="11"/>
      <c r="I69" s="118"/>
    </row>
    <row r="70" spans="1:9" ht="30" customHeight="1" x14ac:dyDescent="0.25">
      <c r="A70" s="177"/>
      <c r="B70" s="18" t="s">
        <v>62</v>
      </c>
      <c r="C70" s="20">
        <f t="shared" si="1"/>
        <v>59</v>
      </c>
      <c r="D70" s="150"/>
      <c r="E70" s="151"/>
      <c r="F70" s="151"/>
      <c r="G70" s="152"/>
      <c r="H70" s="10"/>
      <c r="I70" s="119"/>
    </row>
    <row r="71" spans="1:9" ht="47.25" customHeight="1" x14ac:dyDescent="0.25">
      <c r="A71" s="98" t="s">
        <v>53</v>
      </c>
      <c r="B71" s="36" t="s">
        <v>26</v>
      </c>
      <c r="C71" s="31">
        <f t="shared" si="1"/>
        <v>60</v>
      </c>
      <c r="D71" s="32" t="s">
        <v>184</v>
      </c>
      <c r="E71" s="32" t="s">
        <v>183</v>
      </c>
      <c r="F71" s="33"/>
      <c r="G71" s="34" t="s">
        <v>519</v>
      </c>
      <c r="H71" s="74" t="str">
        <f>VLOOKUP(C$4,AllsiteData,33,FALSE)</f>
        <v>Yes</v>
      </c>
      <c r="I71" s="118"/>
    </row>
    <row r="72" spans="1:9" ht="47.25" customHeight="1" x14ac:dyDescent="0.25">
      <c r="A72" s="98"/>
      <c r="B72" s="6" t="s">
        <v>27</v>
      </c>
      <c r="C72" s="14">
        <f t="shared" si="1"/>
        <v>61</v>
      </c>
      <c r="D72" s="148"/>
      <c r="E72" s="153"/>
      <c r="F72" s="153"/>
      <c r="G72" s="149"/>
      <c r="H72" s="9"/>
      <c r="I72" s="118"/>
    </row>
    <row r="73" spans="1:9" ht="47.25" customHeight="1" x14ac:dyDescent="0.25">
      <c r="A73" s="98"/>
      <c r="B73" s="6" t="s">
        <v>28</v>
      </c>
      <c r="C73" s="14">
        <f t="shared" si="1"/>
        <v>62</v>
      </c>
      <c r="D73" s="27" t="s">
        <v>192</v>
      </c>
      <c r="E73" s="27" t="s">
        <v>193</v>
      </c>
      <c r="F73" s="100"/>
      <c r="G73" s="101"/>
      <c r="H73" s="9"/>
      <c r="I73" s="118"/>
    </row>
    <row r="74" spans="1:9" ht="47.25" customHeight="1" x14ac:dyDescent="0.25">
      <c r="A74" s="98"/>
      <c r="B74" s="6" t="s">
        <v>29</v>
      </c>
      <c r="C74" s="14">
        <f t="shared" si="1"/>
        <v>63</v>
      </c>
      <c r="D74" s="148"/>
      <c r="E74" s="153"/>
      <c r="F74" s="153"/>
      <c r="G74" s="149"/>
      <c r="H74" s="9"/>
      <c r="I74" s="118"/>
    </row>
    <row r="75" spans="1:9" ht="47.25" customHeight="1" x14ac:dyDescent="0.25">
      <c r="A75" s="98"/>
      <c r="B75" s="6" t="s">
        <v>30</v>
      </c>
      <c r="C75" s="14">
        <f t="shared" si="1"/>
        <v>64</v>
      </c>
      <c r="D75" s="148"/>
      <c r="E75" s="153"/>
      <c r="F75" s="153"/>
      <c r="G75" s="149"/>
      <c r="H75" s="9"/>
      <c r="I75" s="118"/>
    </row>
    <row r="76" spans="1:9" ht="47.25" customHeight="1" x14ac:dyDescent="0.25">
      <c r="A76" s="98"/>
      <c r="B76" s="6" t="s">
        <v>31</v>
      </c>
      <c r="C76" s="14">
        <f t="shared" si="1"/>
        <v>65</v>
      </c>
      <c r="D76" s="126" t="s">
        <v>523</v>
      </c>
      <c r="E76" s="127"/>
      <c r="F76" s="127"/>
      <c r="G76" s="128"/>
      <c r="H76" s="9"/>
      <c r="I76" s="118"/>
    </row>
    <row r="77" spans="1:9" ht="47.25" customHeight="1" x14ac:dyDescent="0.25">
      <c r="A77" s="98"/>
      <c r="B77" s="6" t="s">
        <v>32</v>
      </c>
      <c r="C77" s="14">
        <f t="shared" ref="C77:C112" si="2">C76+1</f>
        <v>66</v>
      </c>
      <c r="D77" s="148"/>
      <c r="E77" s="153"/>
      <c r="F77" s="153"/>
      <c r="G77" s="149"/>
      <c r="H77" s="9"/>
      <c r="I77" s="118"/>
    </row>
    <row r="78" spans="1:9" ht="61.5" customHeight="1" x14ac:dyDescent="0.25">
      <c r="A78" s="98"/>
      <c r="B78" s="6" t="s">
        <v>203</v>
      </c>
      <c r="C78" s="14">
        <f t="shared" si="2"/>
        <v>67</v>
      </c>
      <c r="D78" s="126" t="s">
        <v>198</v>
      </c>
      <c r="E78" s="127"/>
      <c r="F78" s="127"/>
      <c r="G78" s="128"/>
      <c r="H78" s="9"/>
      <c r="I78" s="118"/>
    </row>
    <row r="79" spans="1:9" ht="47.25" customHeight="1" x14ac:dyDescent="0.25">
      <c r="A79" s="98"/>
      <c r="B79" s="6" t="s">
        <v>204</v>
      </c>
      <c r="C79" s="14">
        <f t="shared" si="2"/>
        <v>68</v>
      </c>
      <c r="D79" s="126" t="s">
        <v>525</v>
      </c>
      <c r="E79" s="127"/>
      <c r="F79" s="127"/>
      <c r="G79" s="128"/>
      <c r="H79" s="9"/>
      <c r="I79" s="118"/>
    </row>
    <row r="80" spans="1:9" ht="47.25" customHeight="1" x14ac:dyDescent="0.25">
      <c r="A80" s="98"/>
      <c r="B80" s="6" t="s">
        <v>33</v>
      </c>
      <c r="C80" s="14">
        <f t="shared" si="2"/>
        <v>69</v>
      </c>
      <c r="D80" s="148"/>
      <c r="E80" s="153"/>
      <c r="F80" s="153"/>
      <c r="G80" s="149"/>
      <c r="H80" s="11"/>
      <c r="I80" s="118"/>
    </row>
    <row r="81" spans="1:9" ht="23.4" x14ac:dyDescent="0.25">
      <c r="A81" s="98"/>
      <c r="B81" s="18" t="s">
        <v>61</v>
      </c>
      <c r="C81" s="14">
        <f t="shared" si="2"/>
        <v>70</v>
      </c>
      <c r="D81" s="27" t="s">
        <v>184</v>
      </c>
      <c r="E81" s="27" t="s">
        <v>183</v>
      </c>
      <c r="F81" s="154"/>
      <c r="G81" s="155"/>
      <c r="H81" s="11"/>
      <c r="I81" s="118"/>
    </row>
    <row r="82" spans="1:9" ht="21" x14ac:dyDescent="0.25">
      <c r="A82" s="98"/>
      <c r="B82" s="45" t="s">
        <v>63</v>
      </c>
      <c r="C82" s="14">
        <f t="shared" si="2"/>
        <v>71</v>
      </c>
      <c r="D82" s="27" t="s">
        <v>184</v>
      </c>
      <c r="E82" s="27" t="s">
        <v>183</v>
      </c>
      <c r="F82" s="156"/>
      <c r="G82" s="157"/>
      <c r="H82" s="11"/>
      <c r="I82" s="118"/>
    </row>
    <row r="83" spans="1:9" ht="47.25" customHeight="1" x14ac:dyDescent="0.25">
      <c r="A83" s="99"/>
      <c r="B83" s="18" t="s">
        <v>62</v>
      </c>
      <c r="C83" s="20">
        <f t="shared" si="2"/>
        <v>72</v>
      </c>
      <c r="D83" s="170"/>
      <c r="E83" s="171"/>
      <c r="F83" s="171"/>
      <c r="G83" s="172"/>
      <c r="H83" s="10"/>
      <c r="I83" s="119"/>
    </row>
    <row r="84" spans="1:9" ht="47.25" customHeight="1" x14ac:dyDescent="0.25">
      <c r="A84" s="176" t="s">
        <v>54</v>
      </c>
      <c r="B84" s="6" t="s">
        <v>34</v>
      </c>
      <c r="C84" s="19">
        <f t="shared" si="2"/>
        <v>73</v>
      </c>
      <c r="D84" s="24" t="s">
        <v>184</v>
      </c>
      <c r="E84" s="24" t="s">
        <v>183</v>
      </c>
      <c r="F84" s="25"/>
      <c r="G84" s="26" t="s">
        <v>519</v>
      </c>
      <c r="H84" s="42" t="str">
        <f>IF(VLOOKUP(C$4,AllsiteData,31,FALSE)&lt;&gt;" ","Yes","No")</f>
        <v>Yes</v>
      </c>
      <c r="I84" s="117"/>
    </row>
    <row r="85" spans="1:9" ht="47.25" customHeight="1" x14ac:dyDescent="0.25">
      <c r="A85" s="177"/>
      <c r="B85" s="6" t="s">
        <v>35</v>
      </c>
      <c r="C85" s="14">
        <f t="shared" si="2"/>
        <v>74</v>
      </c>
      <c r="D85" s="148"/>
      <c r="E85" s="153"/>
      <c r="F85" s="153"/>
      <c r="G85" s="149"/>
      <c r="H85" s="9"/>
      <c r="I85" s="118"/>
    </row>
    <row r="86" spans="1:9" ht="47.25" customHeight="1" x14ac:dyDescent="0.25">
      <c r="A86" s="177"/>
      <c r="B86" s="6" t="s">
        <v>36</v>
      </c>
      <c r="C86" s="14">
        <f t="shared" si="2"/>
        <v>75</v>
      </c>
      <c r="D86" s="23" t="s">
        <v>205</v>
      </c>
      <c r="E86" s="23" t="s">
        <v>206</v>
      </c>
      <c r="F86" s="100"/>
      <c r="G86" s="101"/>
      <c r="H86" s="9"/>
      <c r="I86" s="118"/>
    </row>
    <row r="87" spans="1:9" ht="47.25" customHeight="1" x14ac:dyDescent="0.25">
      <c r="A87" s="177"/>
      <c r="B87" s="6" t="s">
        <v>37</v>
      </c>
      <c r="C87" s="14">
        <f t="shared" si="2"/>
        <v>76</v>
      </c>
      <c r="D87" s="148"/>
      <c r="E87" s="153"/>
      <c r="F87" s="153"/>
      <c r="G87" s="149"/>
      <c r="H87" s="43" t="str">
        <f>VLOOKUP(C$4,AllsiteData,31,FALSE)</f>
        <v>Pulsar</v>
      </c>
      <c r="I87" s="118"/>
    </row>
    <row r="88" spans="1:9" ht="47.25" customHeight="1" x14ac:dyDescent="0.25">
      <c r="A88" s="177"/>
      <c r="B88" s="6" t="s">
        <v>38</v>
      </c>
      <c r="C88" s="14">
        <f t="shared" si="2"/>
        <v>77</v>
      </c>
      <c r="D88" s="148"/>
      <c r="E88" s="153"/>
      <c r="F88" s="153"/>
      <c r="G88" s="149"/>
      <c r="H88" s="9"/>
      <c r="I88" s="118"/>
    </row>
    <row r="89" spans="1:9" ht="47.25" customHeight="1" x14ac:dyDescent="0.25">
      <c r="A89" s="177"/>
      <c r="B89" s="6" t="s">
        <v>39</v>
      </c>
      <c r="C89" s="14">
        <f t="shared" si="2"/>
        <v>78</v>
      </c>
      <c r="D89" s="27" t="s">
        <v>208</v>
      </c>
      <c r="E89" s="27" t="s">
        <v>207</v>
      </c>
      <c r="F89" s="100"/>
      <c r="G89" s="101"/>
      <c r="H89" s="9"/>
      <c r="I89" s="118"/>
    </row>
    <row r="90" spans="1:9" ht="47.25" customHeight="1" x14ac:dyDescent="0.25">
      <c r="A90" s="177"/>
      <c r="B90" s="6" t="s">
        <v>40</v>
      </c>
      <c r="C90" s="14">
        <f t="shared" si="2"/>
        <v>79</v>
      </c>
      <c r="D90" s="126" t="s">
        <v>523</v>
      </c>
      <c r="E90" s="127"/>
      <c r="F90" s="127"/>
      <c r="G90" s="128"/>
      <c r="H90" s="9"/>
      <c r="I90" s="118"/>
    </row>
    <row r="91" spans="1:9" ht="57.75" customHeight="1" x14ac:dyDescent="0.25">
      <c r="A91" s="177"/>
      <c r="B91" s="6" t="s">
        <v>41</v>
      </c>
      <c r="C91" s="14">
        <f t="shared" si="2"/>
        <v>80</v>
      </c>
      <c r="D91" s="173" t="s">
        <v>526</v>
      </c>
      <c r="E91" s="174"/>
      <c r="F91" s="174"/>
      <c r="G91" s="175"/>
      <c r="H91" s="9"/>
      <c r="I91" s="118"/>
    </row>
    <row r="92" spans="1:9" ht="71.25" customHeight="1" x14ac:dyDescent="0.25">
      <c r="A92" s="177"/>
      <c r="B92" s="6" t="s">
        <v>42</v>
      </c>
      <c r="C92" s="14">
        <f t="shared" si="2"/>
        <v>81</v>
      </c>
      <c r="D92" s="126" t="s">
        <v>198</v>
      </c>
      <c r="E92" s="127"/>
      <c r="F92" s="127"/>
      <c r="G92" s="128"/>
      <c r="H92" s="9"/>
      <c r="I92" s="118"/>
    </row>
    <row r="93" spans="1:9" ht="47.25" customHeight="1" x14ac:dyDescent="0.25">
      <c r="A93" s="177"/>
      <c r="B93" s="6" t="s">
        <v>209</v>
      </c>
      <c r="C93" s="14">
        <f t="shared" si="2"/>
        <v>82</v>
      </c>
      <c r="D93" s="126" t="s">
        <v>525</v>
      </c>
      <c r="E93" s="127"/>
      <c r="F93" s="127"/>
      <c r="G93" s="128"/>
      <c r="H93" s="9"/>
      <c r="I93" s="118"/>
    </row>
    <row r="94" spans="1:9" ht="23.4" x14ac:dyDescent="0.25">
      <c r="A94" s="177"/>
      <c r="B94" s="18" t="s">
        <v>61</v>
      </c>
      <c r="C94" s="14">
        <f t="shared" si="2"/>
        <v>83</v>
      </c>
      <c r="D94" s="27" t="s">
        <v>184</v>
      </c>
      <c r="E94" s="27" t="s">
        <v>183</v>
      </c>
      <c r="F94" s="100"/>
      <c r="G94" s="101"/>
      <c r="H94" s="11"/>
      <c r="I94" s="118"/>
    </row>
    <row r="95" spans="1:9" ht="21" x14ac:dyDescent="0.25">
      <c r="A95" s="177"/>
      <c r="B95" s="45" t="s">
        <v>63</v>
      </c>
      <c r="C95" s="14">
        <f t="shared" si="2"/>
        <v>84</v>
      </c>
      <c r="D95" s="27" t="s">
        <v>184</v>
      </c>
      <c r="E95" s="27" t="s">
        <v>183</v>
      </c>
      <c r="F95" s="100"/>
      <c r="G95" s="101"/>
      <c r="H95" s="11"/>
      <c r="I95" s="118"/>
    </row>
    <row r="96" spans="1:9" ht="47.25" customHeight="1" x14ac:dyDescent="0.25">
      <c r="A96" s="177"/>
      <c r="B96" s="18" t="s">
        <v>62</v>
      </c>
      <c r="C96" s="20">
        <f t="shared" si="2"/>
        <v>85</v>
      </c>
      <c r="D96" s="150"/>
      <c r="E96" s="151"/>
      <c r="F96" s="151"/>
      <c r="G96" s="152"/>
      <c r="H96" s="10"/>
      <c r="I96" s="119"/>
    </row>
    <row r="97" spans="1:9" ht="27.75" customHeight="1" x14ac:dyDescent="0.25">
      <c r="A97" s="55"/>
      <c r="B97" s="61" t="s">
        <v>531</v>
      </c>
      <c r="C97" s="19">
        <f t="shared" si="2"/>
        <v>86</v>
      </c>
      <c r="D97" s="111"/>
      <c r="E97" s="111"/>
      <c r="F97" s="111"/>
      <c r="G97" s="112"/>
      <c r="H97" s="42" t="str">
        <f>VLOOKUP(C$4,AllsiteData,18,FALSE)</f>
        <v>Main SB</v>
      </c>
      <c r="I97" s="143"/>
    </row>
    <row r="98" spans="1:9" ht="48.75" customHeight="1" x14ac:dyDescent="0.25">
      <c r="A98" s="54"/>
      <c r="B98" s="62" t="s">
        <v>540</v>
      </c>
      <c r="C98" s="14">
        <f t="shared" si="2"/>
        <v>87</v>
      </c>
      <c r="D98" s="115"/>
      <c r="E98" s="115"/>
      <c r="F98" s="115"/>
      <c r="G98" s="37" t="s">
        <v>519</v>
      </c>
      <c r="H98" s="43" t="str">
        <f>VLOOKUP(C$4,AllsiteData,26,FALSE)</f>
        <v xml:space="preserve"> </v>
      </c>
      <c r="I98" s="144"/>
    </row>
    <row r="99" spans="1:9" ht="48.75" customHeight="1" x14ac:dyDescent="0.25">
      <c r="A99" s="54"/>
      <c r="B99" s="62" t="s">
        <v>545</v>
      </c>
      <c r="C99" s="14">
        <f t="shared" si="2"/>
        <v>88</v>
      </c>
      <c r="D99" s="113"/>
      <c r="E99" s="113"/>
      <c r="F99" s="113"/>
      <c r="G99" s="114"/>
      <c r="H99" s="43" t="str">
        <f>VLOOKUP(C$4,AllsiteData,28,FALSE)</f>
        <v>0180028454</v>
      </c>
      <c r="I99" s="144"/>
    </row>
    <row r="100" spans="1:9" ht="48.75" customHeight="1" x14ac:dyDescent="0.25">
      <c r="A100" s="54"/>
      <c r="B100" s="62" t="s">
        <v>532</v>
      </c>
      <c r="C100" s="14">
        <f t="shared" si="2"/>
        <v>89</v>
      </c>
      <c r="D100" s="113"/>
      <c r="E100" s="113"/>
      <c r="F100" s="113"/>
      <c r="G100" s="114"/>
      <c r="H100" s="58" t="str">
        <f>VLOOKUP(C$4,AllsiteData,23,FALSE)</f>
        <v xml:space="preserve"> </v>
      </c>
      <c r="I100" s="144"/>
    </row>
    <row r="101" spans="1:9" ht="48.75" customHeight="1" x14ac:dyDescent="0.25">
      <c r="A101" s="56"/>
      <c r="B101" s="62" t="s">
        <v>533</v>
      </c>
      <c r="C101" s="14">
        <f t="shared" si="2"/>
        <v>90</v>
      </c>
      <c r="D101" s="115"/>
      <c r="E101" s="115"/>
      <c r="F101" s="115"/>
      <c r="G101" s="116"/>
      <c r="H101" s="43" t="str">
        <f>VLOOKUP(C$4,AllsiteData,24,FALSE)</f>
        <v xml:space="preserve"> </v>
      </c>
      <c r="I101" s="144"/>
    </row>
    <row r="102" spans="1:9" ht="33.6" x14ac:dyDescent="0.25">
      <c r="A102" s="56"/>
      <c r="B102" s="62" t="s">
        <v>534</v>
      </c>
      <c r="C102" s="14">
        <f t="shared" si="2"/>
        <v>91</v>
      </c>
      <c r="D102" s="115"/>
      <c r="E102" s="115"/>
      <c r="F102" s="115"/>
      <c r="G102" s="116"/>
      <c r="H102" s="43">
        <f>C8</f>
        <v>2005</v>
      </c>
      <c r="I102" s="144"/>
    </row>
    <row r="103" spans="1:9" ht="63.75" customHeight="1" x14ac:dyDescent="0.25">
      <c r="A103" s="56" t="s">
        <v>530</v>
      </c>
      <c r="B103" s="62" t="s">
        <v>535</v>
      </c>
      <c r="C103" s="14">
        <f t="shared" si="2"/>
        <v>92</v>
      </c>
      <c r="D103" s="115"/>
      <c r="E103" s="115"/>
      <c r="F103" s="115"/>
      <c r="G103" s="116"/>
      <c r="H103" s="43" t="str">
        <f>VLOOKUP(C$4,AllsiteData,27,FALSE)</f>
        <v xml:space="preserve"> </v>
      </c>
      <c r="I103" s="144"/>
    </row>
    <row r="104" spans="1:9" ht="63.75" customHeight="1" x14ac:dyDescent="0.25">
      <c r="A104" s="56"/>
      <c r="B104" s="62" t="s">
        <v>541</v>
      </c>
      <c r="C104" s="14">
        <f t="shared" si="2"/>
        <v>93</v>
      </c>
      <c r="D104" s="145" t="s">
        <v>546</v>
      </c>
      <c r="E104" s="146"/>
      <c r="F104" s="146"/>
      <c r="G104" s="147"/>
      <c r="H104" s="43"/>
      <c r="I104" s="144"/>
    </row>
    <row r="105" spans="1:9" ht="48.75" customHeight="1" x14ac:dyDescent="0.25">
      <c r="A105" s="54"/>
      <c r="B105" s="62" t="s">
        <v>542</v>
      </c>
      <c r="C105" s="14">
        <f t="shared" si="2"/>
        <v>94</v>
      </c>
      <c r="D105" s="145" t="s">
        <v>543</v>
      </c>
      <c r="E105" s="146"/>
      <c r="F105" s="146"/>
      <c r="G105" s="147"/>
      <c r="H105" s="43"/>
      <c r="I105" s="144"/>
    </row>
    <row r="106" spans="1:9" ht="48.75" customHeight="1" x14ac:dyDescent="0.25">
      <c r="A106" s="54"/>
      <c r="B106" s="62" t="s">
        <v>536</v>
      </c>
      <c r="C106" s="14">
        <f t="shared" si="2"/>
        <v>95</v>
      </c>
      <c r="D106" s="96"/>
      <c r="E106" s="96"/>
      <c r="F106" s="96"/>
      <c r="G106" s="52" t="s">
        <v>519</v>
      </c>
      <c r="H106" s="44"/>
      <c r="I106" s="144"/>
    </row>
    <row r="107" spans="1:9" ht="48.75" customHeight="1" x14ac:dyDescent="0.25">
      <c r="A107" s="54"/>
      <c r="B107" s="62" t="s">
        <v>537</v>
      </c>
      <c r="C107" s="14">
        <f t="shared" si="2"/>
        <v>96</v>
      </c>
      <c r="D107" s="96"/>
      <c r="E107" s="96"/>
      <c r="F107" s="96"/>
      <c r="G107" s="52" t="s">
        <v>519</v>
      </c>
      <c r="H107" s="44"/>
      <c r="I107" s="144"/>
    </row>
    <row r="108" spans="1:9" ht="67.5" customHeight="1" x14ac:dyDescent="0.25">
      <c r="A108" s="54"/>
      <c r="B108" s="62" t="s">
        <v>544</v>
      </c>
      <c r="C108" s="14">
        <f t="shared" si="2"/>
        <v>97</v>
      </c>
      <c r="D108" s="96"/>
      <c r="E108" s="96"/>
      <c r="F108" s="96"/>
      <c r="G108" s="52" t="s">
        <v>519</v>
      </c>
      <c r="H108" s="44"/>
      <c r="I108" s="144"/>
    </row>
    <row r="109" spans="1:9" ht="56.25" customHeight="1" x14ac:dyDescent="0.25">
      <c r="A109" s="54"/>
      <c r="B109" s="62" t="s">
        <v>538</v>
      </c>
      <c r="C109" s="14">
        <f t="shared" si="2"/>
        <v>98</v>
      </c>
      <c r="D109" s="115"/>
      <c r="E109" s="115"/>
      <c r="F109" s="115"/>
      <c r="G109" s="116"/>
      <c r="H109" s="43" t="str">
        <f>VLOOKUP(C$4,AllsiteData,16,FALSE)</f>
        <v>Supply Authority</v>
      </c>
      <c r="I109" s="144"/>
    </row>
    <row r="110" spans="1:9" ht="56.25" customHeight="1" x14ac:dyDescent="0.25">
      <c r="A110" s="54"/>
      <c r="B110" s="62" t="s">
        <v>539</v>
      </c>
      <c r="C110" s="14">
        <f t="shared" si="2"/>
        <v>99</v>
      </c>
      <c r="D110" s="115"/>
      <c r="E110" s="115"/>
      <c r="F110" s="115"/>
      <c r="G110" s="37" t="s">
        <v>519</v>
      </c>
      <c r="H110" s="63">
        <f>VLOOKUP(C$4,AllsiteData,20,FALSE)</f>
        <v>315</v>
      </c>
      <c r="I110" s="144"/>
    </row>
    <row r="111" spans="1:9" ht="189.75" customHeight="1" x14ac:dyDescent="0.25">
      <c r="A111" s="54"/>
      <c r="B111" s="62" t="s">
        <v>2752</v>
      </c>
      <c r="C111" s="14">
        <f t="shared" si="2"/>
        <v>100</v>
      </c>
      <c r="D111" s="95"/>
      <c r="E111" s="95"/>
      <c r="F111" s="95"/>
      <c r="G111" s="95"/>
      <c r="H111" s="95"/>
      <c r="I111" s="138"/>
    </row>
    <row r="112" spans="1:9" ht="52.5" customHeight="1" x14ac:dyDescent="0.25">
      <c r="A112" s="141" t="s">
        <v>2753</v>
      </c>
      <c r="B112" s="142"/>
      <c r="C112" s="20">
        <f t="shared" si="2"/>
        <v>101</v>
      </c>
      <c r="D112" s="163"/>
      <c r="E112" s="164"/>
      <c r="F112" s="164"/>
      <c r="G112" s="164"/>
      <c r="H112" s="165"/>
      <c r="I112" s="140"/>
    </row>
  </sheetData>
  <mergeCells count="118">
    <mergeCell ref="D1:F1"/>
    <mergeCell ref="D16:F16"/>
    <mergeCell ref="D17:F17"/>
    <mergeCell ref="D18:F18"/>
    <mergeCell ref="D19:F19"/>
    <mergeCell ref="D24:F24"/>
    <mergeCell ref="F15:G15"/>
    <mergeCell ref="D11:G11"/>
    <mergeCell ref="A12:A21"/>
    <mergeCell ref="F12:G12"/>
    <mergeCell ref="D22:G22"/>
    <mergeCell ref="A11:B11"/>
    <mergeCell ref="C3:G3"/>
    <mergeCell ref="A2:A10"/>
    <mergeCell ref="A22:A28"/>
    <mergeCell ref="C2:G2"/>
    <mergeCell ref="C5:G5"/>
    <mergeCell ref="C6:G6"/>
    <mergeCell ref="C7:G7"/>
    <mergeCell ref="C8:G8"/>
    <mergeCell ref="C9:G9"/>
    <mergeCell ref="C10:G10"/>
    <mergeCell ref="C4:G4"/>
    <mergeCell ref="A30:A37"/>
    <mergeCell ref="A38:A42"/>
    <mergeCell ref="D41:G41"/>
    <mergeCell ref="D42:G42"/>
    <mergeCell ref="D49:G49"/>
    <mergeCell ref="D51:G51"/>
    <mergeCell ref="F48:G48"/>
    <mergeCell ref="F35:G36"/>
    <mergeCell ref="D50:G50"/>
    <mergeCell ref="D37:G37"/>
    <mergeCell ref="D39:G39"/>
    <mergeCell ref="D40:G40"/>
    <mergeCell ref="A53:A70"/>
    <mergeCell ref="A71:A83"/>
    <mergeCell ref="A84:A96"/>
    <mergeCell ref="D66:E66"/>
    <mergeCell ref="D67:E67"/>
    <mergeCell ref="B49:B52"/>
    <mergeCell ref="D57:G57"/>
    <mergeCell ref="D58:G58"/>
    <mergeCell ref="F59:G59"/>
    <mergeCell ref="D52:G52"/>
    <mergeCell ref="A48:A52"/>
    <mergeCell ref="H29:I29"/>
    <mergeCell ref="H22:I28"/>
    <mergeCell ref="F94:G94"/>
    <mergeCell ref="F95:G95"/>
    <mergeCell ref="D96:G96"/>
    <mergeCell ref="F73:G73"/>
    <mergeCell ref="F81:G82"/>
    <mergeCell ref="D77:G77"/>
    <mergeCell ref="D80:G80"/>
    <mergeCell ref="D83:G83"/>
    <mergeCell ref="F86:G86"/>
    <mergeCell ref="D85:G85"/>
    <mergeCell ref="D87:G87"/>
    <mergeCell ref="D88:G88"/>
    <mergeCell ref="F89:G89"/>
    <mergeCell ref="D91:G91"/>
    <mergeCell ref="D90:G90"/>
    <mergeCell ref="D79:G79"/>
    <mergeCell ref="D93:G93"/>
    <mergeCell ref="D78:G78"/>
    <mergeCell ref="D92:G92"/>
    <mergeCell ref="D74:G74"/>
    <mergeCell ref="D75:G75"/>
    <mergeCell ref="D54:G54"/>
    <mergeCell ref="H2:I10"/>
    <mergeCell ref="H35:I52"/>
    <mergeCell ref="A112:B112"/>
    <mergeCell ref="D106:F106"/>
    <mergeCell ref="D107:F107"/>
    <mergeCell ref="D109:G109"/>
    <mergeCell ref="I97:I112"/>
    <mergeCell ref="D98:F98"/>
    <mergeCell ref="D104:G104"/>
    <mergeCell ref="D105:G105"/>
    <mergeCell ref="F67:G67"/>
    <mergeCell ref="D70:G70"/>
    <mergeCell ref="D72:G72"/>
    <mergeCell ref="F68:G69"/>
    <mergeCell ref="D64:G64"/>
    <mergeCell ref="D65:G65"/>
    <mergeCell ref="F66:G66"/>
    <mergeCell ref="D60:G60"/>
    <mergeCell ref="D61:G61"/>
    <mergeCell ref="D62:G62"/>
    <mergeCell ref="D56:G56"/>
    <mergeCell ref="D110:F110"/>
    <mergeCell ref="D112:H112"/>
    <mergeCell ref="D99:G99"/>
    <mergeCell ref="D111:H111"/>
    <mergeCell ref="D108:F108"/>
    <mergeCell ref="A43:A47"/>
    <mergeCell ref="F43:G43"/>
    <mergeCell ref="F44:G44"/>
    <mergeCell ref="D45:G45"/>
    <mergeCell ref="D46:G46"/>
    <mergeCell ref="D47:G47"/>
    <mergeCell ref="H11:I21"/>
    <mergeCell ref="D97:G97"/>
    <mergeCell ref="D100:G100"/>
    <mergeCell ref="D101:G101"/>
    <mergeCell ref="D102:G102"/>
    <mergeCell ref="D103:G103"/>
    <mergeCell ref="I53:I70"/>
    <mergeCell ref="H30:I30"/>
    <mergeCell ref="H31:I31"/>
    <mergeCell ref="H32:I32"/>
    <mergeCell ref="H34:I34"/>
    <mergeCell ref="I71:I83"/>
    <mergeCell ref="I84:I96"/>
    <mergeCell ref="D76:G76"/>
    <mergeCell ref="D63:G63"/>
    <mergeCell ref="F55:G55"/>
  </mergeCells>
  <pageMargins left="0.70866141732283472" right="0.70866141732283472" top="0.43307086614173229" bottom="0.43307086614173229" header="0.19685039370078741" footer="0.31496062992125984"/>
  <pageSetup paperSize="8" scale="58" fitToHeight="0" orientation="landscape" r:id="rId1"/>
  <headerFooter>
    <oddHeader>&amp;CSPS MAGENTA CR BALDIVIS</oddHeader>
  </headerFooter>
  <rowBreaks count="4" manualBreakCount="4">
    <brk id="28" max="8" man="1"/>
    <brk id="52" max="16383" man="1"/>
    <brk id="70" max="16383" man="1"/>
    <brk id="9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Macro1">
                <anchor>
                  <from>
                    <xdr:col>7</xdr:col>
                    <xdr:colOff>480060</xdr:colOff>
                    <xdr:row>10</xdr:row>
                    <xdr:rowOff>403860</xdr:rowOff>
                  </from>
                  <to>
                    <xdr:col>7</xdr:col>
                    <xdr:colOff>3086100</xdr:colOff>
                    <xdr:row>11</xdr:row>
                    <xdr:rowOff>838200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8"/>
  <sheetViews>
    <sheetView workbookViewId="0">
      <selection activeCell="B30" sqref="B30"/>
    </sheetView>
  </sheetViews>
  <sheetFormatPr defaultColWidth="9.109375" defaultRowHeight="15" x14ac:dyDescent="0.25"/>
  <cols>
    <col min="1" max="1" width="11.88671875" style="1" bestFit="1" customWidth="1"/>
    <col min="2" max="2" width="52.88671875" style="1" bestFit="1" customWidth="1"/>
    <col min="3" max="3" width="3.88671875" style="1" bestFit="1" customWidth="1"/>
    <col min="4" max="4" width="2.5546875" style="1" bestFit="1" customWidth="1"/>
    <col min="5" max="5" width="3.88671875" style="1" bestFit="1" customWidth="1"/>
    <col min="6" max="6" width="6.44140625" style="1" bestFit="1" customWidth="1"/>
    <col min="7" max="7" width="9" style="1" bestFit="1" customWidth="1"/>
    <col min="8" max="16384" width="9.109375" style="1"/>
  </cols>
  <sheetData>
    <row r="1" spans="1:7" x14ac:dyDescent="0.25">
      <c r="A1" s="1" t="s">
        <v>66</v>
      </c>
      <c r="B1" s="1" t="s">
        <v>67</v>
      </c>
      <c r="C1" s="1">
        <v>11</v>
      </c>
      <c r="D1" s="1">
        <v>4</v>
      </c>
      <c r="E1" s="1">
        <v>50</v>
      </c>
      <c r="F1" s="1">
        <v>4.3</v>
      </c>
      <c r="G1" s="1">
        <v>3107.4</v>
      </c>
    </row>
    <row r="2" spans="1:7" x14ac:dyDescent="0.25">
      <c r="A2" s="1" t="s">
        <v>68</v>
      </c>
      <c r="B2" s="1" t="s">
        <v>69</v>
      </c>
      <c r="C2" s="1">
        <v>7</v>
      </c>
      <c r="D2" s="1">
        <v>2</v>
      </c>
      <c r="E2" s="1">
        <v>5</v>
      </c>
      <c r="F2" s="1">
        <v>1.4</v>
      </c>
      <c r="G2" s="1">
        <v>472.5</v>
      </c>
    </row>
    <row r="3" spans="1:7" x14ac:dyDescent="0.25">
      <c r="A3" s="1" t="s">
        <v>70</v>
      </c>
      <c r="B3" s="1" t="s">
        <v>71</v>
      </c>
      <c r="C3" s="1">
        <v>11</v>
      </c>
      <c r="D3" s="1">
        <v>5</v>
      </c>
      <c r="E3" s="1">
        <v>20</v>
      </c>
      <c r="F3" s="1">
        <v>2.1</v>
      </c>
      <c r="G3" s="1">
        <v>411.8</v>
      </c>
    </row>
    <row r="4" spans="1:7" x14ac:dyDescent="0.25">
      <c r="A4" s="1" t="s">
        <v>72</v>
      </c>
      <c r="B4" s="1" t="s">
        <v>73</v>
      </c>
      <c r="C4" s="1">
        <v>11</v>
      </c>
      <c r="D4" s="1">
        <v>1</v>
      </c>
      <c r="E4" s="1">
        <v>5</v>
      </c>
      <c r="F4" s="1">
        <v>2.2999999999999998</v>
      </c>
      <c r="G4" s="1">
        <v>292.2</v>
      </c>
    </row>
    <row r="5" spans="1:7" x14ac:dyDescent="0.25">
      <c r="A5" s="1" t="s">
        <v>74</v>
      </c>
      <c r="B5" s="1" t="s">
        <v>75</v>
      </c>
      <c r="C5" s="1">
        <v>11</v>
      </c>
      <c r="D5" s="1">
        <v>5</v>
      </c>
      <c r="E5" s="1">
        <v>40</v>
      </c>
      <c r="F5" s="1">
        <v>2.4</v>
      </c>
      <c r="G5" s="1">
        <v>201.7</v>
      </c>
    </row>
    <row r="6" spans="1:7" x14ac:dyDescent="0.25">
      <c r="A6" s="1" t="s">
        <v>76</v>
      </c>
      <c r="B6" s="1" t="s">
        <v>77</v>
      </c>
      <c r="C6" s="1">
        <v>11</v>
      </c>
      <c r="D6" s="1">
        <v>5</v>
      </c>
      <c r="E6" s="1">
        <v>5</v>
      </c>
      <c r="F6" s="1">
        <v>2.9</v>
      </c>
      <c r="G6" s="1">
        <v>196.5</v>
      </c>
    </row>
    <row r="7" spans="1:7" x14ac:dyDescent="0.25">
      <c r="A7" s="1" t="s">
        <v>78</v>
      </c>
      <c r="B7" s="1" t="s">
        <v>79</v>
      </c>
      <c r="C7" s="1">
        <v>11</v>
      </c>
      <c r="D7" s="1">
        <v>2</v>
      </c>
      <c r="E7" s="1">
        <v>20</v>
      </c>
      <c r="F7" s="1">
        <v>3.9</v>
      </c>
      <c r="G7" s="1">
        <v>132.6</v>
      </c>
    </row>
    <row r="8" spans="1:7" x14ac:dyDescent="0.25">
      <c r="A8" s="1" t="s">
        <v>80</v>
      </c>
      <c r="B8" s="1" t="s">
        <v>81</v>
      </c>
      <c r="C8" s="1">
        <v>7</v>
      </c>
      <c r="D8" s="1">
        <v>5</v>
      </c>
      <c r="E8" s="1">
        <v>40</v>
      </c>
      <c r="F8" s="1">
        <v>2.1</v>
      </c>
      <c r="G8" s="1">
        <v>129.1</v>
      </c>
    </row>
    <row r="9" spans="1:7" x14ac:dyDescent="0.25">
      <c r="A9" s="1" t="s">
        <v>82</v>
      </c>
      <c r="B9" s="1" t="s">
        <v>83</v>
      </c>
      <c r="C9" s="1">
        <v>11</v>
      </c>
      <c r="D9" s="1">
        <v>4</v>
      </c>
      <c r="E9" s="1">
        <v>50</v>
      </c>
      <c r="F9" s="1">
        <v>3.7</v>
      </c>
      <c r="G9" s="1">
        <v>121.9</v>
      </c>
    </row>
    <row r="10" spans="1:7" x14ac:dyDescent="0.25">
      <c r="A10" s="1" t="s">
        <v>84</v>
      </c>
      <c r="B10" s="1" t="s">
        <v>85</v>
      </c>
      <c r="C10" s="1">
        <v>7</v>
      </c>
      <c r="D10" s="1">
        <v>1</v>
      </c>
      <c r="E10" s="1">
        <v>20</v>
      </c>
      <c r="F10" s="1">
        <v>11.3</v>
      </c>
      <c r="G10" s="1">
        <v>118.9</v>
      </c>
    </row>
    <row r="11" spans="1:7" x14ac:dyDescent="0.25">
      <c r="A11" s="1" t="s">
        <v>86</v>
      </c>
      <c r="B11" s="1" t="s">
        <v>87</v>
      </c>
      <c r="C11" s="1">
        <v>7</v>
      </c>
      <c r="D11" s="1">
        <v>5</v>
      </c>
      <c r="E11" s="1">
        <v>20</v>
      </c>
      <c r="F11" s="1">
        <v>13</v>
      </c>
      <c r="G11" s="1">
        <v>96.5</v>
      </c>
    </row>
    <row r="12" spans="1:7" x14ac:dyDescent="0.25">
      <c r="A12" s="1" t="s">
        <v>88</v>
      </c>
      <c r="B12" s="1" t="s">
        <v>89</v>
      </c>
      <c r="C12" s="1">
        <v>11</v>
      </c>
      <c r="D12" s="1">
        <v>5</v>
      </c>
      <c r="E12" s="1">
        <v>30</v>
      </c>
      <c r="F12" s="1">
        <v>3.4</v>
      </c>
      <c r="G12" s="1">
        <v>75.900000000000006</v>
      </c>
    </row>
    <row r="13" spans="1:7" x14ac:dyDescent="0.25">
      <c r="A13" s="1" t="s">
        <v>90</v>
      </c>
      <c r="B13" s="1" t="s">
        <v>91</v>
      </c>
      <c r="C13" s="1">
        <v>11</v>
      </c>
      <c r="D13" s="1">
        <v>5</v>
      </c>
      <c r="E13" s="1">
        <v>5</v>
      </c>
      <c r="F13" s="1">
        <v>8.8000000000000007</v>
      </c>
      <c r="G13" s="1">
        <v>58.8</v>
      </c>
    </row>
    <row r="14" spans="1:7" x14ac:dyDescent="0.25">
      <c r="A14" s="1" t="s">
        <v>92</v>
      </c>
      <c r="B14" s="1" t="s">
        <v>93</v>
      </c>
      <c r="C14" s="1">
        <v>7</v>
      </c>
      <c r="D14" s="1">
        <v>5</v>
      </c>
      <c r="E14" s="1">
        <v>30</v>
      </c>
      <c r="F14" s="1">
        <v>11</v>
      </c>
      <c r="G14" s="1">
        <v>56.4</v>
      </c>
    </row>
    <row r="15" spans="1:7" x14ac:dyDescent="0.25">
      <c r="A15" s="1" t="s">
        <v>94</v>
      </c>
      <c r="B15" s="1" t="s">
        <v>95</v>
      </c>
      <c r="C15" s="1">
        <v>7</v>
      </c>
      <c r="D15" s="1">
        <v>5</v>
      </c>
      <c r="E15" s="1">
        <v>20</v>
      </c>
      <c r="F15" s="1">
        <v>5.9</v>
      </c>
      <c r="G15" s="1">
        <v>54.4</v>
      </c>
    </row>
    <row r="16" spans="1:7" x14ac:dyDescent="0.25">
      <c r="A16" s="1" t="s">
        <v>96</v>
      </c>
      <c r="B16" s="1" t="s">
        <v>97</v>
      </c>
      <c r="C16" s="1">
        <v>7</v>
      </c>
      <c r="D16" s="1">
        <v>4</v>
      </c>
      <c r="E16" s="1">
        <v>20</v>
      </c>
      <c r="F16" s="1">
        <v>1.2</v>
      </c>
      <c r="G16" s="1">
        <v>51.3</v>
      </c>
    </row>
    <row r="17" spans="1:7" x14ac:dyDescent="0.25">
      <c r="A17" s="1" t="s">
        <v>98</v>
      </c>
      <c r="B17" s="1" t="s">
        <v>99</v>
      </c>
      <c r="C17" s="1">
        <v>11</v>
      </c>
      <c r="D17" s="1">
        <v>5</v>
      </c>
      <c r="E17" s="1">
        <v>5</v>
      </c>
      <c r="F17" s="1">
        <v>2.2999999999999998</v>
      </c>
      <c r="G17" s="1">
        <v>51</v>
      </c>
    </row>
    <row r="18" spans="1:7" x14ac:dyDescent="0.25">
      <c r="A18" s="1" t="s">
        <v>100</v>
      </c>
      <c r="B18" s="1" t="s">
        <v>101</v>
      </c>
      <c r="C18" s="1">
        <v>35</v>
      </c>
      <c r="D18" s="1">
        <v>0</v>
      </c>
      <c r="E18" s="1">
        <v>5</v>
      </c>
      <c r="F18" s="1">
        <v>2</v>
      </c>
      <c r="G18" s="1">
        <v>45.9</v>
      </c>
    </row>
    <row r="19" spans="1:7" x14ac:dyDescent="0.25">
      <c r="A19" s="1" t="s">
        <v>102</v>
      </c>
      <c r="B19" s="1" t="s">
        <v>103</v>
      </c>
      <c r="C19" s="1">
        <v>7</v>
      </c>
      <c r="D19" s="1">
        <v>3</v>
      </c>
      <c r="E19" s="1">
        <v>20</v>
      </c>
      <c r="F19" s="1">
        <v>5.0999999999999996</v>
      </c>
      <c r="G19" s="1">
        <v>45.6</v>
      </c>
    </row>
    <row r="20" spans="1:7" x14ac:dyDescent="0.25">
      <c r="A20" s="1" t="s">
        <v>104</v>
      </c>
      <c r="B20" s="1" t="s">
        <v>105</v>
      </c>
      <c r="C20" s="1">
        <v>11</v>
      </c>
      <c r="D20" s="1">
        <v>5</v>
      </c>
      <c r="E20" s="1">
        <v>30</v>
      </c>
      <c r="F20" s="1">
        <v>7.9</v>
      </c>
      <c r="G20" s="1">
        <v>40.5</v>
      </c>
    </row>
    <row r="21" spans="1:7" x14ac:dyDescent="0.25">
      <c r="A21" s="1" t="s">
        <v>106</v>
      </c>
      <c r="B21" s="1" t="s">
        <v>107</v>
      </c>
      <c r="C21" s="1">
        <v>7</v>
      </c>
      <c r="D21" s="1">
        <v>1</v>
      </c>
      <c r="E21" s="1">
        <v>15</v>
      </c>
      <c r="F21" s="1">
        <v>15.1</v>
      </c>
      <c r="G21" s="1">
        <v>38</v>
      </c>
    </row>
    <row r="22" spans="1:7" x14ac:dyDescent="0.25">
      <c r="A22" s="1" t="s">
        <v>108</v>
      </c>
      <c r="B22" s="1" t="s">
        <v>109</v>
      </c>
      <c r="C22" s="1">
        <v>11</v>
      </c>
      <c r="D22" s="1">
        <v>5</v>
      </c>
      <c r="E22" s="1">
        <v>20</v>
      </c>
      <c r="F22" s="1">
        <v>2.6</v>
      </c>
      <c r="G22" s="1">
        <v>34.5</v>
      </c>
    </row>
    <row r="23" spans="1:7" x14ac:dyDescent="0.25">
      <c r="A23" s="1" t="s">
        <v>110</v>
      </c>
      <c r="B23" s="1" t="s">
        <v>111</v>
      </c>
      <c r="C23" s="1">
        <v>11</v>
      </c>
      <c r="D23" s="1">
        <v>5</v>
      </c>
      <c r="E23" s="1">
        <v>5</v>
      </c>
      <c r="F23" s="1">
        <v>7</v>
      </c>
      <c r="G23" s="1">
        <v>32.6</v>
      </c>
    </row>
    <row r="24" spans="1:7" x14ac:dyDescent="0.25">
      <c r="A24" s="1" t="s">
        <v>112</v>
      </c>
      <c r="B24" s="1" t="s">
        <v>113</v>
      </c>
      <c r="C24" s="1">
        <v>11</v>
      </c>
      <c r="D24" s="1">
        <v>2</v>
      </c>
      <c r="E24" s="1">
        <v>5</v>
      </c>
      <c r="F24" s="1">
        <v>3.4</v>
      </c>
      <c r="G24" s="1">
        <v>32.299999999999997</v>
      </c>
    </row>
    <row r="25" spans="1:7" x14ac:dyDescent="0.25">
      <c r="A25" s="1" t="s">
        <v>114</v>
      </c>
      <c r="B25" s="1" t="s">
        <v>115</v>
      </c>
      <c r="C25" s="1">
        <v>11</v>
      </c>
      <c r="D25" s="1">
        <v>2</v>
      </c>
      <c r="E25" s="1">
        <v>20</v>
      </c>
      <c r="F25" s="1">
        <v>2.2999999999999998</v>
      </c>
      <c r="G25" s="1">
        <v>31.9</v>
      </c>
    </row>
    <row r="26" spans="1:7" x14ac:dyDescent="0.25">
      <c r="A26" s="1" t="s">
        <v>116</v>
      </c>
      <c r="B26" s="1" t="s">
        <v>117</v>
      </c>
      <c r="C26" s="1">
        <v>11</v>
      </c>
      <c r="D26" s="1">
        <v>1</v>
      </c>
      <c r="E26" s="1">
        <v>5</v>
      </c>
      <c r="F26" s="1">
        <v>1.7</v>
      </c>
      <c r="G26" s="1">
        <v>30.3</v>
      </c>
    </row>
    <row r="27" spans="1:7" x14ac:dyDescent="0.25">
      <c r="A27" s="1" t="s">
        <v>118</v>
      </c>
      <c r="B27" s="1" t="s">
        <v>119</v>
      </c>
      <c r="C27" s="1">
        <v>7</v>
      </c>
      <c r="D27" s="1">
        <v>4</v>
      </c>
      <c r="E27" s="1">
        <v>40</v>
      </c>
      <c r="F27" s="1">
        <v>4.9000000000000004</v>
      </c>
      <c r="G27" s="1">
        <v>28.5</v>
      </c>
    </row>
    <row r="28" spans="1:7" x14ac:dyDescent="0.25">
      <c r="A28" s="1" t="s">
        <v>120</v>
      </c>
      <c r="B28" s="1" t="s">
        <v>121</v>
      </c>
      <c r="C28" s="1">
        <v>11</v>
      </c>
      <c r="D28" s="1">
        <v>2</v>
      </c>
      <c r="E28" s="1">
        <v>5</v>
      </c>
      <c r="F28" s="1">
        <v>1.9</v>
      </c>
      <c r="G28" s="1">
        <v>27.9</v>
      </c>
    </row>
    <row r="29" spans="1:7" x14ac:dyDescent="0.25">
      <c r="A29" s="1" t="s">
        <v>122</v>
      </c>
      <c r="B29" s="1" t="s">
        <v>123</v>
      </c>
      <c r="C29" s="1">
        <v>11</v>
      </c>
      <c r="D29" s="1">
        <v>4</v>
      </c>
      <c r="E29" s="1">
        <v>1</v>
      </c>
      <c r="F29" s="1">
        <v>3.7</v>
      </c>
      <c r="G29" s="1">
        <v>26.7</v>
      </c>
    </row>
    <row r="30" spans="1:7" x14ac:dyDescent="0.25">
      <c r="A30" s="1" t="s">
        <v>124</v>
      </c>
      <c r="B30" s="1" t="s">
        <v>125</v>
      </c>
      <c r="C30" s="1">
        <v>7</v>
      </c>
      <c r="D30" s="1">
        <v>4</v>
      </c>
      <c r="E30" s="1">
        <v>20</v>
      </c>
      <c r="F30" s="1">
        <v>8.6</v>
      </c>
      <c r="G30" s="1">
        <v>26.4</v>
      </c>
    </row>
    <row r="31" spans="1:7" x14ac:dyDescent="0.25">
      <c r="A31" s="1" t="s">
        <v>126</v>
      </c>
      <c r="B31" s="1" t="s">
        <v>127</v>
      </c>
      <c r="C31" s="1">
        <v>7</v>
      </c>
      <c r="D31" s="1">
        <v>2</v>
      </c>
      <c r="E31" s="1">
        <v>5</v>
      </c>
      <c r="F31" s="1">
        <v>2.5</v>
      </c>
      <c r="G31" s="1">
        <v>25.8</v>
      </c>
    </row>
    <row r="32" spans="1:7" x14ac:dyDescent="0.25">
      <c r="A32" s="1" t="s">
        <v>128</v>
      </c>
      <c r="B32" s="1" t="s">
        <v>129</v>
      </c>
      <c r="C32" s="1">
        <v>11</v>
      </c>
      <c r="D32" s="1">
        <v>5</v>
      </c>
      <c r="E32" s="1">
        <v>20</v>
      </c>
      <c r="F32" s="1">
        <v>3.3</v>
      </c>
      <c r="G32" s="1">
        <v>25</v>
      </c>
    </row>
    <row r="33" spans="1:7" x14ac:dyDescent="0.25">
      <c r="A33" s="1" t="s">
        <v>130</v>
      </c>
      <c r="B33" s="1" t="s">
        <v>131</v>
      </c>
      <c r="C33" s="1">
        <v>11</v>
      </c>
      <c r="D33" s="1">
        <v>5</v>
      </c>
      <c r="E33" s="1">
        <v>20</v>
      </c>
      <c r="F33" s="1">
        <v>3.9</v>
      </c>
      <c r="G33" s="1">
        <v>25</v>
      </c>
    </row>
    <row r="34" spans="1:7" x14ac:dyDescent="0.25">
      <c r="A34" s="1" t="s">
        <v>132</v>
      </c>
      <c r="B34" s="1" t="s">
        <v>133</v>
      </c>
      <c r="C34" s="1">
        <v>11</v>
      </c>
      <c r="D34" s="1">
        <v>5</v>
      </c>
      <c r="E34" s="1">
        <v>5</v>
      </c>
      <c r="F34" s="1">
        <v>1.9</v>
      </c>
      <c r="G34" s="1">
        <v>23.7</v>
      </c>
    </row>
    <row r="35" spans="1:7" x14ac:dyDescent="0.25">
      <c r="A35" s="1" t="s">
        <v>134</v>
      </c>
      <c r="B35" s="1" t="s">
        <v>135</v>
      </c>
      <c r="C35" s="1">
        <v>11</v>
      </c>
      <c r="D35" s="1">
        <v>5</v>
      </c>
      <c r="E35" s="1">
        <v>5</v>
      </c>
      <c r="F35" s="1">
        <v>8.9</v>
      </c>
      <c r="G35" s="1">
        <v>23</v>
      </c>
    </row>
    <row r="36" spans="1:7" x14ac:dyDescent="0.25">
      <c r="A36" s="1" t="s">
        <v>136</v>
      </c>
      <c r="B36" s="1" t="s">
        <v>137</v>
      </c>
      <c r="C36" s="1">
        <v>11</v>
      </c>
      <c r="D36" s="1">
        <v>2</v>
      </c>
      <c r="E36" s="1">
        <v>50</v>
      </c>
      <c r="F36" s="1">
        <v>1.7</v>
      </c>
      <c r="G36" s="1">
        <v>22.4</v>
      </c>
    </row>
    <row r="37" spans="1:7" x14ac:dyDescent="0.25">
      <c r="A37" s="1" t="s">
        <v>138</v>
      </c>
      <c r="B37" s="1" t="s">
        <v>139</v>
      </c>
      <c r="C37" s="1">
        <v>11</v>
      </c>
      <c r="D37" s="1">
        <v>5</v>
      </c>
      <c r="E37" s="1">
        <v>20</v>
      </c>
      <c r="F37" s="1">
        <v>5</v>
      </c>
      <c r="G37" s="1">
        <v>20.8</v>
      </c>
    </row>
    <row r="38" spans="1:7" x14ac:dyDescent="0.25">
      <c r="A38" s="1" t="s">
        <v>140</v>
      </c>
      <c r="B38" s="1" t="s">
        <v>141</v>
      </c>
      <c r="C38" s="1">
        <v>35</v>
      </c>
      <c r="D38" s="1">
        <v>0</v>
      </c>
      <c r="E38" s="1">
        <v>5</v>
      </c>
      <c r="F38" s="1">
        <v>5.0999999999999996</v>
      </c>
      <c r="G38" s="1">
        <v>20.5</v>
      </c>
    </row>
    <row r="39" spans="1:7" x14ac:dyDescent="0.25">
      <c r="A39" s="1" t="s">
        <v>142</v>
      </c>
      <c r="B39" s="1" t="s">
        <v>143</v>
      </c>
      <c r="C39" s="1">
        <v>35</v>
      </c>
      <c r="D39" s="1">
        <v>0</v>
      </c>
      <c r="E39" s="1">
        <v>5</v>
      </c>
      <c r="F39" s="1">
        <v>3.7</v>
      </c>
      <c r="G39" s="1">
        <v>18.7</v>
      </c>
    </row>
    <row r="40" spans="1:7" x14ac:dyDescent="0.25">
      <c r="A40" s="1" t="s">
        <v>144</v>
      </c>
      <c r="B40" s="1" t="s">
        <v>145</v>
      </c>
      <c r="C40" s="1">
        <v>7</v>
      </c>
      <c r="D40" s="1">
        <v>5</v>
      </c>
      <c r="E40" s="1">
        <v>30</v>
      </c>
      <c r="F40" s="1">
        <v>15.7</v>
      </c>
      <c r="G40" s="1">
        <v>17.5</v>
      </c>
    </row>
    <row r="41" spans="1:7" x14ac:dyDescent="0.25">
      <c r="A41" s="1" t="s">
        <v>146</v>
      </c>
      <c r="B41" s="1" t="s">
        <v>147</v>
      </c>
      <c r="C41" s="1">
        <v>7</v>
      </c>
      <c r="D41" s="1">
        <v>2</v>
      </c>
      <c r="E41" s="1">
        <v>5</v>
      </c>
      <c r="F41" s="1">
        <v>1.1000000000000001</v>
      </c>
      <c r="G41" s="1">
        <v>17.100000000000001</v>
      </c>
    </row>
    <row r="42" spans="1:7" x14ac:dyDescent="0.25">
      <c r="A42" s="1" t="s">
        <v>148</v>
      </c>
      <c r="B42" s="1" t="s">
        <v>149</v>
      </c>
      <c r="C42" s="1">
        <v>7</v>
      </c>
      <c r="D42" s="1">
        <v>4</v>
      </c>
      <c r="E42" s="1">
        <v>5</v>
      </c>
      <c r="F42" s="1">
        <v>7.4</v>
      </c>
      <c r="G42" s="1">
        <v>16.2</v>
      </c>
    </row>
    <row r="43" spans="1:7" x14ac:dyDescent="0.25">
      <c r="A43" s="1" t="s">
        <v>150</v>
      </c>
      <c r="B43" s="1" t="s">
        <v>151</v>
      </c>
      <c r="C43" s="1">
        <v>11</v>
      </c>
      <c r="D43" s="1">
        <v>5</v>
      </c>
      <c r="E43" s="1">
        <v>30</v>
      </c>
      <c r="F43" s="1">
        <v>3.1</v>
      </c>
      <c r="G43" s="1">
        <v>15.7</v>
      </c>
    </row>
    <row r="44" spans="1:7" x14ac:dyDescent="0.25">
      <c r="A44" s="1" t="s">
        <v>152</v>
      </c>
      <c r="B44" s="1" t="s">
        <v>153</v>
      </c>
      <c r="C44" s="1">
        <v>11</v>
      </c>
      <c r="D44" s="1">
        <v>5</v>
      </c>
      <c r="E44" s="1">
        <v>5</v>
      </c>
      <c r="F44" s="1">
        <v>3.4</v>
      </c>
      <c r="G44" s="1">
        <v>15.1</v>
      </c>
    </row>
    <row r="45" spans="1:7" x14ac:dyDescent="0.25">
      <c r="A45" s="1" t="s">
        <v>154</v>
      </c>
      <c r="B45" s="1" t="s">
        <v>155</v>
      </c>
      <c r="C45" s="1">
        <v>11</v>
      </c>
      <c r="D45" s="1">
        <v>5</v>
      </c>
      <c r="E45" s="1">
        <v>20</v>
      </c>
      <c r="F45" s="1">
        <v>7.7</v>
      </c>
      <c r="G45" s="1">
        <v>14.8</v>
      </c>
    </row>
    <row r="46" spans="1:7" x14ac:dyDescent="0.25">
      <c r="A46" s="1" t="s">
        <v>156</v>
      </c>
      <c r="B46" s="1" t="s">
        <v>157</v>
      </c>
      <c r="C46" s="1">
        <v>7</v>
      </c>
      <c r="D46" s="1">
        <v>5</v>
      </c>
      <c r="E46" s="1">
        <v>20</v>
      </c>
      <c r="F46" s="1">
        <v>11.7</v>
      </c>
      <c r="G46" s="1">
        <v>14.4</v>
      </c>
    </row>
    <row r="47" spans="1:7" x14ac:dyDescent="0.25">
      <c r="A47" s="1" t="s">
        <v>158</v>
      </c>
      <c r="B47" s="1" t="s">
        <v>159</v>
      </c>
      <c r="C47" s="1">
        <v>11</v>
      </c>
      <c r="D47" s="1">
        <v>4</v>
      </c>
      <c r="E47" s="1">
        <v>40</v>
      </c>
      <c r="F47" s="1">
        <v>18.100000000000001</v>
      </c>
      <c r="G47" s="1">
        <v>13</v>
      </c>
    </row>
    <row r="48" spans="1:7" x14ac:dyDescent="0.25">
      <c r="A48" s="1" t="s">
        <v>160</v>
      </c>
      <c r="B48" s="1" t="s">
        <v>161</v>
      </c>
      <c r="C48" s="1">
        <v>35</v>
      </c>
      <c r="D48" s="1">
        <v>0</v>
      </c>
      <c r="E48" s="1">
        <v>20</v>
      </c>
      <c r="F48" s="1">
        <v>6</v>
      </c>
      <c r="G48" s="1">
        <v>12.8</v>
      </c>
    </row>
    <row r="49" spans="1:7" x14ac:dyDescent="0.25">
      <c r="A49" s="1" t="s">
        <v>162</v>
      </c>
      <c r="B49" s="1" t="s">
        <v>163</v>
      </c>
      <c r="C49" s="1">
        <v>7</v>
      </c>
      <c r="D49" s="1">
        <v>3</v>
      </c>
      <c r="E49" s="1">
        <v>20</v>
      </c>
      <c r="F49" s="1">
        <v>10.6</v>
      </c>
      <c r="G49" s="1">
        <v>11.3</v>
      </c>
    </row>
    <row r="50" spans="1:7" x14ac:dyDescent="0.25">
      <c r="A50" s="1" t="s">
        <v>164</v>
      </c>
      <c r="B50" s="1" t="s">
        <v>165</v>
      </c>
      <c r="C50" s="1">
        <v>7</v>
      </c>
      <c r="D50" s="1">
        <v>4</v>
      </c>
      <c r="E50" s="1">
        <v>40</v>
      </c>
      <c r="F50" s="1">
        <v>4.2</v>
      </c>
      <c r="G50" s="1">
        <v>10.7</v>
      </c>
    </row>
    <row r="51" spans="1:7" x14ac:dyDescent="0.25">
      <c r="A51" s="1" t="s">
        <v>166</v>
      </c>
      <c r="B51" s="1" t="s">
        <v>167</v>
      </c>
      <c r="C51" s="1">
        <v>11</v>
      </c>
      <c r="D51" s="1">
        <v>2</v>
      </c>
      <c r="E51" s="1">
        <v>15</v>
      </c>
      <c r="F51" s="1">
        <v>1.2</v>
      </c>
      <c r="G51" s="1">
        <v>7</v>
      </c>
    </row>
    <row r="52" spans="1:7" x14ac:dyDescent="0.25">
      <c r="A52" s="1" t="s">
        <v>168</v>
      </c>
      <c r="B52" s="1" t="s">
        <v>169</v>
      </c>
      <c r="C52" s="1">
        <v>35</v>
      </c>
      <c r="D52" s="1">
        <v>0</v>
      </c>
      <c r="E52" s="1">
        <v>5</v>
      </c>
      <c r="F52" s="1">
        <v>3.6</v>
      </c>
      <c r="G52" s="1">
        <v>6.5</v>
      </c>
    </row>
    <row r="53" spans="1:7" x14ac:dyDescent="0.25">
      <c r="A53" s="1" t="s">
        <v>170</v>
      </c>
      <c r="B53" s="1" t="s">
        <v>171</v>
      </c>
      <c r="C53" s="1">
        <v>11</v>
      </c>
      <c r="D53" s="1">
        <v>2</v>
      </c>
      <c r="E53" s="1">
        <v>20</v>
      </c>
      <c r="F53" s="1">
        <v>6.9</v>
      </c>
      <c r="G53" s="1">
        <v>5.6</v>
      </c>
    </row>
    <row r="54" spans="1:7" x14ac:dyDescent="0.25">
      <c r="A54" s="1" t="s">
        <v>172</v>
      </c>
      <c r="B54" s="1" t="s">
        <v>173</v>
      </c>
      <c r="C54" s="1">
        <v>11</v>
      </c>
      <c r="D54" s="1">
        <v>5</v>
      </c>
      <c r="E54" s="1">
        <v>20</v>
      </c>
      <c r="F54" s="1">
        <v>6.9</v>
      </c>
      <c r="G54" s="1">
        <v>5.3</v>
      </c>
    </row>
    <row r="55" spans="1:7" x14ac:dyDescent="0.25">
      <c r="A55" s="1" t="s">
        <v>174</v>
      </c>
      <c r="B55" s="1" t="s">
        <v>175</v>
      </c>
      <c r="C55" s="1">
        <v>35</v>
      </c>
      <c r="D55" s="1">
        <v>0</v>
      </c>
      <c r="E55" s="1">
        <v>40</v>
      </c>
      <c r="F55" s="1">
        <v>2.6</v>
      </c>
      <c r="G55" s="1">
        <v>4.5999999999999996</v>
      </c>
    </row>
    <row r="56" spans="1:7" x14ac:dyDescent="0.25">
      <c r="A56" s="1" t="s">
        <v>176</v>
      </c>
      <c r="B56" s="1" t="s">
        <v>177</v>
      </c>
      <c r="C56" s="1">
        <v>11</v>
      </c>
      <c r="D56" s="1">
        <v>5</v>
      </c>
      <c r="E56" s="1">
        <v>5</v>
      </c>
      <c r="F56" s="1">
        <v>7.6</v>
      </c>
      <c r="G56" s="1">
        <v>1.1000000000000001</v>
      </c>
    </row>
    <row r="57" spans="1:7" x14ac:dyDescent="0.25">
      <c r="A57" s="1" t="s">
        <v>178</v>
      </c>
      <c r="B57" s="1" t="s">
        <v>179</v>
      </c>
      <c r="C57" s="1">
        <v>11</v>
      </c>
      <c r="D57" s="1">
        <v>5</v>
      </c>
      <c r="E57" s="1">
        <v>20</v>
      </c>
      <c r="G57" s="1">
        <v>1</v>
      </c>
    </row>
    <row r="58" spans="1:7" x14ac:dyDescent="0.25">
      <c r="A58" s="1" t="s">
        <v>180</v>
      </c>
      <c r="B58" s="1" t="s">
        <v>181</v>
      </c>
      <c r="C58" s="1">
        <v>7</v>
      </c>
      <c r="D58" s="1">
        <v>4</v>
      </c>
      <c r="E58" s="1">
        <v>40</v>
      </c>
      <c r="F58" s="1">
        <v>1.3</v>
      </c>
      <c r="G58" s="1">
        <v>0.9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L265"/>
  <sheetViews>
    <sheetView tabSelected="1" workbookViewId="0">
      <pane xSplit="2" ySplit="1" topLeftCell="F2" activePane="bottomRight" state="frozen"/>
      <selection pane="topRight" activeCell="B1" sqref="B1"/>
      <selection pane="bottomLeft" activeCell="A3" sqref="A3"/>
      <selection pane="bottomRight" activeCell="B7" sqref="B7"/>
    </sheetView>
  </sheetViews>
  <sheetFormatPr defaultColWidth="9.109375" defaultRowHeight="15.6" x14ac:dyDescent="0.3"/>
  <cols>
    <col min="1" max="1" width="8.6640625" style="1" customWidth="1"/>
    <col min="2" max="2" width="39.33203125" style="1" bestFit="1" customWidth="1"/>
    <col min="3" max="3" width="9.5546875" style="1" bestFit="1" customWidth="1"/>
    <col min="4" max="4" width="39.33203125" style="1" bestFit="1" customWidth="1"/>
    <col min="5" max="5" width="22.88671875" style="1" bestFit="1" customWidth="1"/>
    <col min="6" max="6" width="27.5546875" style="1" bestFit="1" customWidth="1"/>
    <col min="7" max="7" width="19.5546875" style="1" bestFit="1" customWidth="1"/>
    <col min="8" max="8" width="10" style="1" customWidth="1"/>
    <col min="9" max="9" width="14.6640625" style="1" bestFit="1" customWidth="1"/>
    <col min="10" max="10" width="14" style="1" bestFit="1" customWidth="1"/>
    <col min="11" max="11" width="14.44140625" style="1" bestFit="1" customWidth="1"/>
    <col min="12" max="13" width="10.44140625" style="1" bestFit="1" customWidth="1"/>
    <col min="14" max="26" width="9.109375" style="1"/>
    <col min="27" max="27" width="15.88671875" style="1" bestFit="1" customWidth="1"/>
    <col min="28" max="28" width="19.33203125" style="1" bestFit="1" customWidth="1"/>
    <col min="29" max="30" width="9.109375" style="1"/>
    <col min="31" max="31" width="9.5546875" style="1" bestFit="1" customWidth="1"/>
    <col min="32" max="37" width="9.109375" style="1"/>
    <col min="38" max="38" width="8.88671875" customWidth="1"/>
    <col min="39" max="16384" width="9.109375" style="1"/>
  </cols>
  <sheetData>
    <row r="1" spans="1:37" ht="72.599999999999994" thickBot="1" x14ac:dyDescent="0.35">
      <c r="A1" s="92" t="s">
        <v>3063</v>
      </c>
      <c r="B1" s="38" t="s">
        <v>826</v>
      </c>
      <c r="C1" s="57" t="s">
        <v>0</v>
      </c>
      <c r="D1" s="57" t="s">
        <v>1</v>
      </c>
      <c r="E1" s="57" t="s">
        <v>827</v>
      </c>
      <c r="F1" s="57" t="s">
        <v>216</v>
      </c>
      <c r="G1" s="57" t="s">
        <v>214</v>
      </c>
      <c r="H1" s="57" t="s">
        <v>217</v>
      </c>
      <c r="I1" s="57" t="s">
        <v>62</v>
      </c>
      <c r="J1" s="57" t="s">
        <v>547</v>
      </c>
      <c r="K1" s="57" t="s">
        <v>218</v>
      </c>
      <c r="L1" s="57" t="s">
        <v>219</v>
      </c>
      <c r="M1" s="57" t="s">
        <v>220</v>
      </c>
      <c r="N1" s="57" t="s">
        <v>215</v>
      </c>
      <c r="O1" s="57" t="s">
        <v>548</v>
      </c>
      <c r="P1" s="57" t="s">
        <v>828</v>
      </c>
      <c r="Q1" s="57" t="s">
        <v>549</v>
      </c>
      <c r="R1" s="57" t="s">
        <v>550</v>
      </c>
      <c r="S1" s="57" t="s">
        <v>551</v>
      </c>
      <c r="T1" s="57" t="s">
        <v>552</v>
      </c>
      <c r="U1" s="57" t="s">
        <v>553</v>
      </c>
      <c r="V1" s="57" t="s">
        <v>554</v>
      </c>
      <c r="W1" s="57" t="s">
        <v>555</v>
      </c>
      <c r="X1" s="57" t="s">
        <v>556</v>
      </c>
      <c r="Y1" s="57" t="s">
        <v>557</v>
      </c>
      <c r="Z1" s="57" t="s">
        <v>558</v>
      </c>
      <c r="AA1" s="57" t="s">
        <v>559</v>
      </c>
      <c r="AB1" s="57" t="s">
        <v>762</v>
      </c>
      <c r="AC1" s="57" t="s">
        <v>763</v>
      </c>
      <c r="AD1" s="57" t="s">
        <v>829</v>
      </c>
      <c r="AE1" s="57" t="s">
        <v>52</v>
      </c>
      <c r="AF1" s="57" t="s">
        <v>54</v>
      </c>
      <c r="AG1" s="57" t="s">
        <v>830</v>
      </c>
      <c r="AH1" s="1" t="s">
        <v>2811</v>
      </c>
      <c r="AI1" s="1" t="s">
        <v>2812</v>
      </c>
      <c r="AJ1" s="1" t="s">
        <v>2813</v>
      </c>
      <c r="AK1" s="1" t="s">
        <v>2814</v>
      </c>
    </row>
    <row r="2" spans="1:37" x14ac:dyDescent="0.3">
      <c r="A2" s="94">
        <f t="shared" ref="A2:A65" si="0">VLOOKUP(B2,AuditNum,2,FALSE)</f>
        <v>1</v>
      </c>
      <c r="B2" s="39" t="str">
        <f t="shared" ref="B2:B65" si="1">D2</f>
        <v>SPS PEBBLE BEACH BVD MEADOW SPRINGS</v>
      </c>
      <c r="C2" s="4" t="s">
        <v>140</v>
      </c>
      <c r="D2" s="4" t="s">
        <v>141</v>
      </c>
      <c r="E2" s="4" t="s">
        <v>858</v>
      </c>
      <c r="F2" s="4" t="s">
        <v>423</v>
      </c>
      <c r="G2" s="4" t="s">
        <v>424</v>
      </c>
      <c r="H2" s="4" t="s">
        <v>326</v>
      </c>
      <c r="I2" s="4" t="s">
        <v>896</v>
      </c>
      <c r="J2" s="4" t="s">
        <v>560</v>
      </c>
      <c r="K2" s="4" t="s">
        <v>695</v>
      </c>
      <c r="L2" s="4" t="s">
        <v>425</v>
      </c>
      <c r="M2" s="4" t="s">
        <v>426</v>
      </c>
      <c r="N2" s="4" t="s">
        <v>232</v>
      </c>
      <c r="O2" s="4">
        <v>2002</v>
      </c>
      <c r="P2" s="4" t="s">
        <v>897</v>
      </c>
      <c r="Q2" s="4" t="s">
        <v>631</v>
      </c>
      <c r="R2" s="4" t="s">
        <v>696</v>
      </c>
      <c r="S2" s="4" t="s">
        <v>571</v>
      </c>
      <c r="T2" s="4" t="s">
        <v>697</v>
      </c>
      <c r="U2" s="4">
        <v>200</v>
      </c>
      <c r="V2" s="4" t="s">
        <v>222</v>
      </c>
      <c r="W2" s="4">
        <v>415</v>
      </c>
      <c r="X2" s="4" t="s">
        <v>222</v>
      </c>
      <c r="Y2" s="4" t="s">
        <v>222</v>
      </c>
      <c r="Z2" s="4" t="s">
        <v>222</v>
      </c>
      <c r="AA2" s="4" t="s">
        <v>222</v>
      </c>
      <c r="AB2" s="4" t="s">
        <v>222</v>
      </c>
      <c r="AC2" s="4" t="s">
        <v>800</v>
      </c>
      <c r="AD2" s="4"/>
      <c r="AE2" s="4" t="s">
        <v>183</v>
      </c>
      <c r="AF2" s="4" t="s">
        <v>836</v>
      </c>
      <c r="AG2" s="4"/>
      <c r="AH2" s="1" t="s">
        <v>184</v>
      </c>
      <c r="AI2" s="1" t="s">
        <v>2815</v>
      </c>
      <c r="AJ2" s="1" t="s">
        <v>183</v>
      </c>
      <c r="AK2" s="1" t="s">
        <v>184</v>
      </c>
    </row>
    <row r="3" spans="1:37" x14ac:dyDescent="0.3">
      <c r="A3" s="94">
        <f t="shared" si="0"/>
        <v>2</v>
      </c>
      <c r="B3" s="39" t="str">
        <f t="shared" si="1"/>
        <v>SPS QUEEN PDE WANNANUP</v>
      </c>
      <c r="C3" s="4" t="s">
        <v>160</v>
      </c>
      <c r="D3" s="4" t="s">
        <v>161</v>
      </c>
      <c r="E3" s="4" t="s">
        <v>858</v>
      </c>
      <c r="F3" s="4" t="s">
        <v>470</v>
      </c>
      <c r="G3" s="4" t="s">
        <v>471</v>
      </c>
      <c r="H3" s="4" t="s">
        <v>326</v>
      </c>
      <c r="I3" s="4" t="s">
        <v>911</v>
      </c>
      <c r="J3" s="4" t="s">
        <v>560</v>
      </c>
      <c r="K3" s="4" t="s">
        <v>710</v>
      </c>
      <c r="L3" s="4" t="s">
        <v>472</v>
      </c>
      <c r="M3" s="4" t="s">
        <v>473</v>
      </c>
      <c r="N3" s="4" t="s">
        <v>474</v>
      </c>
      <c r="O3" s="4">
        <v>1997</v>
      </c>
      <c r="P3" s="4" t="s">
        <v>912</v>
      </c>
      <c r="Q3" s="4" t="s">
        <v>631</v>
      </c>
      <c r="R3" s="4" t="s">
        <v>728</v>
      </c>
      <c r="S3" s="4" t="s">
        <v>571</v>
      </c>
      <c r="T3" s="4" t="s">
        <v>729</v>
      </c>
      <c r="U3" s="4">
        <v>200</v>
      </c>
      <c r="V3" s="4" t="s">
        <v>222</v>
      </c>
      <c r="W3" s="4">
        <v>415</v>
      </c>
      <c r="X3" s="4" t="s">
        <v>222</v>
      </c>
      <c r="Y3" s="4" t="s">
        <v>222</v>
      </c>
      <c r="Z3" s="4" t="s">
        <v>222</v>
      </c>
      <c r="AA3" s="4" t="s">
        <v>222</v>
      </c>
      <c r="AB3" s="4" t="s">
        <v>222</v>
      </c>
      <c r="AC3" s="4" t="s">
        <v>810</v>
      </c>
      <c r="AD3" s="4"/>
      <c r="AE3" s="4" t="s">
        <v>183</v>
      </c>
      <c r="AF3" s="4" t="s">
        <v>844</v>
      </c>
      <c r="AG3" s="4"/>
      <c r="AH3" s="1" t="s">
        <v>184</v>
      </c>
      <c r="AI3" s="1" t="s">
        <v>2815</v>
      </c>
      <c r="AJ3" s="1" t="s">
        <v>183</v>
      </c>
      <c r="AK3" s="1" t="s">
        <v>184</v>
      </c>
    </row>
    <row r="4" spans="1:37" x14ac:dyDescent="0.3">
      <c r="A4" s="94">
        <f t="shared" si="0"/>
        <v>3</v>
      </c>
      <c r="B4" s="39" t="str">
        <f t="shared" si="1"/>
        <v>SPS WANJEEP ST NTH COODANUP</v>
      </c>
      <c r="C4" s="4" t="s">
        <v>1215</v>
      </c>
      <c r="D4" s="4" t="s">
        <v>1216</v>
      </c>
      <c r="E4" s="4" t="s">
        <v>1106</v>
      </c>
      <c r="F4" s="4" t="s">
        <v>1217</v>
      </c>
      <c r="G4" s="4" t="s">
        <v>1218</v>
      </c>
      <c r="H4" s="4" t="s">
        <v>326</v>
      </c>
      <c r="I4" s="4" t="s">
        <v>2782</v>
      </c>
      <c r="J4" s="4"/>
      <c r="K4" s="4"/>
      <c r="L4" s="4" t="s">
        <v>1219</v>
      </c>
      <c r="M4" s="4" t="s">
        <v>1220</v>
      </c>
      <c r="N4" s="4" t="s">
        <v>1059</v>
      </c>
      <c r="O4" s="4">
        <v>1985</v>
      </c>
      <c r="P4" s="4" t="s">
        <v>222</v>
      </c>
      <c r="Q4" s="4" t="s">
        <v>631</v>
      </c>
      <c r="R4" s="4" t="s">
        <v>1221</v>
      </c>
      <c r="S4" s="4" t="s">
        <v>571</v>
      </c>
      <c r="T4" s="4" t="s">
        <v>1222</v>
      </c>
      <c r="U4" s="4" t="s">
        <v>566</v>
      </c>
      <c r="V4" s="4" t="s">
        <v>222</v>
      </c>
      <c r="W4" s="4" t="s">
        <v>222</v>
      </c>
      <c r="X4" s="4">
        <v>415</v>
      </c>
      <c r="Y4" s="4" t="s">
        <v>222</v>
      </c>
      <c r="Z4" s="4" t="s">
        <v>222</v>
      </c>
      <c r="AA4" s="4" t="s">
        <v>222</v>
      </c>
      <c r="AB4" s="4" t="s">
        <v>222</v>
      </c>
      <c r="AC4" s="4" t="s">
        <v>1223</v>
      </c>
      <c r="AD4" s="4" t="s">
        <v>1224</v>
      </c>
      <c r="AE4" s="4" t="s">
        <v>183</v>
      </c>
      <c r="AF4" s="4" t="s">
        <v>839</v>
      </c>
      <c r="AG4" s="4"/>
      <c r="AH4" s="1" t="s">
        <v>184</v>
      </c>
      <c r="AI4" s="1" t="s">
        <v>2816</v>
      </c>
      <c r="AJ4" s="1" t="s">
        <v>183</v>
      </c>
      <c r="AK4" s="1" t="s">
        <v>183</v>
      </c>
    </row>
    <row r="5" spans="1:37" x14ac:dyDescent="0.3">
      <c r="A5" s="94">
        <f t="shared" si="0"/>
        <v>4</v>
      </c>
      <c r="B5" s="39" t="str">
        <f t="shared" si="1"/>
        <v>SPS MANDURAH TCE MANDURAH</v>
      </c>
      <c r="C5" s="4" t="s">
        <v>142</v>
      </c>
      <c r="D5" s="4" t="s">
        <v>143</v>
      </c>
      <c r="E5" s="4" t="s">
        <v>831</v>
      </c>
      <c r="F5" s="4" t="s">
        <v>427</v>
      </c>
      <c r="G5" s="4" t="s">
        <v>428</v>
      </c>
      <c r="H5" s="4" t="s">
        <v>326</v>
      </c>
      <c r="I5" s="4" t="s">
        <v>898</v>
      </c>
      <c r="J5" s="4" t="s">
        <v>560</v>
      </c>
      <c r="K5" s="4" t="s">
        <v>698</v>
      </c>
      <c r="L5" s="4" t="s">
        <v>429</v>
      </c>
      <c r="M5" s="4" t="s">
        <v>430</v>
      </c>
      <c r="N5" s="4" t="s">
        <v>273</v>
      </c>
      <c r="O5" s="4">
        <v>1973</v>
      </c>
      <c r="P5" s="4" t="s">
        <v>899</v>
      </c>
      <c r="Q5" s="4" t="s">
        <v>699</v>
      </c>
      <c r="R5" s="4" t="s">
        <v>700</v>
      </c>
      <c r="S5" s="4" t="s">
        <v>701</v>
      </c>
      <c r="T5" s="4" t="s">
        <v>702</v>
      </c>
      <c r="U5" s="4">
        <v>315</v>
      </c>
      <c r="V5" s="4" t="s">
        <v>222</v>
      </c>
      <c r="W5" s="4">
        <v>415</v>
      </c>
      <c r="X5" s="4">
        <v>415</v>
      </c>
      <c r="Y5" s="4" t="s">
        <v>222</v>
      </c>
      <c r="Z5" s="4" t="s">
        <v>222</v>
      </c>
      <c r="AA5" s="4" t="s">
        <v>222</v>
      </c>
      <c r="AB5" s="4" t="s">
        <v>222</v>
      </c>
      <c r="AC5" s="4" t="s">
        <v>801</v>
      </c>
      <c r="AD5" s="4"/>
      <c r="AE5" s="4" t="s">
        <v>183</v>
      </c>
      <c r="AF5" s="4" t="s">
        <v>839</v>
      </c>
      <c r="AG5" s="4"/>
      <c r="AH5" s="1" t="s">
        <v>184</v>
      </c>
      <c r="AI5" s="1" t="s">
        <v>2816</v>
      </c>
      <c r="AJ5" s="1" t="s">
        <v>183</v>
      </c>
      <c r="AK5" s="1" t="s">
        <v>184</v>
      </c>
    </row>
    <row r="6" spans="1:37" x14ac:dyDescent="0.3">
      <c r="A6" s="94">
        <f t="shared" si="0"/>
        <v>5</v>
      </c>
      <c r="B6" s="39" t="str">
        <f t="shared" si="1"/>
        <v>SPS MURDOCH DR GREENFIELDS</v>
      </c>
      <c r="C6" s="4" t="s">
        <v>100</v>
      </c>
      <c r="D6" s="4" t="s">
        <v>101</v>
      </c>
      <c r="E6" s="4" t="s">
        <v>831</v>
      </c>
      <c r="F6" s="4" t="s">
        <v>324</v>
      </c>
      <c r="G6" s="4" t="s">
        <v>325</v>
      </c>
      <c r="H6" s="4" t="s">
        <v>326</v>
      </c>
      <c r="I6" s="4" t="s">
        <v>869</v>
      </c>
      <c r="J6" s="4" t="s">
        <v>560</v>
      </c>
      <c r="K6" s="4" t="s">
        <v>630</v>
      </c>
      <c r="L6" s="4" t="s">
        <v>327</v>
      </c>
      <c r="M6" s="4" t="s">
        <v>328</v>
      </c>
      <c r="N6" s="4" t="s">
        <v>238</v>
      </c>
      <c r="O6" s="4">
        <v>1997</v>
      </c>
      <c r="P6" s="4" t="s">
        <v>870</v>
      </c>
      <c r="Q6" s="4" t="s">
        <v>631</v>
      </c>
      <c r="R6" s="4" t="s">
        <v>632</v>
      </c>
      <c r="S6" s="4" t="s">
        <v>571</v>
      </c>
      <c r="T6" s="4" t="s">
        <v>633</v>
      </c>
      <c r="U6" s="4">
        <v>100</v>
      </c>
      <c r="V6" s="4" t="s">
        <v>222</v>
      </c>
      <c r="W6" s="4">
        <v>415</v>
      </c>
      <c r="X6" s="4" t="s">
        <v>222</v>
      </c>
      <c r="Y6" s="4" t="s">
        <v>222</v>
      </c>
      <c r="Z6" s="4" t="s">
        <v>222</v>
      </c>
      <c r="AA6" s="4" t="s">
        <v>222</v>
      </c>
      <c r="AB6" s="4" t="s">
        <v>222</v>
      </c>
      <c r="AC6" s="4" t="s">
        <v>780</v>
      </c>
      <c r="AD6" s="4"/>
      <c r="AE6" s="4" t="s">
        <v>183</v>
      </c>
      <c r="AF6" s="4" t="s">
        <v>839</v>
      </c>
      <c r="AG6" s="4"/>
      <c r="AH6" s="1" t="s">
        <v>184</v>
      </c>
      <c r="AI6" s="1" t="s">
        <v>2816</v>
      </c>
      <c r="AJ6" s="1" t="s">
        <v>183</v>
      </c>
      <c r="AK6" s="1" t="s">
        <v>183</v>
      </c>
    </row>
    <row r="7" spans="1:37" x14ac:dyDescent="0.3">
      <c r="A7" s="94">
        <f t="shared" si="0"/>
        <v>6</v>
      </c>
      <c r="B7" s="39" t="str">
        <f t="shared" si="1"/>
        <v>SPS CULEENUP RD NORTH YUNDERUP</v>
      </c>
      <c r="C7" s="4" t="s">
        <v>174</v>
      </c>
      <c r="D7" s="4" t="s">
        <v>175</v>
      </c>
      <c r="E7" s="4" t="s">
        <v>858</v>
      </c>
      <c r="F7" s="4" t="s">
        <v>501</v>
      </c>
      <c r="G7" s="4" t="s">
        <v>502</v>
      </c>
      <c r="H7" s="4" t="s">
        <v>490</v>
      </c>
      <c r="I7" s="4" t="s">
        <v>922</v>
      </c>
      <c r="J7" s="4" t="s">
        <v>560</v>
      </c>
      <c r="K7" s="4" t="s">
        <v>747</v>
      </c>
      <c r="L7" s="4" t="s">
        <v>503</v>
      </c>
      <c r="M7" s="4" t="s">
        <v>504</v>
      </c>
      <c r="N7" s="4" t="s">
        <v>250</v>
      </c>
      <c r="O7" s="4">
        <v>1987</v>
      </c>
      <c r="P7" s="4" t="s">
        <v>923</v>
      </c>
      <c r="Q7" s="4" t="s">
        <v>631</v>
      </c>
      <c r="R7" s="4" t="s">
        <v>748</v>
      </c>
      <c r="S7" s="4" t="s">
        <v>571</v>
      </c>
      <c r="T7" s="4" t="s">
        <v>749</v>
      </c>
      <c r="U7" s="4">
        <v>200</v>
      </c>
      <c r="V7" s="4" t="s">
        <v>222</v>
      </c>
      <c r="W7" s="4">
        <v>415</v>
      </c>
      <c r="X7" s="4" t="s">
        <v>222</v>
      </c>
      <c r="Y7" s="4" t="s">
        <v>222</v>
      </c>
      <c r="Z7" s="4" t="s">
        <v>222</v>
      </c>
      <c r="AA7" s="4" t="s">
        <v>222</v>
      </c>
      <c r="AB7" s="4" t="s">
        <v>222</v>
      </c>
      <c r="AC7" s="4" t="s">
        <v>817</v>
      </c>
      <c r="AD7" s="4"/>
      <c r="AE7" s="4" t="s">
        <v>183</v>
      </c>
      <c r="AF7" s="4" t="s">
        <v>839</v>
      </c>
      <c r="AG7" s="4"/>
      <c r="AH7" s="1" t="s">
        <v>184</v>
      </c>
      <c r="AI7" s="1" t="s">
        <v>2815</v>
      </c>
      <c r="AJ7" s="1" t="s">
        <v>183</v>
      </c>
      <c r="AK7" s="1" t="s">
        <v>184</v>
      </c>
    </row>
    <row r="8" spans="1:37" x14ac:dyDescent="0.3">
      <c r="A8" s="94">
        <f t="shared" si="0"/>
        <v>22</v>
      </c>
      <c r="B8" s="39" t="str">
        <f t="shared" si="1"/>
        <v>SPS FORREST ST PINJARRA</v>
      </c>
      <c r="C8" s="4" t="s">
        <v>168</v>
      </c>
      <c r="D8" s="4" t="s">
        <v>169</v>
      </c>
      <c r="E8" s="4" t="s">
        <v>858</v>
      </c>
      <c r="F8" s="4" t="s">
        <v>488</v>
      </c>
      <c r="G8" s="4" t="s">
        <v>489</v>
      </c>
      <c r="H8" s="4" t="s">
        <v>490</v>
      </c>
      <c r="I8" s="4" t="s">
        <v>917</v>
      </c>
      <c r="J8" s="4" t="s">
        <v>560</v>
      </c>
      <c r="K8" s="4" t="s">
        <v>710</v>
      </c>
      <c r="L8" s="4" t="s">
        <v>491</v>
      </c>
      <c r="M8" s="4" t="s">
        <v>492</v>
      </c>
      <c r="N8" s="4" t="s">
        <v>296</v>
      </c>
      <c r="O8" s="4">
        <v>1971</v>
      </c>
      <c r="P8" s="4" t="s">
        <v>918</v>
      </c>
      <c r="Q8" s="4" t="s">
        <v>222</v>
      </c>
      <c r="R8" s="4" t="s">
        <v>739</v>
      </c>
      <c r="S8" s="4" t="s">
        <v>571</v>
      </c>
      <c r="T8" s="4" t="s">
        <v>740</v>
      </c>
      <c r="U8" s="4">
        <v>200</v>
      </c>
      <c r="V8" s="4" t="s">
        <v>222</v>
      </c>
      <c r="W8" s="4">
        <v>415</v>
      </c>
      <c r="X8" s="4" t="s">
        <v>222</v>
      </c>
      <c r="Y8" s="4" t="s">
        <v>222</v>
      </c>
      <c r="Z8" s="4" t="s">
        <v>222</v>
      </c>
      <c r="AA8" s="4" t="s">
        <v>222</v>
      </c>
      <c r="AB8" s="4" t="s">
        <v>222</v>
      </c>
      <c r="AC8" s="4" t="s">
        <v>814</v>
      </c>
      <c r="AD8" s="4"/>
      <c r="AE8" s="4" t="s">
        <v>183</v>
      </c>
      <c r="AF8" s="4" t="s">
        <v>849</v>
      </c>
      <c r="AG8" s="4"/>
      <c r="AH8" s="1" t="s">
        <v>184</v>
      </c>
      <c r="AI8" s="1" t="s">
        <v>2816</v>
      </c>
      <c r="AJ8" s="1" t="s">
        <v>183</v>
      </c>
      <c r="AK8" s="1" t="s">
        <v>183</v>
      </c>
    </row>
    <row r="9" spans="1:37" x14ac:dyDescent="0.3">
      <c r="A9" s="94">
        <f t="shared" si="0"/>
        <v>23</v>
      </c>
      <c r="B9" s="39" t="str">
        <f t="shared" si="1"/>
        <v>SPS NAVIGATOR DR SINGLETON</v>
      </c>
      <c r="C9" s="4" t="s">
        <v>2335</v>
      </c>
      <c r="D9" s="4" t="s">
        <v>2336</v>
      </c>
      <c r="E9" s="4" t="s">
        <v>1497</v>
      </c>
      <c r="F9" s="4" t="s">
        <v>2337</v>
      </c>
      <c r="G9" s="4" t="s">
        <v>2338</v>
      </c>
      <c r="H9" s="4" t="s">
        <v>2339</v>
      </c>
      <c r="I9" s="4" t="s">
        <v>3004</v>
      </c>
      <c r="J9" s="4"/>
      <c r="K9" s="4"/>
      <c r="L9" s="4" t="s">
        <v>2340</v>
      </c>
      <c r="M9" s="4" t="s">
        <v>2341</v>
      </c>
      <c r="N9" s="4" t="s">
        <v>291</v>
      </c>
      <c r="O9" s="4">
        <v>1995</v>
      </c>
      <c r="P9" s="4"/>
      <c r="Q9" s="4" t="s">
        <v>612</v>
      </c>
      <c r="R9" s="4" t="s">
        <v>2342</v>
      </c>
      <c r="S9" s="4" t="s">
        <v>571</v>
      </c>
      <c r="T9" s="4" t="s">
        <v>2343</v>
      </c>
      <c r="U9" s="4" t="s">
        <v>566</v>
      </c>
      <c r="V9" s="4" t="s">
        <v>222</v>
      </c>
      <c r="W9" s="4">
        <v>415</v>
      </c>
      <c r="X9" s="4" t="s">
        <v>222</v>
      </c>
      <c r="Y9" s="4" t="s">
        <v>222</v>
      </c>
      <c r="Z9" s="4" t="s">
        <v>222</v>
      </c>
      <c r="AA9" s="4" t="s">
        <v>222</v>
      </c>
      <c r="AB9" s="4" t="s">
        <v>222</v>
      </c>
      <c r="AC9" s="4" t="s">
        <v>2344</v>
      </c>
      <c r="AD9" s="4" t="s">
        <v>938</v>
      </c>
      <c r="AE9" s="4" t="s">
        <v>183</v>
      </c>
      <c r="AF9" s="4" t="s">
        <v>836</v>
      </c>
      <c r="AG9" s="4"/>
      <c r="AH9" s="1" t="s">
        <v>184</v>
      </c>
      <c r="AI9" s="1" t="s">
        <v>2815</v>
      </c>
      <c r="AJ9" s="1" t="s">
        <v>184</v>
      </c>
      <c r="AK9" s="1" t="s">
        <v>184</v>
      </c>
    </row>
    <row r="10" spans="1:37" x14ac:dyDescent="0.3">
      <c r="A10" s="94">
        <f t="shared" si="0"/>
        <v>24</v>
      </c>
      <c r="B10" s="39" t="str">
        <f t="shared" si="1"/>
        <v>SPS NAPLES PL SECRET HARBOUR</v>
      </c>
      <c r="C10" s="4" t="s">
        <v>136</v>
      </c>
      <c r="D10" s="4" t="s">
        <v>137</v>
      </c>
      <c r="E10" s="4" t="s">
        <v>858</v>
      </c>
      <c r="F10" s="4" t="s">
        <v>411</v>
      </c>
      <c r="G10" s="4" t="s">
        <v>412</v>
      </c>
      <c r="H10" s="4" t="s">
        <v>413</v>
      </c>
      <c r="I10" s="4" t="s">
        <v>894</v>
      </c>
      <c r="J10" s="4" t="s">
        <v>560</v>
      </c>
      <c r="K10" s="4" t="s">
        <v>689</v>
      </c>
      <c r="L10" s="4" t="s">
        <v>414</v>
      </c>
      <c r="M10" s="4" t="s">
        <v>415</v>
      </c>
      <c r="N10" s="4" t="s">
        <v>416</v>
      </c>
      <c r="O10" s="4">
        <v>1994</v>
      </c>
      <c r="P10" s="4" t="s">
        <v>224</v>
      </c>
      <c r="Q10" s="4" t="s">
        <v>631</v>
      </c>
      <c r="R10" s="4" t="s">
        <v>690</v>
      </c>
      <c r="S10" s="4" t="s">
        <v>571</v>
      </c>
      <c r="T10" s="4" t="s">
        <v>691</v>
      </c>
      <c r="U10" s="4" t="s">
        <v>566</v>
      </c>
      <c r="V10" s="4">
        <v>22</v>
      </c>
      <c r="W10" s="4">
        <v>415</v>
      </c>
      <c r="X10" s="4" t="s">
        <v>222</v>
      </c>
      <c r="Y10" s="4" t="s">
        <v>222</v>
      </c>
      <c r="Z10" s="4" t="s">
        <v>222</v>
      </c>
      <c r="AA10" s="4" t="s">
        <v>222</v>
      </c>
      <c r="AB10" s="4" t="s">
        <v>222</v>
      </c>
      <c r="AC10" s="4" t="s">
        <v>798</v>
      </c>
      <c r="AD10" s="4"/>
      <c r="AE10" s="4" t="s">
        <v>183</v>
      </c>
      <c r="AF10" s="4" t="s">
        <v>849</v>
      </c>
      <c r="AG10" s="4"/>
      <c r="AH10" s="1" t="s">
        <v>183</v>
      </c>
      <c r="AI10" s="1" t="s">
        <v>2816</v>
      </c>
      <c r="AJ10" s="1" t="s">
        <v>183</v>
      </c>
      <c r="AK10" s="1" t="s">
        <v>184</v>
      </c>
    </row>
    <row r="11" spans="1:37" x14ac:dyDescent="0.3">
      <c r="A11" s="94">
        <f t="shared" si="0"/>
        <v>26</v>
      </c>
      <c r="B11" s="39" t="str">
        <f t="shared" si="1"/>
        <v>SPS SWANSON WY SECRET HARBOUR</v>
      </c>
      <c r="C11" s="4" t="s">
        <v>170</v>
      </c>
      <c r="D11" s="4" t="s">
        <v>171</v>
      </c>
      <c r="E11" s="4" t="s">
        <v>858</v>
      </c>
      <c r="F11" s="4" t="s">
        <v>493</v>
      </c>
      <c r="G11" s="4" t="s">
        <v>412</v>
      </c>
      <c r="H11" s="4" t="s">
        <v>413</v>
      </c>
      <c r="I11" s="4" t="s">
        <v>919</v>
      </c>
      <c r="J11" s="4" t="s">
        <v>560</v>
      </c>
      <c r="K11" s="4" t="s">
        <v>741</v>
      </c>
      <c r="L11" s="4" t="s">
        <v>494</v>
      </c>
      <c r="M11" s="4" t="s">
        <v>495</v>
      </c>
      <c r="N11" s="4" t="s">
        <v>474</v>
      </c>
      <c r="O11" s="4">
        <v>1996</v>
      </c>
      <c r="P11" s="4" t="s">
        <v>227</v>
      </c>
      <c r="Q11" s="4" t="s">
        <v>631</v>
      </c>
      <c r="R11" s="4" t="s">
        <v>742</v>
      </c>
      <c r="S11" s="4" t="s">
        <v>571</v>
      </c>
      <c r="T11" s="4" t="s">
        <v>743</v>
      </c>
      <c r="U11" s="4" t="s">
        <v>566</v>
      </c>
      <c r="V11" s="4">
        <v>22</v>
      </c>
      <c r="W11" s="4">
        <v>415</v>
      </c>
      <c r="X11" s="4" t="s">
        <v>222</v>
      </c>
      <c r="Y11" s="4" t="s">
        <v>222</v>
      </c>
      <c r="Z11" s="4" t="s">
        <v>222</v>
      </c>
      <c r="AA11" s="4" t="s">
        <v>222</v>
      </c>
      <c r="AB11" s="4" t="s">
        <v>222</v>
      </c>
      <c r="AC11" s="4" t="s">
        <v>815</v>
      </c>
      <c r="AD11" s="4"/>
      <c r="AE11" s="4" t="s">
        <v>183</v>
      </c>
      <c r="AF11" s="4" t="s">
        <v>849</v>
      </c>
      <c r="AG11" s="4"/>
      <c r="AH11" s="1" t="s">
        <v>184</v>
      </c>
      <c r="AI11" s="1" t="s">
        <v>2815</v>
      </c>
      <c r="AJ11" s="1" t="s">
        <v>183</v>
      </c>
      <c r="AK11" s="1" t="s">
        <v>184</v>
      </c>
    </row>
    <row r="12" spans="1:37" x14ac:dyDescent="0.3">
      <c r="A12" s="94">
        <f t="shared" si="0"/>
        <v>45</v>
      </c>
      <c r="B12" s="39" t="str">
        <f t="shared" si="1"/>
        <v>SPS SECRET HARBOUR BVD SECRET HARBOUR</v>
      </c>
      <c r="C12" s="4" t="s">
        <v>2530</v>
      </c>
      <c r="D12" s="4" t="s">
        <v>2531</v>
      </c>
      <c r="E12" s="4" t="s">
        <v>1497</v>
      </c>
      <c r="F12" s="4" t="s">
        <v>2532</v>
      </c>
      <c r="G12" s="4" t="s">
        <v>412</v>
      </c>
      <c r="H12" s="4" t="s">
        <v>413</v>
      </c>
      <c r="I12" s="4" t="s">
        <v>3029</v>
      </c>
      <c r="J12" s="4"/>
      <c r="K12" s="4"/>
      <c r="L12" s="4" t="s">
        <v>2533</v>
      </c>
      <c r="M12" s="4" t="s">
        <v>2534</v>
      </c>
      <c r="N12" s="4" t="s">
        <v>416</v>
      </c>
      <c r="O12" s="4">
        <v>1995</v>
      </c>
      <c r="P12" s="4"/>
      <c r="Q12" s="4" t="s">
        <v>612</v>
      </c>
      <c r="R12" s="4" t="s">
        <v>2535</v>
      </c>
      <c r="S12" s="4" t="s">
        <v>571</v>
      </c>
      <c r="T12" s="4" t="s">
        <v>2536</v>
      </c>
      <c r="U12" s="4" t="s">
        <v>566</v>
      </c>
      <c r="V12" s="4" t="s">
        <v>222</v>
      </c>
      <c r="W12" s="4">
        <v>415</v>
      </c>
      <c r="X12" s="4" t="s">
        <v>222</v>
      </c>
      <c r="Y12" s="4" t="s">
        <v>222</v>
      </c>
      <c r="Z12" s="4" t="s">
        <v>222</v>
      </c>
      <c r="AA12" s="4" t="s">
        <v>222</v>
      </c>
      <c r="AB12" s="4" t="s">
        <v>222</v>
      </c>
      <c r="AC12" s="4" t="s">
        <v>2537</v>
      </c>
      <c r="AD12" s="4" t="s">
        <v>938</v>
      </c>
      <c r="AE12" s="4" t="s">
        <v>183</v>
      </c>
      <c r="AF12" s="4" t="s">
        <v>836</v>
      </c>
      <c r="AG12" s="4"/>
      <c r="AH12" s="1" t="s">
        <v>183</v>
      </c>
      <c r="AI12" s="1" t="s">
        <v>2816</v>
      </c>
      <c r="AJ12" s="1" t="s">
        <v>183</v>
      </c>
      <c r="AK12" s="1" t="s">
        <v>184</v>
      </c>
    </row>
    <row r="13" spans="1:37" x14ac:dyDescent="0.3">
      <c r="A13" s="94">
        <f t="shared" si="0"/>
        <v>84</v>
      </c>
      <c r="B13" s="39" t="str">
        <f t="shared" si="1"/>
        <v>SPS ENDEAVOUR DR PORT KENNEDY</v>
      </c>
      <c r="C13" s="4" t="s">
        <v>1354</v>
      </c>
      <c r="D13" s="4" t="s">
        <v>1355</v>
      </c>
      <c r="E13" s="4" t="s">
        <v>1106</v>
      </c>
      <c r="F13" s="4" t="s">
        <v>1356</v>
      </c>
      <c r="G13" s="4" t="s">
        <v>1357</v>
      </c>
      <c r="H13" s="4" t="s">
        <v>1358</v>
      </c>
      <c r="I13" s="4" t="s">
        <v>2796</v>
      </c>
      <c r="J13" s="4"/>
      <c r="K13" s="4"/>
      <c r="L13" s="4" t="s">
        <v>1359</v>
      </c>
      <c r="M13" s="4" t="s">
        <v>1360</v>
      </c>
      <c r="N13" s="4" t="s">
        <v>1037</v>
      </c>
      <c r="O13" s="4">
        <v>1992</v>
      </c>
      <c r="P13" s="4" t="s">
        <v>222</v>
      </c>
      <c r="Q13" s="4" t="s">
        <v>631</v>
      </c>
      <c r="R13" s="4" t="s">
        <v>1361</v>
      </c>
      <c r="S13" s="4" t="s">
        <v>571</v>
      </c>
      <c r="T13" s="4" t="s">
        <v>1362</v>
      </c>
      <c r="U13" s="4" t="s">
        <v>566</v>
      </c>
      <c r="V13" s="4" t="s">
        <v>222</v>
      </c>
      <c r="W13" s="4">
        <v>415</v>
      </c>
      <c r="X13" s="4" t="s">
        <v>222</v>
      </c>
      <c r="Y13" s="4" t="s">
        <v>222</v>
      </c>
      <c r="Z13" s="4" t="s">
        <v>222</v>
      </c>
      <c r="AA13" s="4" t="s">
        <v>222</v>
      </c>
      <c r="AB13" s="4" t="s">
        <v>222</v>
      </c>
      <c r="AC13" s="4" t="s">
        <v>1363</v>
      </c>
      <c r="AD13" s="4" t="s">
        <v>938</v>
      </c>
      <c r="AE13" s="4" t="s">
        <v>184</v>
      </c>
      <c r="AF13" s="4" t="s">
        <v>836</v>
      </c>
      <c r="AG13" s="4"/>
      <c r="AH13" s="1" t="s">
        <v>184</v>
      </c>
      <c r="AI13" s="1" t="s">
        <v>2816</v>
      </c>
      <c r="AJ13" s="1" t="s">
        <v>183</v>
      </c>
      <c r="AK13" s="1" t="s">
        <v>183</v>
      </c>
    </row>
    <row r="14" spans="1:37" x14ac:dyDescent="0.3">
      <c r="A14" s="94">
        <f t="shared" si="0"/>
        <v>91</v>
      </c>
      <c r="B14" s="39" t="str">
        <f t="shared" si="1"/>
        <v>SPS EIGHTY RD NTH BALDIVIS</v>
      </c>
      <c r="C14" s="4" t="s">
        <v>1167</v>
      </c>
      <c r="D14" s="4" t="s">
        <v>1168</v>
      </c>
      <c r="E14" s="4" t="s">
        <v>1106</v>
      </c>
      <c r="F14" s="4" t="s">
        <v>1169</v>
      </c>
      <c r="G14" s="4" t="s">
        <v>1119</v>
      </c>
      <c r="H14" s="4" t="s">
        <v>1120</v>
      </c>
      <c r="I14" s="4" t="s">
        <v>2777</v>
      </c>
      <c r="J14" s="4"/>
      <c r="K14" s="4"/>
      <c r="L14" s="4" t="s">
        <v>1170</v>
      </c>
      <c r="M14" s="4" t="s">
        <v>1171</v>
      </c>
      <c r="N14" s="4" t="s">
        <v>291</v>
      </c>
      <c r="O14" s="4">
        <v>1995</v>
      </c>
      <c r="P14" s="4" t="s">
        <v>881</v>
      </c>
      <c r="Q14" s="4" t="s">
        <v>612</v>
      </c>
      <c r="R14" s="4" t="s">
        <v>1172</v>
      </c>
      <c r="S14" s="4" t="s">
        <v>571</v>
      </c>
      <c r="T14" s="4" t="s">
        <v>1173</v>
      </c>
      <c r="U14" s="4" t="s">
        <v>566</v>
      </c>
      <c r="V14" s="4" t="s">
        <v>222</v>
      </c>
      <c r="W14" s="4">
        <v>415</v>
      </c>
      <c r="X14" s="4" t="s">
        <v>222</v>
      </c>
      <c r="Y14" s="4" t="s">
        <v>222</v>
      </c>
      <c r="Z14" s="4" t="s">
        <v>222</v>
      </c>
      <c r="AA14" s="4" t="s">
        <v>222</v>
      </c>
      <c r="AB14" s="4" t="s">
        <v>222</v>
      </c>
      <c r="AC14" s="4" t="s">
        <v>1174</v>
      </c>
      <c r="AD14" s="4" t="s">
        <v>938</v>
      </c>
      <c r="AE14" s="4" t="s">
        <v>183</v>
      </c>
      <c r="AF14" s="4" t="s">
        <v>849</v>
      </c>
      <c r="AG14" s="4"/>
      <c r="AH14" s="1" t="s">
        <v>184</v>
      </c>
      <c r="AI14" s="1" t="s">
        <v>2815</v>
      </c>
      <c r="AJ14" s="1" t="s">
        <v>183</v>
      </c>
      <c r="AK14" s="1" t="s">
        <v>184</v>
      </c>
    </row>
    <row r="15" spans="1:37" x14ac:dyDescent="0.3">
      <c r="A15" s="94">
        <f t="shared" si="0"/>
        <v>143</v>
      </c>
      <c r="B15" s="39" t="str">
        <f t="shared" si="1"/>
        <v>SPS MAGENTA CR BALDIVIS</v>
      </c>
      <c r="C15" s="4" t="s">
        <v>1116</v>
      </c>
      <c r="D15" s="4" t="s">
        <v>1117</v>
      </c>
      <c r="E15" s="4" t="s">
        <v>1106</v>
      </c>
      <c r="F15" s="4" t="s">
        <v>1118</v>
      </c>
      <c r="G15" s="4" t="s">
        <v>1119</v>
      </c>
      <c r="H15" s="4" t="s">
        <v>1120</v>
      </c>
      <c r="I15" s="4" t="s">
        <v>3065</v>
      </c>
      <c r="J15" s="4"/>
      <c r="K15" s="4"/>
      <c r="L15" s="4" t="s">
        <v>1121</v>
      </c>
      <c r="M15" s="4" t="s">
        <v>1122</v>
      </c>
      <c r="N15" s="4" t="s">
        <v>267</v>
      </c>
      <c r="O15" s="4">
        <v>2005</v>
      </c>
      <c r="P15" s="4" t="s">
        <v>222</v>
      </c>
      <c r="Q15" s="4" t="s">
        <v>631</v>
      </c>
      <c r="R15" s="4" t="s">
        <v>1123</v>
      </c>
      <c r="S15" s="4" t="s">
        <v>571</v>
      </c>
      <c r="T15" s="4" t="s">
        <v>1124</v>
      </c>
      <c r="U15" s="4">
        <v>315</v>
      </c>
      <c r="V15" s="4">
        <v>22</v>
      </c>
      <c r="W15" s="4">
        <v>415</v>
      </c>
      <c r="X15" s="4" t="s">
        <v>222</v>
      </c>
      <c r="Y15" s="4" t="s">
        <v>222</v>
      </c>
      <c r="Z15" s="4" t="s">
        <v>222</v>
      </c>
      <c r="AA15" s="4" t="s">
        <v>222</v>
      </c>
      <c r="AB15" s="4" t="s">
        <v>222</v>
      </c>
      <c r="AC15" s="4" t="s">
        <v>1125</v>
      </c>
      <c r="AD15" s="4" t="s">
        <v>938</v>
      </c>
      <c r="AE15" s="4" t="s">
        <v>184</v>
      </c>
      <c r="AF15" s="4" t="s">
        <v>849</v>
      </c>
      <c r="AG15" s="4"/>
      <c r="AH15" s="1" t="s">
        <v>184</v>
      </c>
      <c r="AI15" s="1" t="s">
        <v>2815</v>
      </c>
      <c r="AJ15" s="1" t="s">
        <v>183</v>
      </c>
      <c r="AK15" s="1" t="s">
        <v>184</v>
      </c>
    </row>
    <row r="16" spans="1:37" x14ac:dyDescent="0.3">
      <c r="A16" s="94">
        <f t="shared" si="0"/>
        <v>15</v>
      </c>
      <c r="B16" s="39" t="str">
        <f t="shared" si="1"/>
        <v>SPS SAFETY BAY RD STH WARNBRO</v>
      </c>
      <c r="C16" s="4" t="s">
        <v>78</v>
      </c>
      <c r="D16" s="4" t="s">
        <v>79</v>
      </c>
      <c r="E16" s="4" t="s">
        <v>831</v>
      </c>
      <c r="F16" s="4" t="s">
        <v>262</v>
      </c>
      <c r="G16" s="4" t="s">
        <v>263</v>
      </c>
      <c r="H16" s="4" t="s">
        <v>264</v>
      </c>
      <c r="I16" s="4" t="s">
        <v>847</v>
      </c>
      <c r="J16" s="4" t="s">
        <v>560</v>
      </c>
      <c r="K16" s="4" t="s">
        <v>590</v>
      </c>
      <c r="L16" s="4" t="s">
        <v>265</v>
      </c>
      <c r="M16" s="4" t="s">
        <v>266</v>
      </c>
      <c r="N16" s="4" t="s">
        <v>267</v>
      </c>
      <c r="O16" s="4">
        <v>2005</v>
      </c>
      <c r="P16" s="4" t="s">
        <v>848</v>
      </c>
      <c r="Q16" s="4" t="s">
        <v>591</v>
      </c>
      <c r="R16" s="4" t="s">
        <v>592</v>
      </c>
      <c r="S16" s="4" t="s">
        <v>571</v>
      </c>
      <c r="T16" s="4" t="s">
        <v>593</v>
      </c>
      <c r="U16" s="4">
        <v>500</v>
      </c>
      <c r="V16" s="4">
        <v>22</v>
      </c>
      <c r="W16" s="4">
        <v>415</v>
      </c>
      <c r="X16" s="4" t="s">
        <v>222</v>
      </c>
      <c r="Y16" s="4" t="s">
        <v>222</v>
      </c>
      <c r="Z16" s="4" t="s">
        <v>222</v>
      </c>
      <c r="AA16" s="4" t="s">
        <v>222</v>
      </c>
      <c r="AB16" s="4" t="s">
        <v>222</v>
      </c>
      <c r="AC16" s="4" t="s">
        <v>769</v>
      </c>
      <c r="AD16" s="4"/>
      <c r="AE16" s="4" t="s">
        <v>184</v>
      </c>
      <c r="AF16" s="4" t="s">
        <v>849</v>
      </c>
      <c r="AG16" s="4"/>
      <c r="AH16" s="1" t="s">
        <v>184</v>
      </c>
      <c r="AI16" s="1" t="s">
        <v>2815</v>
      </c>
      <c r="AJ16" s="1" t="s">
        <v>183</v>
      </c>
      <c r="AK16" s="1" t="s">
        <v>184</v>
      </c>
    </row>
    <row r="17" spans="1:37" x14ac:dyDescent="0.3">
      <c r="A17" s="94">
        <f t="shared" si="0"/>
        <v>144</v>
      </c>
      <c r="B17" s="39" t="str">
        <f t="shared" si="1"/>
        <v>SPS ELANORA DR COOLOONGUP</v>
      </c>
      <c r="C17" s="4" t="s">
        <v>1421</v>
      </c>
      <c r="D17" s="4" t="s">
        <v>1422</v>
      </c>
      <c r="E17" s="4" t="s">
        <v>1106</v>
      </c>
      <c r="F17" s="4" t="s">
        <v>1423</v>
      </c>
      <c r="G17" s="4" t="s">
        <v>1424</v>
      </c>
      <c r="H17" s="4" t="s">
        <v>247</v>
      </c>
      <c r="I17" s="4" t="s">
        <v>2803</v>
      </c>
      <c r="J17" s="4"/>
      <c r="K17" s="4"/>
      <c r="L17" s="4" t="s">
        <v>1425</v>
      </c>
      <c r="M17" s="4" t="s">
        <v>1426</v>
      </c>
      <c r="N17" s="4" t="s">
        <v>445</v>
      </c>
      <c r="O17" s="4">
        <v>2009</v>
      </c>
      <c r="P17" s="4" t="s">
        <v>222</v>
      </c>
      <c r="Q17" s="4" t="s">
        <v>631</v>
      </c>
      <c r="R17" s="4" t="s">
        <v>1427</v>
      </c>
      <c r="S17" s="4" t="s">
        <v>571</v>
      </c>
      <c r="T17" s="4" t="s">
        <v>1428</v>
      </c>
      <c r="U17" s="4" t="s">
        <v>566</v>
      </c>
      <c r="V17" s="4">
        <v>22</v>
      </c>
      <c r="W17" s="4">
        <v>415</v>
      </c>
      <c r="X17" s="4" t="s">
        <v>222</v>
      </c>
      <c r="Y17" s="4" t="s">
        <v>222</v>
      </c>
      <c r="Z17" s="4" t="s">
        <v>222</v>
      </c>
      <c r="AA17" s="4" t="s">
        <v>222</v>
      </c>
      <c r="AB17" s="4" t="s">
        <v>222</v>
      </c>
      <c r="AC17" s="4" t="s">
        <v>1429</v>
      </c>
      <c r="AD17" s="4" t="s">
        <v>938</v>
      </c>
      <c r="AE17" s="4" t="s">
        <v>184</v>
      </c>
      <c r="AF17" s="4" t="s">
        <v>839</v>
      </c>
      <c r="AG17" s="4"/>
      <c r="AH17" s="1" t="s">
        <v>183</v>
      </c>
      <c r="AI17" s="1" t="s">
        <v>2817</v>
      </c>
      <c r="AJ17" s="1" t="s">
        <v>183</v>
      </c>
      <c r="AK17" s="1" t="s">
        <v>184</v>
      </c>
    </row>
    <row r="18" spans="1:37" x14ac:dyDescent="0.3">
      <c r="A18" s="94">
        <f t="shared" si="0"/>
        <v>17</v>
      </c>
      <c r="B18" s="39" t="str">
        <f t="shared" si="1"/>
        <v>SPS SEABROOKE AV ROCKINGHAM</v>
      </c>
      <c r="C18" s="4" t="s">
        <v>72</v>
      </c>
      <c r="D18" s="4" t="s">
        <v>73</v>
      </c>
      <c r="E18" s="4" t="s">
        <v>831</v>
      </c>
      <c r="F18" s="4" t="s">
        <v>245</v>
      </c>
      <c r="G18" s="4" t="s">
        <v>246</v>
      </c>
      <c r="H18" s="4" t="s">
        <v>247</v>
      </c>
      <c r="I18" s="4" t="s">
        <v>840</v>
      </c>
      <c r="J18" s="4" t="s">
        <v>560</v>
      </c>
      <c r="K18" s="4" t="s">
        <v>578</v>
      </c>
      <c r="L18" s="4" t="s">
        <v>248</v>
      </c>
      <c r="M18" s="4" t="s">
        <v>249</v>
      </c>
      <c r="N18" s="4" t="s">
        <v>250</v>
      </c>
      <c r="O18" s="4">
        <v>2004</v>
      </c>
      <c r="P18" s="4" t="s">
        <v>841</v>
      </c>
      <c r="Q18" s="4" t="s">
        <v>569</v>
      </c>
      <c r="R18" s="4" t="s">
        <v>579</v>
      </c>
      <c r="S18" s="4" t="s">
        <v>222</v>
      </c>
      <c r="T18" s="4" t="s">
        <v>580</v>
      </c>
      <c r="U18" s="4">
        <v>800</v>
      </c>
      <c r="V18" s="4">
        <v>22</v>
      </c>
      <c r="W18" s="4">
        <v>433</v>
      </c>
      <c r="X18" s="4">
        <v>415</v>
      </c>
      <c r="Y18" s="4">
        <v>1600</v>
      </c>
      <c r="Z18" s="4">
        <v>30</v>
      </c>
      <c r="AA18" s="4" t="s">
        <v>222</v>
      </c>
      <c r="AB18" s="4" t="s">
        <v>222</v>
      </c>
      <c r="AC18" s="4" t="s">
        <v>766</v>
      </c>
      <c r="AD18" s="4"/>
      <c r="AE18" s="4" t="s">
        <v>184</v>
      </c>
      <c r="AF18" s="4" t="s">
        <v>836</v>
      </c>
      <c r="AG18" s="4"/>
      <c r="AH18" s="1" t="s">
        <v>184</v>
      </c>
      <c r="AI18" s="1" t="s">
        <v>2815</v>
      </c>
      <c r="AJ18" s="1" t="s">
        <v>184</v>
      </c>
      <c r="AK18" s="1" t="s">
        <v>184</v>
      </c>
    </row>
    <row r="19" spans="1:37" x14ac:dyDescent="0.3">
      <c r="A19" s="94">
        <f t="shared" si="0"/>
        <v>146</v>
      </c>
      <c r="B19" s="39" t="str">
        <f t="shared" si="1"/>
        <v>SPS BARRICK RD CALISTA</v>
      </c>
      <c r="C19" s="4" t="s">
        <v>1104</v>
      </c>
      <c r="D19" s="4" t="s">
        <v>1105</v>
      </c>
      <c r="E19" s="4" t="s">
        <v>1106</v>
      </c>
      <c r="F19" s="4" t="s">
        <v>1107</v>
      </c>
      <c r="G19" s="4" t="s">
        <v>1108</v>
      </c>
      <c r="H19" s="4" t="s">
        <v>1109</v>
      </c>
      <c r="I19" s="4" t="s">
        <v>2772</v>
      </c>
      <c r="J19" s="4"/>
      <c r="K19" s="4"/>
      <c r="L19" s="4" t="s">
        <v>1110</v>
      </c>
      <c r="M19" s="4" t="s">
        <v>1111</v>
      </c>
      <c r="N19" s="4" t="s">
        <v>301</v>
      </c>
      <c r="O19" s="4">
        <v>1971</v>
      </c>
      <c r="P19" s="4" t="s">
        <v>1112</v>
      </c>
      <c r="Q19" s="4" t="s">
        <v>222</v>
      </c>
      <c r="R19" s="4" t="s">
        <v>1113</v>
      </c>
      <c r="S19" s="4" t="s">
        <v>602</v>
      </c>
      <c r="T19" s="4" t="s">
        <v>1114</v>
      </c>
      <c r="U19" s="4" t="s">
        <v>566</v>
      </c>
      <c r="V19" s="4" t="s">
        <v>222</v>
      </c>
      <c r="W19" s="4" t="s">
        <v>222</v>
      </c>
      <c r="X19" s="4" t="s">
        <v>222</v>
      </c>
      <c r="Y19" s="4" t="s">
        <v>222</v>
      </c>
      <c r="Z19" s="4" t="s">
        <v>222</v>
      </c>
      <c r="AA19" s="4" t="s">
        <v>222</v>
      </c>
      <c r="AB19" s="4" t="s">
        <v>222</v>
      </c>
      <c r="AC19" s="4" t="s">
        <v>1115</v>
      </c>
      <c r="AD19" s="4" t="s">
        <v>938</v>
      </c>
      <c r="AE19" s="4" t="s">
        <v>183</v>
      </c>
      <c r="AF19" s="4" t="s">
        <v>836</v>
      </c>
      <c r="AG19" s="4"/>
      <c r="AH19" s="1" t="s">
        <v>183</v>
      </c>
      <c r="AI19" s="1" t="s">
        <v>2816</v>
      </c>
      <c r="AJ19" s="1" t="s">
        <v>183</v>
      </c>
      <c r="AK19" s="1" t="s">
        <v>183</v>
      </c>
    </row>
    <row r="20" spans="1:37" x14ac:dyDescent="0.3">
      <c r="A20" s="94">
        <f t="shared" si="0"/>
        <v>148</v>
      </c>
      <c r="B20" s="39" t="str">
        <f t="shared" si="1"/>
        <v>SPS BERTRAM RD BERTRAM</v>
      </c>
      <c r="C20" s="4" t="s">
        <v>1175</v>
      </c>
      <c r="D20" s="4" t="s">
        <v>1176</v>
      </c>
      <c r="E20" s="4" t="s">
        <v>1106</v>
      </c>
      <c r="F20" s="4" t="s">
        <v>1177</v>
      </c>
      <c r="G20" s="4" t="s">
        <v>1178</v>
      </c>
      <c r="H20" s="4" t="s">
        <v>1109</v>
      </c>
      <c r="I20" s="4" t="s">
        <v>2778</v>
      </c>
      <c r="J20" s="4"/>
      <c r="K20" s="4"/>
      <c r="L20" s="4" t="s">
        <v>1179</v>
      </c>
      <c r="M20" s="4" t="s">
        <v>1180</v>
      </c>
      <c r="N20" s="4" t="s">
        <v>1181</v>
      </c>
      <c r="O20" s="4">
        <v>1992</v>
      </c>
      <c r="P20" s="4" t="s">
        <v>222</v>
      </c>
      <c r="Q20" s="4" t="s">
        <v>631</v>
      </c>
      <c r="R20" s="4" t="s">
        <v>1182</v>
      </c>
      <c r="S20" s="4" t="s">
        <v>571</v>
      </c>
      <c r="T20" s="4" t="s">
        <v>1183</v>
      </c>
      <c r="U20" s="4">
        <v>200</v>
      </c>
      <c r="V20" s="4">
        <v>22</v>
      </c>
      <c r="W20" s="4">
        <v>415</v>
      </c>
      <c r="X20" s="4" t="s">
        <v>222</v>
      </c>
      <c r="Y20" s="4" t="s">
        <v>222</v>
      </c>
      <c r="Z20" s="4" t="s">
        <v>222</v>
      </c>
      <c r="AA20" s="4" t="s">
        <v>222</v>
      </c>
      <c r="AB20" s="4" t="s">
        <v>222</v>
      </c>
      <c r="AC20" s="4" t="s">
        <v>1184</v>
      </c>
      <c r="AD20" s="4" t="s">
        <v>938</v>
      </c>
      <c r="AE20" s="4" t="s">
        <v>184</v>
      </c>
      <c r="AF20" s="4" t="s">
        <v>836</v>
      </c>
      <c r="AG20" s="4"/>
      <c r="AH20" s="1" t="s">
        <v>184</v>
      </c>
      <c r="AI20" s="1" t="s">
        <v>2815</v>
      </c>
      <c r="AJ20" s="1" t="s">
        <v>183</v>
      </c>
      <c r="AK20" s="1" t="s">
        <v>184</v>
      </c>
    </row>
    <row r="21" spans="1:37" x14ac:dyDescent="0.3">
      <c r="A21" s="94">
        <f t="shared" si="0"/>
        <v>10</v>
      </c>
      <c r="B21" s="39" t="str">
        <f t="shared" si="1"/>
        <v>SPS BROWNELL CR MEDINA</v>
      </c>
      <c r="C21" s="4" t="s">
        <v>1146</v>
      </c>
      <c r="D21" s="4" t="s">
        <v>1147</v>
      </c>
      <c r="E21" s="4" t="s">
        <v>1106</v>
      </c>
      <c r="F21" s="4" t="s">
        <v>1148</v>
      </c>
      <c r="G21" s="4" t="s">
        <v>1149</v>
      </c>
      <c r="H21" s="4" t="s">
        <v>1109</v>
      </c>
      <c r="I21" s="4" t="s">
        <v>2775</v>
      </c>
      <c r="J21" s="4"/>
      <c r="K21" s="4"/>
      <c r="L21" s="4" t="s">
        <v>1150</v>
      </c>
      <c r="M21" s="4" t="s">
        <v>1151</v>
      </c>
      <c r="N21" s="4" t="s">
        <v>514</v>
      </c>
      <c r="O21" s="4">
        <v>2006</v>
      </c>
      <c r="P21" s="4" t="s">
        <v>1152</v>
      </c>
      <c r="Q21" s="4" t="s">
        <v>569</v>
      </c>
      <c r="R21" s="4" t="s">
        <v>1153</v>
      </c>
      <c r="S21" s="4" t="s">
        <v>571</v>
      </c>
      <c r="T21" s="4" t="s">
        <v>1154</v>
      </c>
      <c r="U21" s="4">
        <v>160</v>
      </c>
      <c r="V21" s="4">
        <v>22</v>
      </c>
      <c r="W21" s="4">
        <v>415</v>
      </c>
      <c r="X21" s="4">
        <v>500</v>
      </c>
      <c r="Y21" s="4">
        <v>600</v>
      </c>
      <c r="Z21" s="4">
        <v>20</v>
      </c>
      <c r="AA21" s="4" t="s">
        <v>222</v>
      </c>
      <c r="AB21" s="4" t="s">
        <v>222</v>
      </c>
      <c r="AC21" s="4" t="s">
        <v>1155</v>
      </c>
      <c r="AD21" s="4" t="s">
        <v>938</v>
      </c>
      <c r="AE21" s="4" t="s">
        <v>184</v>
      </c>
      <c r="AF21" s="4" t="s">
        <v>849</v>
      </c>
      <c r="AG21" s="4"/>
      <c r="AH21" s="1" t="s">
        <v>183</v>
      </c>
      <c r="AI21" s="1" t="s">
        <v>2815</v>
      </c>
      <c r="AJ21" s="1" t="s">
        <v>183</v>
      </c>
      <c r="AK21" s="1" t="s">
        <v>184</v>
      </c>
    </row>
    <row r="22" spans="1:37" x14ac:dyDescent="0.3">
      <c r="A22" s="94">
        <f t="shared" si="0"/>
        <v>21</v>
      </c>
      <c r="B22" s="39" t="str">
        <f t="shared" si="1"/>
        <v>SPS MUNSTER 3 MUNSTER</v>
      </c>
      <c r="C22" s="4" t="s">
        <v>66</v>
      </c>
      <c r="D22" s="4" t="s">
        <v>67</v>
      </c>
      <c r="E22" s="4" t="s">
        <v>831</v>
      </c>
      <c r="F22" s="4" t="s">
        <v>221</v>
      </c>
      <c r="G22" s="4" t="s">
        <v>228</v>
      </c>
      <c r="H22" s="4" t="s">
        <v>229</v>
      </c>
      <c r="I22" s="4" t="s">
        <v>832</v>
      </c>
      <c r="J22" s="4" t="s">
        <v>560</v>
      </c>
      <c r="K22" s="4" t="s">
        <v>561</v>
      </c>
      <c r="L22" s="4" t="s">
        <v>230</v>
      </c>
      <c r="M22" s="4" t="s">
        <v>231</v>
      </c>
      <c r="N22" s="4" t="s">
        <v>232</v>
      </c>
      <c r="O22" s="4">
        <v>2001</v>
      </c>
      <c r="P22" s="4" t="s">
        <v>221</v>
      </c>
      <c r="Q22" s="4" t="s">
        <v>562</v>
      </c>
      <c r="R22" s="4" t="s">
        <v>563</v>
      </c>
      <c r="S22" s="4" t="s">
        <v>564</v>
      </c>
      <c r="T22" s="4" t="s">
        <v>565</v>
      </c>
      <c r="U22" s="4" t="s">
        <v>566</v>
      </c>
      <c r="V22" s="4" t="s">
        <v>222</v>
      </c>
      <c r="W22" s="4" t="s">
        <v>222</v>
      </c>
      <c r="X22" s="4">
        <v>22000</v>
      </c>
      <c r="Y22" s="4" t="s">
        <v>222</v>
      </c>
      <c r="Z22" s="4" t="s">
        <v>222</v>
      </c>
      <c r="AA22" s="4" t="s">
        <v>567</v>
      </c>
      <c r="AB22" s="4" t="s">
        <v>222</v>
      </c>
      <c r="AC22" s="4" t="s">
        <v>222</v>
      </c>
      <c r="AD22" s="4"/>
      <c r="AE22" s="4" t="s">
        <v>184</v>
      </c>
      <c r="AF22" s="4" t="s">
        <v>833</v>
      </c>
      <c r="AG22" s="4"/>
      <c r="AH22" s="1" t="s">
        <v>184</v>
      </c>
      <c r="AI22" s="1" t="s">
        <v>2816</v>
      </c>
      <c r="AJ22" s="1" t="s">
        <v>183</v>
      </c>
      <c r="AK22" s="1" t="s">
        <v>184</v>
      </c>
    </row>
    <row r="23" spans="1:37" x14ac:dyDescent="0.3">
      <c r="A23" s="94">
        <f t="shared" si="0"/>
        <v>12</v>
      </c>
      <c r="B23" s="39" t="str">
        <f t="shared" si="1"/>
        <v>SPS BRENCHLEY DR ATWELL</v>
      </c>
      <c r="C23" s="4" t="s">
        <v>1449</v>
      </c>
      <c r="D23" s="4" t="s">
        <v>1450</v>
      </c>
      <c r="E23" s="4" t="s">
        <v>1106</v>
      </c>
      <c r="F23" s="4" t="s">
        <v>1451</v>
      </c>
      <c r="G23" s="4" t="s">
        <v>1452</v>
      </c>
      <c r="H23" s="4" t="s">
        <v>1377</v>
      </c>
      <c r="I23" s="4" t="s">
        <v>2806</v>
      </c>
      <c r="J23" s="4"/>
      <c r="K23" s="4"/>
      <c r="L23" s="4" t="s">
        <v>1453</v>
      </c>
      <c r="M23" s="4" t="s">
        <v>1454</v>
      </c>
      <c r="N23" s="4" t="s">
        <v>291</v>
      </c>
      <c r="O23" s="4">
        <v>1995</v>
      </c>
      <c r="P23" s="4" t="s">
        <v>1455</v>
      </c>
      <c r="Q23" s="4" t="s">
        <v>612</v>
      </c>
      <c r="R23" s="4" t="s">
        <v>1456</v>
      </c>
      <c r="S23" s="4" t="s">
        <v>571</v>
      </c>
      <c r="T23" s="4" t="s">
        <v>1457</v>
      </c>
      <c r="U23" s="4" t="s">
        <v>566</v>
      </c>
      <c r="V23" s="4" t="s">
        <v>222</v>
      </c>
      <c r="W23" s="4">
        <v>415</v>
      </c>
      <c r="X23" s="4" t="s">
        <v>222</v>
      </c>
      <c r="Y23" s="4" t="s">
        <v>222</v>
      </c>
      <c r="Z23" s="4" t="s">
        <v>222</v>
      </c>
      <c r="AA23" s="4" t="s">
        <v>222</v>
      </c>
      <c r="AB23" s="4" t="s">
        <v>222</v>
      </c>
      <c r="AC23" s="4" t="s">
        <v>1458</v>
      </c>
      <c r="AD23" s="4" t="s">
        <v>938</v>
      </c>
      <c r="AE23" s="4" t="s">
        <v>183</v>
      </c>
      <c r="AF23" s="4" t="s">
        <v>836</v>
      </c>
      <c r="AG23" s="4"/>
      <c r="AH23" s="1" t="s">
        <v>183</v>
      </c>
      <c r="AI23" s="1" t="s">
        <v>2815</v>
      </c>
      <c r="AJ23" s="1" t="s">
        <v>184</v>
      </c>
      <c r="AK23" s="1" t="s">
        <v>184</v>
      </c>
    </row>
    <row r="24" spans="1:37" x14ac:dyDescent="0.3">
      <c r="A24" s="94">
        <f t="shared" si="0"/>
        <v>11</v>
      </c>
      <c r="B24" s="39" t="str">
        <f t="shared" si="1"/>
        <v>SPS GLENBAWN DR SOUTH LAKE</v>
      </c>
      <c r="C24" s="4" t="s">
        <v>1430</v>
      </c>
      <c r="D24" s="4" t="s">
        <v>1431</v>
      </c>
      <c r="E24" s="4" t="s">
        <v>1106</v>
      </c>
      <c r="F24" s="4" t="s">
        <v>1432</v>
      </c>
      <c r="G24" s="4" t="s">
        <v>1433</v>
      </c>
      <c r="H24" s="4" t="s">
        <v>1377</v>
      </c>
      <c r="I24" s="4" t="s">
        <v>2804</v>
      </c>
      <c r="J24" s="4"/>
      <c r="K24" s="4"/>
      <c r="L24" s="4" t="s">
        <v>1434</v>
      </c>
      <c r="M24" s="4" t="s">
        <v>1435</v>
      </c>
      <c r="N24" s="4" t="s">
        <v>1436</v>
      </c>
      <c r="O24" s="4">
        <v>1983</v>
      </c>
      <c r="P24" s="4" t="s">
        <v>1303</v>
      </c>
      <c r="Q24" s="4" t="s">
        <v>612</v>
      </c>
      <c r="R24" s="4" t="s">
        <v>1437</v>
      </c>
      <c r="S24" s="4" t="s">
        <v>602</v>
      </c>
      <c r="T24" s="4" t="s">
        <v>1438</v>
      </c>
      <c r="U24" s="4">
        <v>100</v>
      </c>
      <c r="V24" s="4">
        <v>22</v>
      </c>
      <c r="W24" s="4">
        <v>440</v>
      </c>
      <c r="X24" s="4" t="s">
        <v>222</v>
      </c>
      <c r="Y24" s="4" t="s">
        <v>222</v>
      </c>
      <c r="Z24" s="4" t="s">
        <v>222</v>
      </c>
      <c r="AA24" s="4" t="s">
        <v>222</v>
      </c>
      <c r="AB24" s="4" t="s">
        <v>222</v>
      </c>
      <c r="AC24" s="4" t="s">
        <v>1439</v>
      </c>
      <c r="AD24" s="4" t="s">
        <v>938</v>
      </c>
      <c r="AE24" s="4" t="s">
        <v>183</v>
      </c>
      <c r="AF24" s="4" t="s">
        <v>836</v>
      </c>
      <c r="AG24" s="4"/>
      <c r="AH24" s="1" t="s">
        <v>183</v>
      </c>
      <c r="AI24" s="1" t="s">
        <v>2816</v>
      </c>
      <c r="AJ24" s="1" t="s">
        <v>184</v>
      </c>
      <c r="AK24" s="1" t="s">
        <v>183</v>
      </c>
    </row>
    <row r="25" spans="1:37" x14ac:dyDescent="0.3">
      <c r="A25" s="94">
        <f t="shared" si="0"/>
        <v>13</v>
      </c>
      <c r="B25" s="39" t="str">
        <f t="shared" si="1"/>
        <v>SPS LYON RD AUBIN GROVE</v>
      </c>
      <c r="C25" s="4" t="s">
        <v>1373</v>
      </c>
      <c r="D25" s="4" t="s">
        <v>1374</v>
      </c>
      <c r="E25" s="4" t="s">
        <v>1106</v>
      </c>
      <c r="F25" s="4" t="s">
        <v>1375</v>
      </c>
      <c r="G25" s="4" t="s">
        <v>1376</v>
      </c>
      <c r="H25" s="4" t="s">
        <v>1377</v>
      </c>
      <c r="I25" s="4" t="s">
        <v>2798</v>
      </c>
      <c r="J25" s="4"/>
      <c r="K25" s="4"/>
      <c r="L25" s="4" t="s">
        <v>1378</v>
      </c>
      <c r="M25" s="4" t="s">
        <v>1379</v>
      </c>
      <c r="N25" s="4" t="s">
        <v>1380</v>
      </c>
      <c r="O25" s="4">
        <v>2006</v>
      </c>
      <c r="P25" s="4" t="s">
        <v>1381</v>
      </c>
      <c r="Q25" s="4" t="s">
        <v>631</v>
      </c>
      <c r="R25" s="4" t="s">
        <v>1382</v>
      </c>
      <c r="S25" s="4" t="s">
        <v>571</v>
      </c>
      <c r="T25" s="4" t="s">
        <v>1383</v>
      </c>
      <c r="U25" s="4" t="s">
        <v>566</v>
      </c>
      <c r="V25" s="4">
        <v>22</v>
      </c>
      <c r="W25" s="4">
        <v>415</v>
      </c>
      <c r="X25" s="4" t="s">
        <v>222</v>
      </c>
      <c r="Y25" s="4" t="s">
        <v>222</v>
      </c>
      <c r="Z25" s="4" t="s">
        <v>222</v>
      </c>
      <c r="AA25" s="4" t="s">
        <v>222</v>
      </c>
      <c r="AB25" s="4" t="s">
        <v>222</v>
      </c>
      <c r="AC25" s="4" t="s">
        <v>1384</v>
      </c>
      <c r="AD25" s="4" t="s">
        <v>938</v>
      </c>
      <c r="AE25" s="4" t="s">
        <v>183</v>
      </c>
      <c r="AF25" s="4" t="s">
        <v>839</v>
      </c>
      <c r="AG25" s="4"/>
      <c r="AH25" s="1" t="s">
        <v>183</v>
      </c>
      <c r="AI25" s="1" t="s">
        <v>2815</v>
      </c>
      <c r="AJ25" s="1" t="s">
        <v>183</v>
      </c>
      <c r="AK25" s="1" t="s">
        <v>184</v>
      </c>
    </row>
    <row r="26" spans="1:37" x14ac:dyDescent="0.3">
      <c r="A26" s="94">
        <f t="shared" si="0"/>
        <v>25</v>
      </c>
      <c r="B26" s="39" t="str">
        <f t="shared" si="1"/>
        <v>SPS BENNETT AV HAMILTON HILL</v>
      </c>
      <c r="C26" s="4" t="s">
        <v>1485</v>
      </c>
      <c r="D26" s="4" t="s">
        <v>1486</v>
      </c>
      <c r="E26" s="4" t="s">
        <v>1106</v>
      </c>
      <c r="F26" s="4" t="s">
        <v>1487</v>
      </c>
      <c r="G26" s="4" t="s">
        <v>1488</v>
      </c>
      <c r="H26" s="4" t="s">
        <v>357</v>
      </c>
      <c r="I26" s="4" t="s">
        <v>2810</v>
      </c>
      <c r="J26" s="4"/>
      <c r="K26" s="4"/>
      <c r="L26" s="4" t="s">
        <v>1489</v>
      </c>
      <c r="M26" s="4" t="s">
        <v>1490</v>
      </c>
      <c r="N26" s="4" t="s">
        <v>238</v>
      </c>
      <c r="O26" s="4">
        <v>1999</v>
      </c>
      <c r="P26" s="4" t="s">
        <v>1491</v>
      </c>
      <c r="Q26" s="4" t="s">
        <v>612</v>
      </c>
      <c r="R26" s="4" t="s">
        <v>1492</v>
      </c>
      <c r="S26" s="4" t="s">
        <v>571</v>
      </c>
      <c r="T26" s="4" t="s">
        <v>1493</v>
      </c>
      <c r="U26" s="4">
        <v>100</v>
      </c>
      <c r="V26" s="4">
        <v>22</v>
      </c>
      <c r="W26" s="4">
        <v>440</v>
      </c>
      <c r="X26" s="4" t="s">
        <v>222</v>
      </c>
      <c r="Y26" s="4" t="s">
        <v>222</v>
      </c>
      <c r="Z26" s="4" t="s">
        <v>222</v>
      </c>
      <c r="AA26" s="4" t="s">
        <v>222</v>
      </c>
      <c r="AB26" s="4" t="s">
        <v>222</v>
      </c>
      <c r="AC26" s="4" t="s">
        <v>1494</v>
      </c>
      <c r="AD26" s="4" t="s">
        <v>938</v>
      </c>
      <c r="AE26" s="4" t="s">
        <v>184</v>
      </c>
      <c r="AF26" s="4" t="s">
        <v>849</v>
      </c>
      <c r="AG26" s="4"/>
      <c r="AH26" s="1" t="s">
        <v>183</v>
      </c>
      <c r="AI26" s="1" t="s">
        <v>2816</v>
      </c>
      <c r="AJ26" s="1" t="s">
        <v>184</v>
      </c>
      <c r="AK26" s="1" t="s">
        <v>183</v>
      </c>
    </row>
    <row r="27" spans="1:37" x14ac:dyDescent="0.3">
      <c r="A27" s="94">
        <f t="shared" si="0"/>
        <v>14</v>
      </c>
      <c r="B27" s="39" t="str">
        <f t="shared" si="1"/>
        <v>SPS TROODE ST SPEARWOOD</v>
      </c>
      <c r="C27" s="4" t="s">
        <v>1277</v>
      </c>
      <c r="D27" s="4" t="s">
        <v>1278</v>
      </c>
      <c r="E27" s="4" t="s">
        <v>1106</v>
      </c>
      <c r="F27" s="4" t="s">
        <v>1279</v>
      </c>
      <c r="G27" s="4" t="s">
        <v>1280</v>
      </c>
      <c r="H27" s="4" t="s">
        <v>357</v>
      </c>
      <c r="I27" s="4" t="s">
        <v>2788</v>
      </c>
      <c r="J27" s="4"/>
      <c r="K27" s="4"/>
      <c r="L27" s="4" t="s">
        <v>1281</v>
      </c>
      <c r="M27" s="4" t="s">
        <v>1282</v>
      </c>
      <c r="N27" s="4" t="s">
        <v>1283</v>
      </c>
      <c r="O27" s="4">
        <v>1986</v>
      </c>
      <c r="P27" s="4" t="s">
        <v>1284</v>
      </c>
      <c r="Q27" s="4" t="s">
        <v>222</v>
      </c>
      <c r="R27" s="4" t="s">
        <v>1285</v>
      </c>
      <c r="S27" s="4" t="s">
        <v>571</v>
      </c>
      <c r="T27" s="4" t="s">
        <v>1286</v>
      </c>
      <c r="U27" s="4" t="s">
        <v>566</v>
      </c>
      <c r="V27" s="4" t="s">
        <v>222</v>
      </c>
      <c r="W27" s="4">
        <v>440</v>
      </c>
      <c r="X27" s="4" t="s">
        <v>222</v>
      </c>
      <c r="Y27" s="4" t="s">
        <v>222</v>
      </c>
      <c r="Z27" s="4" t="s">
        <v>222</v>
      </c>
      <c r="AA27" s="4" t="s">
        <v>222</v>
      </c>
      <c r="AB27" s="4" t="s">
        <v>222</v>
      </c>
      <c r="AC27" s="4" t="s">
        <v>1287</v>
      </c>
      <c r="AD27" s="4" t="s">
        <v>938</v>
      </c>
      <c r="AE27" s="4" t="s">
        <v>183</v>
      </c>
      <c r="AF27" s="4" t="s">
        <v>836</v>
      </c>
      <c r="AG27" s="4"/>
      <c r="AH27" s="1" t="s">
        <v>183</v>
      </c>
      <c r="AI27" s="1" t="s">
        <v>2816</v>
      </c>
      <c r="AJ27" s="1" t="s">
        <v>183</v>
      </c>
      <c r="AK27" s="1" t="s">
        <v>183</v>
      </c>
    </row>
    <row r="28" spans="1:37" x14ac:dyDescent="0.3">
      <c r="A28" s="94">
        <f t="shared" si="0"/>
        <v>27</v>
      </c>
      <c r="B28" s="39" t="str">
        <f t="shared" si="1"/>
        <v>SPS LE SOUEF DR KARDINYA</v>
      </c>
      <c r="C28" s="4" t="s">
        <v>112</v>
      </c>
      <c r="D28" s="4" t="s">
        <v>113</v>
      </c>
      <c r="E28" s="4" t="s">
        <v>858</v>
      </c>
      <c r="F28" s="4" t="s">
        <v>355</v>
      </c>
      <c r="G28" s="4" t="s">
        <v>356</v>
      </c>
      <c r="H28" s="4" t="s">
        <v>357</v>
      </c>
      <c r="I28" s="4" t="s">
        <v>878</v>
      </c>
      <c r="J28" s="4" t="s">
        <v>560</v>
      </c>
      <c r="K28" s="4" t="s">
        <v>653</v>
      </c>
      <c r="L28" s="4" t="s">
        <v>358</v>
      </c>
      <c r="M28" s="4" t="s">
        <v>359</v>
      </c>
      <c r="N28" s="4" t="s">
        <v>360</v>
      </c>
      <c r="O28" s="4" t="s">
        <v>222</v>
      </c>
      <c r="P28" s="4" t="s">
        <v>868</v>
      </c>
      <c r="Q28" s="4" t="s">
        <v>222</v>
      </c>
      <c r="R28" s="4" t="s">
        <v>222</v>
      </c>
      <c r="S28" s="4" t="s">
        <v>222</v>
      </c>
      <c r="T28" s="4" t="s">
        <v>222</v>
      </c>
      <c r="U28" s="4" t="s">
        <v>222</v>
      </c>
      <c r="V28" s="4" t="s">
        <v>222</v>
      </c>
      <c r="W28" s="4" t="s">
        <v>222</v>
      </c>
      <c r="X28" s="4" t="s">
        <v>222</v>
      </c>
      <c r="Y28" s="4" t="s">
        <v>222</v>
      </c>
      <c r="Z28" s="4" t="s">
        <v>222</v>
      </c>
      <c r="AA28" s="4" t="s">
        <v>222</v>
      </c>
      <c r="AB28" s="4" t="s">
        <v>222</v>
      </c>
      <c r="AC28" s="4" t="s">
        <v>786</v>
      </c>
      <c r="AD28" s="4"/>
      <c r="AE28" s="4" t="s">
        <v>183</v>
      </c>
      <c r="AF28" s="4" t="s">
        <v>844</v>
      </c>
      <c r="AG28" s="4"/>
      <c r="AH28" s="1" t="s">
        <v>183</v>
      </c>
      <c r="AI28" s="1" t="s">
        <v>2815</v>
      </c>
      <c r="AJ28" s="1" t="s">
        <v>184</v>
      </c>
      <c r="AK28" s="1" t="s">
        <v>184</v>
      </c>
    </row>
    <row r="29" spans="1:37" x14ac:dyDescent="0.3">
      <c r="A29" s="94">
        <f t="shared" si="0"/>
        <v>28</v>
      </c>
      <c r="B29" s="39" t="str">
        <f t="shared" si="1"/>
        <v>SPS FARRINGTON RD NORTH LAKE</v>
      </c>
      <c r="C29" s="4" t="s">
        <v>1915</v>
      </c>
      <c r="D29" s="4" t="s">
        <v>1916</v>
      </c>
      <c r="E29" s="4" t="s">
        <v>1497</v>
      </c>
      <c r="F29" s="4" t="s">
        <v>1917</v>
      </c>
      <c r="G29" s="4" t="s">
        <v>356</v>
      </c>
      <c r="H29" s="4" t="s">
        <v>357</v>
      </c>
      <c r="I29" s="4" t="s">
        <v>2955</v>
      </c>
      <c r="J29" s="4"/>
      <c r="K29" s="4"/>
      <c r="L29" s="4" t="s">
        <v>1918</v>
      </c>
      <c r="M29" s="4" t="s">
        <v>1919</v>
      </c>
      <c r="N29" s="4" t="s">
        <v>351</v>
      </c>
      <c r="O29" s="4">
        <v>1975</v>
      </c>
      <c r="P29" s="4"/>
      <c r="Q29" s="4" t="s">
        <v>222</v>
      </c>
      <c r="R29" s="4" t="s">
        <v>1920</v>
      </c>
      <c r="S29" s="4" t="s">
        <v>222</v>
      </c>
      <c r="T29" s="4" t="s">
        <v>1921</v>
      </c>
      <c r="U29" s="4" t="s">
        <v>566</v>
      </c>
      <c r="V29" s="4" t="s">
        <v>222</v>
      </c>
      <c r="W29" s="4" t="s">
        <v>222</v>
      </c>
      <c r="X29" s="4" t="s">
        <v>222</v>
      </c>
      <c r="Y29" s="4" t="s">
        <v>222</v>
      </c>
      <c r="Z29" s="4" t="s">
        <v>222</v>
      </c>
      <c r="AA29" s="4" t="s">
        <v>222</v>
      </c>
      <c r="AB29" s="4" t="s">
        <v>222</v>
      </c>
      <c r="AC29" s="4" t="s">
        <v>1922</v>
      </c>
      <c r="AD29" s="4" t="s">
        <v>938</v>
      </c>
      <c r="AE29" s="4" t="s">
        <v>183</v>
      </c>
      <c r="AF29" s="4" t="s">
        <v>844</v>
      </c>
      <c r="AG29" s="4"/>
      <c r="AH29" s="1" t="s">
        <v>183</v>
      </c>
      <c r="AI29" s="1" t="s">
        <v>2816</v>
      </c>
      <c r="AJ29" s="1" t="s">
        <v>184</v>
      </c>
      <c r="AK29" s="1" t="s">
        <v>183</v>
      </c>
    </row>
    <row r="30" spans="1:37" x14ac:dyDescent="0.3">
      <c r="A30" s="94">
        <f t="shared" si="0"/>
        <v>29</v>
      </c>
      <c r="B30" s="39" t="str">
        <f t="shared" si="1"/>
        <v>SPS GLENISTER RD HAMILTON HILL</v>
      </c>
      <c r="C30" s="4" t="s">
        <v>1991</v>
      </c>
      <c r="D30" s="4" t="s">
        <v>1992</v>
      </c>
      <c r="E30" s="4" t="s">
        <v>1497</v>
      </c>
      <c r="F30" s="4" t="s">
        <v>1993</v>
      </c>
      <c r="G30" s="4" t="s">
        <v>1994</v>
      </c>
      <c r="H30" s="4" t="s">
        <v>357</v>
      </c>
      <c r="I30" s="4" t="s">
        <v>2964</v>
      </c>
      <c r="J30" s="4"/>
      <c r="K30" s="4"/>
      <c r="L30" s="4" t="s">
        <v>1995</v>
      </c>
      <c r="M30" s="4" t="s">
        <v>1996</v>
      </c>
      <c r="N30" s="4" t="s">
        <v>1997</v>
      </c>
      <c r="O30" s="4">
        <v>2001</v>
      </c>
      <c r="P30" s="4"/>
      <c r="Q30" s="4" t="s">
        <v>631</v>
      </c>
      <c r="R30" s="4" t="s">
        <v>1998</v>
      </c>
      <c r="S30" s="4" t="s">
        <v>571</v>
      </c>
      <c r="T30" s="4" t="s">
        <v>1999</v>
      </c>
      <c r="U30" s="4" t="s">
        <v>566</v>
      </c>
      <c r="V30" s="4" t="s">
        <v>222</v>
      </c>
      <c r="W30" s="4">
        <v>415</v>
      </c>
      <c r="X30" s="4" t="s">
        <v>222</v>
      </c>
      <c r="Y30" s="4" t="s">
        <v>222</v>
      </c>
      <c r="Z30" s="4" t="s">
        <v>222</v>
      </c>
      <c r="AA30" s="4" t="s">
        <v>222</v>
      </c>
      <c r="AB30" s="4" t="s">
        <v>222</v>
      </c>
      <c r="AC30" s="4" t="s">
        <v>2000</v>
      </c>
      <c r="AD30" s="4" t="s">
        <v>938</v>
      </c>
      <c r="AE30" s="4" t="s">
        <v>183</v>
      </c>
      <c r="AF30" s="4" t="s">
        <v>836</v>
      </c>
      <c r="AG30" s="4"/>
      <c r="AH30" s="1" t="s">
        <v>183</v>
      </c>
      <c r="AI30" s="1" t="s">
        <v>2816</v>
      </c>
      <c r="AJ30" s="1" t="s">
        <v>183</v>
      </c>
      <c r="AK30" s="1" t="s">
        <v>183</v>
      </c>
    </row>
    <row r="31" spans="1:37" x14ac:dyDescent="0.3">
      <c r="A31" s="94">
        <f t="shared" si="0"/>
        <v>30</v>
      </c>
      <c r="B31" s="39" t="str">
        <f t="shared" si="1"/>
        <v>SPS BEACH ST FREMANTLE</v>
      </c>
      <c r="C31" s="4" t="s">
        <v>166</v>
      </c>
      <c r="D31" s="4" t="s">
        <v>167</v>
      </c>
      <c r="E31" s="4" t="s">
        <v>858</v>
      </c>
      <c r="F31" s="4" t="s">
        <v>482</v>
      </c>
      <c r="G31" s="4" t="s">
        <v>483</v>
      </c>
      <c r="H31" s="4" t="s">
        <v>484</v>
      </c>
      <c r="I31" s="4" t="s">
        <v>915</v>
      </c>
      <c r="J31" s="4" t="s">
        <v>560</v>
      </c>
      <c r="K31" s="4" t="s">
        <v>736</v>
      </c>
      <c r="L31" s="4" t="s">
        <v>485</v>
      </c>
      <c r="M31" s="4" t="s">
        <v>486</v>
      </c>
      <c r="N31" s="4" t="s">
        <v>487</v>
      </c>
      <c r="O31" s="4">
        <v>1916</v>
      </c>
      <c r="P31" s="4" t="s">
        <v>916</v>
      </c>
      <c r="Q31" s="4" t="s">
        <v>222</v>
      </c>
      <c r="R31" s="4" t="s">
        <v>737</v>
      </c>
      <c r="S31" s="4" t="s">
        <v>222</v>
      </c>
      <c r="T31" s="4" t="s">
        <v>738</v>
      </c>
      <c r="U31" s="4" t="s">
        <v>566</v>
      </c>
      <c r="V31" s="4" t="s">
        <v>222</v>
      </c>
      <c r="W31" s="4" t="s">
        <v>222</v>
      </c>
      <c r="X31" s="4" t="s">
        <v>222</v>
      </c>
      <c r="Y31" s="4" t="s">
        <v>222</v>
      </c>
      <c r="Z31" s="4" t="s">
        <v>222</v>
      </c>
      <c r="AA31" s="4" t="s">
        <v>222</v>
      </c>
      <c r="AB31" s="4" t="s">
        <v>222</v>
      </c>
      <c r="AC31" s="4" t="s">
        <v>813</v>
      </c>
      <c r="AD31" s="4"/>
      <c r="AE31" s="4" t="s">
        <v>183</v>
      </c>
      <c r="AF31" s="4" t="s">
        <v>836</v>
      </c>
      <c r="AG31" s="4"/>
      <c r="AH31" s="1" t="s">
        <v>184</v>
      </c>
      <c r="AI31" s="1" t="s">
        <v>2815</v>
      </c>
      <c r="AJ31" s="1" t="s">
        <v>183</v>
      </c>
      <c r="AK31" s="1" t="s">
        <v>184</v>
      </c>
    </row>
    <row r="32" spans="1:37" x14ac:dyDescent="0.3">
      <c r="A32" s="94">
        <f t="shared" si="0"/>
        <v>31</v>
      </c>
      <c r="B32" s="39" t="str">
        <f t="shared" si="1"/>
        <v>SPS ESSEX ST FREMANTLE</v>
      </c>
      <c r="C32" s="4" t="s">
        <v>1315</v>
      </c>
      <c r="D32" s="4" t="s">
        <v>1316</v>
      </c>
      <c r="E32" s="4" t="s">
        <v>1106</v>
      </c>
      <c r="F32" s="4" t="s">
        <v>1317</v>
      </c>
      <c r="G32" s="4" t="s">
        <v>483</v>
      </c>
      <c r="H32" s="4" t="s">
        <v>484</v>
      </c>
      <c r="I32" s="4" t="s">
        <v>2792</v>
      </c>
      <c r="J32" s="4"/>
      <c r="K32" s="4"/>
      <c r="L32" s="4" t="s">
        <v>1318</v>
      </c>
      <c r="M32" s="4" t="s">
        <v>1319</v>
      </c>
      <c r="N32" s="4" t="s">
        <v>1320</v>
      </c>
      <c r="O32" s="4">
        <v>1979</v>
      </c>
      <c r="P32" s="4" t="s">
        <v>222</v>
      </c>
      <c r="Q32" s="4" t="s">
        <v>222</v>
      </c>
      <c r="R32" s="4" t="s">
        <v>1321</v>
      </c>
      <c r="S32" s="4" t="s">
        <v>222</v>
      </c>
      <c r="T32" s="4" t="s">
        <v>1322</v>
      </c>
      <c r="U32" s="4" t="s">
        <v>566</v>
      </c>
      <c r="V32" s="4" t="s">
        <v>222</v>
      </c>
      <c r="W32" s="4" t="s">
        <v>222</v>
      </c>
      <c r="X32" s="4" t="s">
        <v>222</v>
      </c>
      <c r="Y32" s="4" t="s">
        <v>222</v>
      </c>
      <c r="Z32" s="4" t="s">
        <v>222</v>
      </c>
      <c r="AA32" s="4" t="s">
        <v>222</v>
      </c>
      <c r="AB32" s="4" t="s">
        <v>222</v>
      </c>
      <c r="AC32" s="4" t="s">
        <v>1323</v>
      </c>
      <c r="AD32" s="4" t="s">
        <v>938</v>
      </c>
      <c r="AE32" s="4" t="s">
        <v>183</v>
      </c>
      <c r="AF32" s="4" t="s">
        <v>849</v>
      </c>
      <c r="AG32" s="4"/>
      <c r="AH32" s="1" t="s">
        <v>183</v>
      </c>
      <c r="AI32" s="1" t="s">
        <v>2815</v>
      </c>
      <c r="AJ32" s="1" t="s">
        <v>184</v>
      </c>
      <c r="AK32" s="1" t="s">
        <v>184</v>
      </c>
    </row>
    <row r="33" spans="1:37" x14ac:dyDescent="0.3">
      <c r="A33" s="94">
        <f t="shared" si="0"/>
        <v>32</v>
      </c>
      <c r="B33" s="39" t="str">
        <f t="shared" si="1"/>
        <v>SPS MARKET ST FREMANTLE</v>
      </c>
      <c r="C33" s="4" t="s">
        <v>2276</v>
      </c>
      <c r="D33" s="4" t="s">
        <v>2277</v>
      </c>
      <c r="E33" s="4" t="s">
        <v>1497</v>
      </c>
      <c r="F33" s="4" t="s">
        <v>2278</v>
      </c>
      <c r="G33" s="4" t="s">
        <v>483</v>
      </c>
      <c r="H33" s="4" t="s">
        <v>484</v>
      </c>
      <c r="I33" s="4" t="s">
        <v>2997</v>
      </c>
      <c r="J33" s="4"/>
      <c r="K33" s="4"/>
      <c r="L33" s="4" t="s">
        <v>2279</v>
      </c>
      <c r="M33" s="4" t="s">
        <v>2280</v>
      </c>
      <c r="N33" s="4" t="s">
        <v>2281</v>
      </c>
      <c r="O33" s="4">
        <v>1913</v>
      </c>
      <c r="P33" s="4"/>
      <c r="Q33" s="4" t="s">
        <v>222</v>
      </c>
      <c r="R33" s="4" t="s">
        <v>2282</v>
      </c>
      <c r="S33" s="4" t="s">
        <v>222</v>
      </c>
      <c r="T33" s="4" t="s">
        <v>2283</v>
      </c>
      <c r="U33" s="4" t="s">
        <v>566</v>
      </c>
      <c r="V33" s="4" t="s">
        <v>222</v>
      </c>
      <c r="W33" s="4" t="s">
        <v>222</v>
      </c>
      <c r="X33" s="4" t="s">
        <v>222</v>
      </c>
      <c r="Y33" s="4" t="s">
        <v>222</v>
      </c>
      <c r="Z33" s="4" t="s">
        <v>222</v>
      </c>
      <c r="AA33" s="4" t="s">
        <v>222</v>
      </c>
      <c r="AB33" s="4" t="s">
        <v>222</v>
      </c>
      <c r="AC33" s="4" t="s">
        <v>2284</v>
      </c>
      <c r="AD33" s="4" t="s">
        <v>938</v>
      </c>
      <c r="AE33" s="4" t="s">
        <v>183</v>
      </c>
      <c r="AF33" s="4" t="s">
        <v>836</v>
      </c>
      <c r="AG33" s="4"/>
      <c r="AH33" s="1" t="s">
        <v>184</v>
      </c>
      <c r="AI33" s="1" t="s">
        <v>2815</v>
      </c>
      <c r="AJ33" s="1" t="s">
        <v>183</v>
      </c>
      <c r="AK33" s="1" t="s">
        <v>184</v>
      </c>
    </row>
    <row r="34" spans="1:37" x14ac:dyDescent="0.3">
      <c r="A34" s="94">
        <f t="shared" si="0"/>
        <v>33</v>
      </c>
      <c r="B34" s="39" t="str">
        <f t="shared" si="1"/>
        <v>SPS BRUCE ST NORTH FREMANTLE</v>
      </c>
      <c r="C34" s="4" t="s">
        <v>1652</v>
      </c>
      <c r="D34" s="4" t="s">
        <v>1653</v>
      </c>
      <c r="E34" s="4" t="s">
        <v>1497</v>
      </c>
      <c r="F34" s="4" t="s">
        <v>1654</v>
      </c>
      <c r="G34" s="4" t="s">
        <v>1655</v>
      </c>
      <c r="H34" s="4" t="s">
        <v>1656</v>
      </c>
      <c r="I34" s="4" t="s">
        <v>2925</v>
      </c>
      <c r="J34" s="4"/>
      <c r="K34" s="4"/>
      <c r="L34" s="4" t="s">
        <v>1657</v>
      </c>
      <c r="M34" s="4" t="s">
        <v>1658</v>
      </c>
      <c r="N34" s="4" t="s">
        <v>474</v>
      </c>
      <c r="O34" s="4">
        <v>1996</v>
      </c>
      <c r="P34" s="4"/>
      <c r="Q34" s="4" t="s">
        <v>631</v>
      </c>
      <c r="R34" s="4" t="s">
        <v>1659</v>
      </c>
      <c r="S34" s="4" t="s">
        <v>571</v>
      </c>
      <c r="T34" s="4" t="s">
        <v>1660</v>
      </c>
      <c r="U34" s="4" t="s">
        <v>566</v>
      </c>
      <c r="V34" s="4" t="s">
        <v>222</v>
      </c>
      <c r="W34" s="4">
        <v>415</v>
      </c>
      <c r="X34" s="4" t="s">
        <v>222</v>
      </c>
      <c r="Y34" s="4" t="s">
        <v>222</v>
      </c>
      <c r="Z34" s="4" t="s">
        <v>222</v>
      </c>
      <c r="AA34" s="4" t="s">
        <v>222</v>
      </c>
      <c r="AB34" s="4" t="s">
        <v>222</v>
      </c>
      <c r="AC34" s="4" t="s">
        <v>1661</v>
      </c>
      <c r="AD34" s="4" t="s">
        <v>938</v>
      </c>
      <c r="AE34" s="4" t="s">
        <v>183</v>
      </c>
      <c r="AF34" s="4" t="s">
        <v>849</v>
      </c>
      <c r="AG34" s="4"/>
      <c r="AH34" s="1" t="s">
        <v>184</v>
      </c>
      <c r="AI34" s="1" t="s">
        <v>2815</v>
      </c>
      <c r="AJ34" s="1" t="s">
        <v>184</v>
      </c>
      <c r="AK34" s="1" t="s">
        <v>184</v>
      </c>
    </row>
    <row r="35" spans="1:37" x14ac:dyDescent="0.3">
      <c r="A35" s="94">
        <f t="shared" si="0"/>
        <v>34</v>
      </c>
      <c r="B35" s="39" t="str">
        <f t="shared" si="1"/>
        <v>SPS TYDEMAN RD NORTH FREMANTLE</v>
      </c>
      <c r="C35" s="4" t="s">
        <v>2646</v>
      </c>
      <c r="D35" s="4" t="s">
        <v>2647</v>
      </c>
      <c r="E35" s="4" t="s">
        <v>1497</v>
      </c>
      <c r="F35" s="4" t="s">
        <v>2648</v>
      </c>
      <c r="G35" s="4" t="s">
        <v>1655</v>
      </c>
      <c r="H35" s="4" t="s">
        <v>1656</v>
      </c>
      <c r="I35" s="4" t="s">
        <v>3042</v>
      </c>
      <c r="J35" s="4"/>
      <c r="K35" s="4"/>
      <c r="L35" s="4" t="s">
        <v>2649</v>
      </c>
      <c r="M35" s="4" t="s">
        <v>2650</v>
      </c>
      <c r="N35" s="4" t="s">
        <v>2651</v>
      </c>
      <c r="O35" s="4">
        <v>2000</v>
      </c>
      <c r="P35" s="4"/>
      <c r="Q35" s="4" t="s">
        <v>631</v>
      </c>
      <c r="R35" s="4" t="s">
        <v>2652</v>
      </c>
      <c r="S35" s="4" t="s">
        <v>571</v>
      </c>
      <c r="T35" s="4" t="s">
        <v>2653</v>
      </c>
      <c r="U35" s="4" t="s">
        <v>566</v>
      </c>
      <c r="V35" s="4" t="s">
        <v>222</v>
      </c>
      <c r="W35" s="4">
        <v>415</v>
      </c>
      <c r="X35" s="4" t="s">
        <v>222</v>
      </c>
      <c r="Y35" s="4" t="s">
        <v>222</v>
      </c>
      <c r="Z35" s="4" t="s">
        <v>222</v>
      </c>
      <c r="AA35" s="4" t="s">
        <v>222</v>
      </c>
      <c r="AB35" s="4" t="s">
        <v>222</v>
      </c>
      <c r="AC35" s="4" t="s">
        <v>2654</v>
      </c>
      <c r="AD35" s="4" t="s">
        <v>938</v>
      </c>
      <c r="AE35" s="4" t="s">
        <v>183</v>
      </c>
      <c r="AF35" s="4" t="s">
        <v>844</v>
      </c>
      <c r="AG35" s="4"/>
      <c r="AH35" s="1" t="s">
        <v>183</v>
      </c>
      <c r="AI35" s="1" t="s">
        <v>2815</v>
      </c>
      <c r="AJ35" s="1" t="s">
        <v>183</v>
      </c>
      <c r="AK35" s="1" t="s">
        <v>184</v>
      </c>
    </row>
    <row r="36" spans="1:37" x14ac:dyDescent="0.3">
      <c r="A36" s="94">
        <f t="shared" si="0"/>
        <v>35</v>
      </c>
      <c r="B36" s="39" t="str">
        <f t="shared" si="1"/>
        <v>SPS PRESTON POINT RD EAST FREMANTLE</v>
      </c>
      <c r="C36" s="4" t="s">
        <v>176</v>
      </c>
      <c r="D36" s="4" t="s">
        <v>177</v>
      </c>
      <c r="E36" s="4" t="s">
        <v>858</v>
      </c>
      <c r="F36" s="4" t="s">
        <v>505</v>
      </c>
      <c r="G36" s="4" t="s">
        <v>506</v>
      </c>
      <c r="H36" s="4" t="s">
        <v>507</v>
      </c>
      <c r="I36" s="4" t="s">
        <v>924</v>
      </c>
      <c r="J36" s="4" t="s">
        <v>560</v>
      </c>
      <c r="K36" s="4" t="s">
        <v>750</v>
      </c>
      <c r="L36" s="4" t="s">
        <v>508</v>
      </c>
      <c r="M36" s="4" t="s">
        <v>509</v>
      </c>
      <c r="N36" s="4" t="s">
        <v>510</v>
      </c>
      <c r="O36" s="4">
        <v>1959</v>
      </c>
      <c r="P36" s="4" t="s">
        <v>881</v>
      </c>
      <c r="Q36" s="4" t="s">
        <v>222</v>
      </c>
      <c r="R36" s="4" t="s">
        <v>751</v>
      </c>
      <c r="S36" s="4" t="s">
        <v>222</v>
      </c>
      <c r="T36" s="4" t="s">
        <v>752</v>
      </c>
      <c r="U36" s="4" t="s">
        <v>566</v>
      </c>
      <c r="V36" s="4" t="s">
        <v>222</v>
      </c>
      <c r="W36" s="4" t="s">
        <v>222</v>
      </c>
      <c r="X36" s="4" t="s">
        <v>222</v>
      </c>
      <c r="Y36" s="4" t="s">
        <v>222</v>
      </c>
      <c r="Z36" s="4" t="s">
        <v>222</v>
      </c>
      <c r="AA36" s="4" t="s">
        <v>222</v>
      </c>
      <c r="AB36" s="4" t="s">
        <v>222</v>
      </c>
      <c r="AC36" s="4" t="s">
        <v>818</v>
      </c>
      <c r="AD36" s="4"/>
      <c r="AE36" s="4" t="s">
        <v>183</v>
      </c>
      <c r="AF36" s="4" t="s">
        <v>849</v>
      </c>
      <c r="AG36" s="4"/>
      <c r="AH36" s="1" t="s">
        <v>184</v>
      </c>
      <c r="AI36" s="1" t="s">
        <v>2815</v>
      </c>
      <c r="AJ36" s="1" t="s">
        <v>183</v>
      </c>
      <c r="AK36" s="1" t="s">
        <v>184</v>
      </c>
    </row>
    <row r="37" spans="1:37" x14ac:dyDescent="0.3">
      <c r="A37" s="94">
        <f t="shared" si="0"/>
        <v>36</v>
      </c>
      <c r="B37" s="39" t="str">
        <f t="shared" si="1"/>
        <v>SPS RIVERSIDE RD EAST FREMANTLE</v>
      </c>
      <c r="C37" s="4" t="s">
        <v>2473</v>
      </c>
      <c r="D37" s="4" t="s">
        <v>2474</v>
      </c>
      <c r="E37" s="4" t="s">
        <v>1497</v>
      </c>
      <c r="F37" s="4" t="s">
        <v>2475</v>
      </c>
      <c r="G37" s="4" t="s">
        <v>506</v>
      </c>
      <c r="H37" s="4" t="s">
        <v>507</v>
      </c>
      <c r="I37" s="4" t="s">
        <v>3022</v>
      </c>
      <c r="J37" s="4"/>
      <c r="K37" s="4"/>
      <c r="L37" s="4" t="s">
        <v>2476</v>
      </c>
      <c r="M37" s="4" t="s">
        <v>2477</v>
      </c>
      <c r="N37" s="4" t="s">
        <v>456</v>
      </c>
      <c r="O37" s="4">
        <v>1972</v>
      </c>
      <c r="P37" s="4"/>
      <c r="Q37" s="4" t="s">
        <v>222</v>
      </c>
      <c r="R37" s="4" t="s">
        <v>2478</v>
      </c>
      <c r="S37" s="4" t="s">
        <v>571</v>
      </c>
      <c r="T37" s="4" t="s">
        <v>2479</v>
      </c>
      <c r="U37" s="4" t="s">
        <v>566</v>
      </c>
      <c r="V37" s="4" t="s">
        <v>222</v>
      </c>
      <c r="W37" s="4" t="s">
        <v>222</v>
      </c>
      <c r="X37" s="4" t="s">
        <v>222</v>
      </c>
      <c r="Y37" s="4" t="s">
        <v>222</v>
      </c>
      <c r="Z37" s="4" t="s">
        <v>222</v>
      </c>
      <c r="AA37" s="4" t="s">
        <v>222</v>
      </c>
      <c r="AB37" s="4" t="s">
        <v>222</v>
      </c>
      <c r="AC37" s="4" t="s">
        <v>2480</v>
      </c>
      <c r="AD37" s="4" t="s">
        <v>938</v>
      </c>
      <c r="AE37" s="4" t="s">
        <v>183</v>
      </c>
      <c r="AF37" s="4" t="s">
        <v>836</v>
      </c>
      <c r="AG37" s="4"/>
      <c r="AH37" s="1" t="s">
        <v>183</v>
      </c>
      <c r="AI37" s="1" t="s">
        <v>2818</v>
      </c>
      <c r="AJ37" s="1" t="s">
        <v>183</v>
      </c>
      <c r="AK37" s="1" t="s">
        <v>183</v>
      </c>
    </row>
    <row r="38" spans="1:37" x14ac:dyDescent="0.3">
      <c r="A38" s="94">
        <f t="shared" si="0"/>
        <v>37</v>
      </c>
      <c r="B38" s="39" t="str">
        <f t="shared" si="1"/>
        <v>SPS BLACKWALL REACH PDE BICTON</v>
      </c>
      <c r="C38" s="4" t="s">
        <v>1608</v>
      </c>
      <c r="D38" s="4" t="s">
        <v>1609</v>
      </c>
      <c r="E38" s="4" t="s">
        <v>1497</v>
      </c>
      <c r="F38" s="4" t="s">
        <v>1610</v>
      </c>
      <c r="G38" s="4" t="s">
        <v>1611</v>
      </c>
      <c r="H38" s="4" t="s">
        <v>376</v>
      </c>
      <c r="I38" s="4" t="s">
        <v>2920</v>
      </c>
      <c r="J38" s="4"/>
      <c r="K38" s="4"/>
      <c r="L38" s="4" t="s">
        <v>1612</v>
      </c>
      <c r="M38" s="4" t="s">
        <v>1613</v>
      </c>
      <c r="N38" s="4" t="s">
        <v>976</v>
      </c>
      <c r="O38" s="4">
        <v>1967</v>
      </c>
      <c r="P38" s="4"/>
      <c r="Q38" s="4" t="s">
        <v>222</v>
      </c>
      <c r="R38" s="4" t="s">
        <v>1614</v>
      </c>
      <c r="S38" s="4" t="s">
        <v>571</v>
      </c>
      <c r="T38" s="4" t="s">
        <v>1615</v>
      </c>
      <c r="U38" s="4" t="s">
        <v>566</v>
      </c>
      <c r="V38" s="4" t="s">
        <v>222</v>
      </c>
      <c r="W38" s="4" t="s">
        <v>222</v>
      </c>
      <c r="X38" s="4" t="s">
        <v>222</v>
      </c>
      <c r="Y38" s="4" t="s">
        <v>222</v>
      </c>
      <c r="Z38" s="4" t="s">
        <v>222</v>
      </c>
      <c r="AA38" s="4" t="s">
        <v>222</v>
      </c>
      <c r="AB38" s="4" t="s">
        <v>222</v>
      </c>
      <c r="AC38" s="4" t="s">
        <v>1616</v>
      </c>
      <c r="AD38" s="4" t="s">
        <v>938</v>
      </c>
      <c r="AE38" s="4" t="s">
        <v>183</v>
      </c>
      <c r="AF38" s="4" t="s">
        <v>844</v>
      </c>
      <c r="AG38" s="4"/>
      <c r="AH38" s="1" t="s">
        <v>183</v>
      </c>
      <c r="AI38" s="1" t="s">
        <v>2815</v>
      </c>
      <c r="AJ38" s="1" t="s">
        <v>184</v>
      </c>
      <c r="AK38" s="1" t="s">
        <v>184</v>
      </c>
    </row>
    <row r="39" spans="1:37" x14ac:dyDescent="0.3">
      <c r="A39" s="94">
        <f t="shared" si="0"/>
        <v>38</v>
      </c>
      <c r="B39" s="39" t="str">
        <f t="shared" si="1"/>
        <v>SPS CREWE ST BICTON</v>
      </c>
      <c r="C39" s="4" t="s">
        <v>1795</v>
      </c>
      <c r="D39" s="4" t="s">
        <v>1796</v>
      </c>
      <c r="E39" s="4" t="s">
        <v>1497</v>
      </c>
      <c r="F39" s="4" t="s">
        <v>1797</v>
      </c>
      <c r="G39" s="4" t="s">
        <v>1611</v>
      </c>
      <c r="H39" s="4" t="s">
        <v>376</v>
      </c>
      <c r="I39" s="4" t="s">
        <v>2941</v>
      </c>
      <c r="J39" s="4"/>
      <c r="K39" s="4"/>
      <c r="L39" s="4" t="s">
        <v>1798</v>
      </c>
      <c r="M39" s="4" t="s">
        <v>1799</v>
      </c>
      <c r="N39" s="4" t="s">
        <v>976</v>
      </c>
      <c r="O39" s="4">
        <v>1967</v>
      </c>
      <c r="P39" s="4"/>
      <c r="Q39" s="4" t="s">
        <v>222</v>
      </c>
      <c r="R39" s="4" t="s">
        <v>1800</v>
      </c>
      <c r="S39" s="4" t="s">
        <v>571</v>
      </c>
      <c r="T39" s="4" t="s">
        <v>1801</v>
      </c>
      <c r="U39" s="4" t="s">
        <v>222</v>
      </c>
      <c r="V39" s="4" t="s">
        <v>222</v>
      </c>
      <c r="W39" s="4" t="s">
        <v>222</v>
      </c>
      <c r="X39" s="4">
        <v>440</v>
      </c>
      <c r="Y39" s="4" t="s">
        <v>222</v>
      </c>
      <c r="Z39" s="4" t="s">
        <v>222</v>
      </c>
      <c r="AA39" s="4" t="s">
        <v>222</v>
      </c>
      <c r="AB39" s="4" t="s">
        <v>222</v>
      </c>
      <c r="AC39" s="4" t="s">
        <v>1802</v>
      </c>
      <c r="AD39" s="4" t="s">
        <v>938</v>
      </c>
      <c r="AE39" s="4" t="s">
        <v>183</v>
      </c>
      <c r="AF39" s="4" t="s">
        <v>836</v>
      </c>
      <c r="AG39" s="4"/>
      <c r="AH39" s="1" t="s">
        <v>183</v>
      </c>
      <c r="AI39" s="1" t="s">
        <v>2816</v>
      </c>
      <c r="AJ39" s="1" t="s">
        <v>183</v>
      </c>
      <c r="AK39" s="1" t="s">
        <v>183</v>
      </c>
    </row>
    <row r="40" spans="1:37" x14ac:dyDescent="0.3">
      <c r="A40" s="94">
        <f t="shared" si="0"/>
        <v>39</v>
      </c>
      <c r="B40" s="39" t="str">
        <f t="shared" si="1"/>
        <v>SPS ADRIAN ST PALMYRA</v>
      </c>
      <c r="C40" s="4" t="s">
        <v>120</v>
      </c>
      <c r="D40" s="4" t="s">
        <v>121</v>
      </c>
      <c r="E40" s="4" t="s">
        <v>858</v>
      </c>
      <c r="F40" s="4" t="s">
        <v>374</v>
      </c>
      <c r="G40" s="4" t="s">
        <v>375</v>
      </c>
      <c r="H40" s="4" t="s">
        <v>376</v>
      </c>
      <c r="I40" s="4" t="s">
        <v>883</v>
      </c>
      <c r="J40" s="4" t="s">
        <v>560</v>
      </c>
      <c r="K40" s="4" t="s">
        <v>664</v>
      </c>
      <c r="L40" s="4" t="s">
        <v>377</v>
      </c>
      <c r="M40" s="4" t="s">
        <v>378</v>
      </c>
      <c r="N40" s="4" t="s">
        <v>379</v>
      </c>
      <c r="O40" s="4">
        <v>1964</v>
      </c>
      <c r="P40" s="4" t="s">
        <v>855</v>
      </c>
      <c r="Q40" s="4" t="s">
        <v>222</v>
      </c>
      <c r="R40" s="4" t="s">
        <v>665</v>
      </c>
      <c r="S40" s="4" t="s">
        <v>571</v>
      </c>
      <c r="T40" s="4" t="s">
        <v>666</v>
      </c>
      <c r="U40" s="4" t="s">
        <v>566</v>
      </c>
      <c r="V40" s="4" t="s">
        <v>222</v>
      </c>
      <c r="W40" s="4" t="s">
        <v>222</v>
      </c>
      <c r="X40" s="4" t="s">
        <v>222</v>
      </c>
      <c r="Y40" s="4" t="s">
        <v>222</v>
      </c>
      <c r="Z40" s="4" t="s">
        <v>222</v>
      </c>
      <c r="AA40" s="4" t="s">
        <v>222</v>
      </c>
      <c r="AB40" s="4" t="s">
        <v>222</v>
      </c>
      <c r="AC40" s="4" t="s">
        <v>790</v>
      </c>
      <c r="AD40" s="4"/>
      <c r="AE40" s="4" t="s">
        <v>183</v>
      </c>
      <c r="AF40" s="4" t="s">
        <v>836</v>
      </c>
      <c r="AG40" s="4"/>
      <c r="AH40" s="1" t="s">
        <v>183</v>
      </c>
      <c r="AI40" s="1" t="s">
        <v>2816</v>
      </c>
      <c r="AJ40" s="1" t="s">
        <v>183</v>
      </c>
      <c r="AK40" s="1" t="s">
        <v>183</v>
      </c>
    </row>
    <row r="41" spans="1:37" x14ac:dyDescent="0.3">
      <c r="A41" s="94">
        <f t="shared" si="0"/>
        <v>40</v>
      </c>
      <c r="B41" s="39" t="str">
        <f t="shared" si="1"/>
        <v>SPS FORREST ST PALMYRA</v>
      </c>
      <c r="C41" s="4" t="s">
        <v>1394</v>
      </c>
      <c r="D41" s="4" t="s">
        <v>1395</v>
      </c>
      <c r="E41" s="4" t="s">
        <v>1106</v>
      </c>
      <c r="F41" s="4" t="s">
        <v>1396</v>
      </c>
      <c r="G41" s="4" t="s">
        <v>375</v>
      </c>
      <c r="H41" s="4" t="s">
        <v>376</v>
      </c>
      <c r="I41" s="4" t="s">
        <v>2800</v>
      </c>
      <c r="J41" s="4"/>
      <c r="K41" s="4"/>
      <c r="L41" s="4" t="s">
        <v>1397</v>
      </c>
      <c r="M41" s="4" t="s">
        <v>1398</v>
      </c>
      <c r="N41" s="4" t="s">
        <v>976</v>
      </c>
      <c r="O41" s="4">
        <v>1967</v>
      </c>
      <c r="P41" s="4" t="s">
        <v>1399</v>
      </c>
      <c r="Q41" s="4" t="s">
        <v>222</v>
      </c>
      <c r="R41" s="4" t="s">
        <v>1400</v>
      </c>
      <c r="S41" s="4" t="s">
        <v>571</v>
      </c>
      <c r="T41" s="4" t="s">
        <v>1401</v>
      </c>
      <c r="U41" s="4" t="s">
        <v>566</v>
      </c>
      <c r="V41" s="4" t="s">
        <v>222</v>
      </c>
      <c r="W41" s="4" t="s">
        <v>222</v>
      </c>
      <c r="X41" s="4" t="s">
        <v>222</v>
      </c>
      <c r="Y41" s="4" t="s">
        <v>222</v>
      </c>
      <c r="Z41" s="4" t="s">
        <v>222</v>
      </c>
      <c r="AA41" s="4" t="s">
        <v>222</v>
      </c>
      <c r="AB41" s="4" t="s">
        <v>222</v>
      </c>
      <c r="AC41" s="4" t="s">
        <v>1402</v>
      </c>
      <c r="AD41" s="4" t="s">
        <v>938</v>
      </c>
      <c r="AE41" s="4" t="s">
        <v>183</v>
      </c>
      <c r="AF41" s="4" t="s">
        <v>849</v>
      </c>
      <c r="AG41" s="4"/>
      <c r="AH41" s="1" t="s">
        <v>184</v>
      </c>
      <c r="AI41" s="1" t="s">
        <v>2815</v>
      </c>
      <c r="AJ41" s="1" t="s">
        <v>184</v>
      </c>
      <c r="AK41" s="1" t="s">
        <v>184</v>
      </c>
    </row>
    <row r="42" spans="1:37" x14ac:dyDescent="0.3">
      <c r="A42" s="94">
        <f t="shared" si="0"/>
        <v>41</v>
      </c>
      <c r="B42" s="39" t="str">
        <f t="shared" si="1"/>
        <v>SPS BURKE DR ATTADALE</v>
      </c>
      <c r="C42" s="4" t="s">
        <v>1662</v>
      </c>
      <c r="D42" s="4" t="s">
        <v>1663</v>
      </c>
      <c r="E42" s="4" t="s">
        <v>1497</v>
      </c>
      <c r="F42" s="4" t="s">
        <v>1664</v>
      </c>
      <c r="G42" s="4" t="s">
        <v>418</v>
      </c>
      <c r="H42" s="4" t="s">
        <v>419</v>
      </c>
      <c r="I42" s="4" t="s">
        <v>2926</v>
      </c>
      <c r="J42" s="4"/>
      <c r="K42" s="4"/>
      <c r="L42" s="4" t="s">
        <v>1665</v>
      </c>
      <c r="M42" s="4" t="s">
        <v>1666</v>
      </c>
      <c r="N42" s="4" t="s">
        <v>296</v>
      </c>
      <c r="O42" s="4">
        <v>1972</v>
      </c>
      <c r="P42" s="4"/>
      <c r="Q42" s="4" t="s">
        <v>612</v>
      </c>
      <c r="R42" s="4" t="s">
        <v>1667</v>
      </c>
      <c r="S42" s="4" t="s">
        <v>571</v>
      </c>
      <c r="T42" s="4" t="s">
        <v>1668</v>
      </c>
      <c r="U42" s="4" t="s">
        <v>566</v>
      </c>
      <c r="V42" s="4" t="s">
        <v>222</v>
      </c>
      <c r="W42" s="4" t="s">
        <v>222</v>
      </c>
      <c r="X42" s="4" t="s">
        <v>222</v>
      </c>
      <c r="Y42" s="4" t="s">
        <v>222</v>
      </c>
      <c r="Z42" s="4" t="s">
        <v>222</v>
      </c>
      <c r="AA42" s="4" t="s">
        <v>222</v>
      </c>
      <c r="AB42" s="4" t="s">
        <v>222</v>
      </c>
      <c r="AC42" s="4" t="s">
        <v>1669</v>
      </c>
      <c r="AD42" s="4" t="s">
        <v>938</v>
      </c>
      <c r="AE42" s="4" t="s">
        <v>183</v>
      </c>
      <c r="AF42" s="4" t="s">
        <v>836</v>
      </c>
      <c r="AG42" s="4"/>
      <c r="AH42" s="1" t="s">
        <v>183</v>
      </c>
      <c r="AI42" s="1" t="s">
        <v>2816</v>
      </c>
      <c r="AJ42" s="1" t="s">
        <v>184</v>
      </c>
      <c r="AK42" s="1" t="s">
        <v>183</v>
      </c>
    </row>
    <row r="43" spans="1:37" x14ac:dyDescent="0.3">
      <c r="A43" s="94">
        <f t="shared" si="0"/>
        <v>42</v>
      </c>
      <c r="B43" s="39" t="str">
        <f t="shared" si="1"/>
        <v>SPS GROVES AV ATTADALE</v>
      </c>
      <c r="C43" s="4" t="s">
        <v>138</v>
      </c>
      <c r="D43" s="4" t="s">
        <v>139</v>
      </c>
      <c r="E43" s="4" t="s">
        <v>858</v>
      </c>
      <c r="F43" s="4" t="s">
        <v>417</v>
      </c>
      <c r="G43" s="4" t="s">
        <v>418</v>
      </c>
      <c r="H43" s="4" t="s">
        <v>419</v>
      </c>
      <c r="I43" s="4" t="s">
        <v>895</v>
      </c>
      <c r="J43" s="4" t="s">
        <v>560</v>
      </c>
      <c r="K43" s="4" t="s">
        <v>692</v>
      </c>
      <c r="L43" s="4" t="s">
        <v>420</v>
      </c>
      <c r="M43" s="4" t="s">
        <v>421</v>
      </c>
      <c r="N43" s="4" t="s">
        <v>422</v>
      </c>
      <c r="O43" s="4">
        <v>1962</v>
      </c>
      <c r="P43" s="4" t="s">
        <v>868</v>
      </c>
      <c r="Q43" s="4" t="s">
        <v>222</v>
      </c>
      <c r="R43" s="4" t="s">
        <v>693</v>
      </c>
      <c r="S43" s="4" t="s">
        <v>222</v>
      </c>
      <c r="T43" s="4" t="s">
        <v>694</v>
      </c>
      <c r="U43" s="4" t="s">
        <v>222</v>
      </c>
      <c r="V43" s="4" t="s">
        <v>222</v>
      </c>
      <c r="W43" s="4" t="s">
        <v>222</v>
      </c>
      <c r="X43" s="4" t="s">
        <v>222</v>
      </c>
      <c r="Y43" s="4" t="s">
        <v>222</v>
      </c>
      <c r="Z43" s="4" t="s">
        <v>222</v>
      </c>
      <c r="AA43" s="4" t="s">
        <v>222</v>
      </c>
      <c r="AB43" s="4" t="s">
        <v>222</v>
      </c>
      <c r="AC43" s="4" t="s">
        <v>799</v>
      </c>
      <c r="AD43" s="4"/>
      <c r="AE43" s="4" t="s">
        <v>183</v>
      </c>
      <c r="AF43" s="4" t="s">
        <v>836</v>
      </c>
      <c r="AG43" s="4"/>
      <c r="AH43" s="1" t="s">
        <v>184</v>
      </c>
      <c r="AI43" s="1" t="s">
        <v>2815</v>
      </c>
      <c r="AJ43" s="1" t="s">
        <v>183</v>
      </c>
      <c r="AK43" s="1" t="s">
        <v>184</v>
      </c>
    </row>
    <row r="44" spans="1:37" x14ac:dyDescent="0.3">
      <c r="A44" s="94">
        <f t="shared" si="0"/>
        <v>43</v>
      </c>
      <c r="B44" s="39" t="str">
        <f t="shared" si="1"/>
        <v>SPS ROBERTS RD ATTADALE</v>
      </c>
      <c r="C44" s="4" t="s">
        <v>2489</v>
      </c>
      <c r="D44" s="4" t="s">
        <v>2490</v>
      </c>
      <c r="E44" s="4" t="s">
        <v>1497</v>
      </c>
      <c r="F44" s="4" t="s">
        <v>2491</v>
      </c>
      <c r="G44" s="4" t="s">
        <v>418</v>
      </c>
      <c r="H44" s="4" t="s">
        <v>419</v>
      </c>
      <c r="I44" s="4" t="s">
        <v>3024</v>
      </c>
      <c r="J44" s="4"/>
      <c r="K44" s="4"/>
      <c r="L44" s="4" t="s">
        <v>2492</v>
      </c>
      <c r="M44" s="4" t="s">
        <v>2493</v>
      </c>
      <c r="N44" s="4" t="s">
        <v>456</v>
      </c>
      <c r="O44" s="4">
        <v>1973</v>
      </c>
      <c r="P44" s="4"/>
      <c r="Q44" s="4" t="s">
        <v>222</v>
      </c>
      <c r="R44" s="4" t="s">
        <v>2494</v>
      </c>
      <c r="S44" s="4" t="s">
        <v>571</v>
      </c>
      <c r="T44" s="4" t="s">
        <v>2495</v>
      </c>
      <c r="U44" s="4" t="s">
        <v>566</v>
      </c>
      <c r="V44" s="4" t="s">
        <v>222</v>
      </c>
      <c r="W44" s="4" t="s">
        <v>222</v>
      </c>
      <c r="X44" s="4" t="s">
        <v>222</v>
      </c>
      <c r="Y44" s="4" t="s">
        <v>222</v>
      </c>
      <c r="Z44" s="4" t="s">
        <v>222</v>
      </c>
      <c r="AA44" s="4" t="s">
        <v>222</v>
      </c>
      <c r="AB44" s="4" t="s">
        <v>222</v>
      </c>
      <c r="AC44" s="4" t="s">
        <v>2496</v>
      </c>
      <c r="AD44" s="4" t="s">
        <v>938</v>
      </c>
      <c r="AE44" s="4" t="s">
        <v>183</v>
      </c>
      <c r="AF44" s="4" t="s">
        <v>836</v>
      </c>
      <c r="AG44" s="4"/>
      <c r="AH44" s="1" t="s">
        <v>184</v>
      </c>
      <c r="AI44" s="1" t="s">
        <v>2815</v>
      </c>
      <c r="AJ44" s="1" t="s">
        <v>184</v>
      </c>
      <c r="AK44" s="1" t="s">
        <v>184</v>
      </c>
    </row>
    <row r="45" spans="1:37" x14ac:dyDescent="0.3">
      <c r="A45" s="94">
        <f t="shared" si="0"/>
        <v>44</v>
      </c>
      <c r="B45" s="39" t="str">
        <f t="shared" si="1"/>
        <v>SPS COULSON WY CANNING VALE</v>
      </c>
      <c r="C45" s="4" t="s">
        <v>154</v>
      </c>
      <c r="D45" s="4" t="s">
        <v>155</v>
      </c>
      <c r="E45" s="4" t="s">
        <v>858</v>
      </c>
      <c r="F45" s="4" t="s">
        <v>457</v>
      </c>
      <c r="G45" s="4" t="s">
        <v>458</v>
      </c>
      <c r="H45" s="4" t="s">
        <v>459</v>
      </c>
      <c r="I45" s="4" t="s">
        <v>908</v>
      </c>
      <c r="J45" s="4" t="s">
        <v>560</v>
      </c>
      <c r="K45" s="4" t="s">
        <v>719</v>
      </c>
      <c r="L45" s="4" t="s">
        <v>460</v>
      </c>
      <c r="M45" s="4" t="s">
        <v>461</v>
      </c>
      <c r="N45" s="4" t="s">
        <v>279</v>
      </c>
      <c r="O45" s="4">
        <v>1977</v>
      </c>
      <c r="P45" s="4" t="s">
        <v>868</v>
      </c>
      <c r="Q45" s="4" t="s">
        <v>569</v>
      </c>
      <c r="R45" s="4" t="s">
        <v>720</v>
      </c>
      <c r="S45" s="4" t="s">
        <v>571</v>
      </c>
      <c r="T45" s="4" t="s">
        <v>721</v>
      </c>
      <c r="U45" s="4">
        <v>300</v>
      </c>
      <c r="V45" s="4" t="s">
        <v>222</v>
      </c>
      <c r="W45" s="4" t="s">
        <v>222</v>
      </c>
      <c r="X45" s="4" t="s">
        <v>222</v>
      </c>
      <c r="Y45" s="4" t="s">
        <v>222</v>
      </c>
      <c r="Z45" s="4" t="s">
        <v>222</v>
      </c>
      <c r="AA45" s="4" t="s">
        <v>222</v>
      </c>
      <c r="AB45" s="4" t="s">
        <v>222</v>
      </c>
      <c r="AC45" s="4" t="s">
        <v>807</v>
      </c>
      <c r="AD45" s="4"/>
      <c r="AE45" s="4" t="s">
        <v>183</v>
      </c>
      <c r="AF45" s="4" t="s">
        <v>836</v>
      </c>
      <c r="AG45" s="4"/>
      <c r="AH45" s="1" t="s">
        <v>183</v>
      </c>
      <c r="AI45" s="1" t="s">
        <v>2815</v>
      </c>
      <c r="AJ45" s="1" t="s">
        <v>184</v>
      </c>
      <c r="AK45" s="1" t="s">
        <v>184</v>
      </c>
    </row>
    <row r="46" spans="1:37" x14ac:dyDescent="0.3">
      <c r="A46" s="94">
        <f t="shared" si="0"/>
        <v>7</v>
      </c>
      <c r="B46" s="39" t="str">
        <f t="shared" si="1"/>
        <v>SPS BANNISTER RD CANNING VALE</v>
      </c>
      <c r="C46" s="4" t="s">
        <v>929</v>
      </c>
      <c r="D46" s="4" t="s">
        <v>930</v>
      </c>
      <c r="E46" s="4" t="s">
        <v>931</v>
      </c>
      <c r="F46" s="4" t="s">
        <v>932</v>
      </c>
      <c r="G46" s="4" t="s">
        <v>458</v>
      </c>
      <c r="H46" s="4" t="s">
        <v>459</v>
      </c>
      <c r="I46" s="4" t="s">
        <v>2755</v>
      </c>
      <c r="J46" s="4"/>
      <c r="K46" s="4"/>
      <c r="L46" s="4" t="s">
        <v>933</v>
      </c>
      <c r="M46" s="4" t="s">
        <v>934</v>
      </c>
      <c r="N46" s="4" t="s">
        <v>250</v>
      </c>
      <c r="O46" s="4">
        <v>1987</v>
      </c>
      <c r="P46" s="4" t="s">
        <v>222</v>
      </c>
      <c r="Q46" s="4" t="s">
        <v>631</v>
      </c>
      <c r="R46" s="4" t="s">
        <v>935</v>
      </c>
      <c r="S46" s="4" t="s">
        <v>571</v>
      </c>
      <c r="T46" s="4" t="s">
        <v>936</v>
      </c>
      <c r="U46" s="4">
        <v>25</v>
      </c>
      <c r="V46" s="4" t="s">
        <v>222</v>
      </c>
      <c r="W46" s="4" t="s">
        <v>222</v>
      </c>
      <c r="X46" s="4" t="s">
        <v>222</v>
      </c>
      <c r="Y46" s="4" t="s">
        <v>222</v>
      </c>
      <c r="Z46" s="4" t="s">
        <v>222</v>
      </c>
      <c r="AA46" s="4" t="s">
        <v>222</v>
      </c>
      <c r="AB46" s="4" t="s">
        <v>222</v>
      </c>
      <c r="AC46" s="4" t="s">
        <v>937</v>
      </c>
      <c r="AD46" s="4" t="s">
        <v>938</v>
      </c>
      <c r="AE46" s="4" t="s">
        <v>183</v>
      </c>
      <c r="AF46" s="4" t="s">
        <v>836</v>
      </c>
      <c r="AG46" s="4"/>
      <c r="AH46" s="1" t="s">
        <v>183</v>
      </c>
      <c r="AI46" s="1" t="s">
        <v>2815</v>
      </c>
      <c r="AJ46" s="1" t="s">
        <v>183</v>
      </c>
      <c r="AK46" s="1" t="s">
        <v>184</v>
      </c>
    </row>
    <row r="47" spans="1:37" x14ac:dyDescent="0.3">
      <c r="A47" s="94">
        <f t="shared" si="0"/>
        <v>46</v>
      </c>
      <c r="B47" s="39" t="str">
        <f t="shared" si="1"/>
        <v>SPS CAMPBELL RD CANNING VALE</v>
      </c>
      <c r="C47" s="4" t="s">
        <v>1385</v>
      </c>
      <c r="D47" s="4" t="s">
        <v>1386</v>
      </c>
      <c r="E47" s="4" t="s">
        <v>1106</v>
      </c>
      <c r="F47" s="4" t="s">
        <v>1387</v>
      </c>
      <c r="G47" s="4" t="s">
        <v>458</v>
      </c>
      <c r="H47" s="4" t="s">
        <v>459</v>
      </c>
      <c r="I47" s="4" t="s">
        <v>2799</v>
      </c>
      <c r="J47" s="4"/>
      <c r="K47" s="4"/>
      <c r="L47" s="4" t="s">
        <v>1388</v>
      </c>
      <c r="M47" s="4" t="s">
        <v>1389</v>
      </c>
      <c r="N47" s="4" t="s">
        <v>474</v>
      </c>
      <c r="O47" s="4">
        <v>1996</v>
      </c>
      <c r="P47" s="4" t="s">
        <v>1390</v>
      </c>
      <c r="Q47" s="4" t="s">
        <v>631</v>
      </c>
      <c r="R47" s="4" t="s">
        <v>1391</v>
      </c>
      <c r="S47" s="4" t="s">
        <v>571</v>
      </c>
      <c r="T47" s="4" t="s">
        <v>1392</v>
      </c>
      <c r="U47" s="4" t="s">
        <v>566</v>
      </c>
      <c r="V47" s="4" t="s">
        <v>222</v>
      </c>
      <c r="W47" s="4">
        <v>415</v>
      </c>
      <c r="X47" s="4" t="s">
        <v>222</v>
      </c>
      <c r="Y47" s="4" t="s">
        <v>222</v>
      </c>
      <c r="Z47" s="4" t="s">
        <v>222</v>
      </c>
      <c r="AA47" s="4" t="s">
        <v>222</v>
      </c>
      <c r="AB47" s="4" t="s">
        <v>222</v>
      </c>
      <c r="AC47" s="4" t="s">
        <v>1393</v>
      </c>
      <c r="AD47" s="4" t="s">
        <v>938</v>
      </c>
      <c r="AE47" s="4" t="s">
        <v>183</v>
      </c>
      <c r="AF47" s="4" t="s">
        <v>836</v>
      </c>
      <c r="AG47" s="4"/>
      <c r="AH47" s="1" t="s">
        <v>183</v>
      </c>
      <c r="AI47" s="1" t="s">
        <v>2815</v>
      </c>
      <c r="AJ47" s="1" t="s">
        <v>183</v>
      </c>
      <c r="AK47" s="1" t="s">
        <v>184</v>
      </c>
    </row>
    <row r="48" spans="1:37" x14ac:dyDescent="0.3">
      <c r="A48" s="94">
        <f t="shared" si="0"/>
        <v>47</v>
      </c>
      <c r="B48" s="39" t="str">
        <f t="shared" si="1"/>
        <v>SPS FELTBUSH MEWS CANNING VALE</v>
      </c>
      <c r="C48" s="4" t="s">
        <v>1334</v>
      </c>
      <c r="D48" s="4" t="s">
        <v>1335</v>
      </c>
      <c r="E48" s="4" t="s">
        <v>1106</v>
      </c>
      <c r="F48" s="4" t="s">
        <v>1336</v>
      </c>
      <c r="G48" s="4" t="s">
        <v>458</v>
      </c>
      <c r="H48" s="4" t="s">
        <v>459</v>
      </c>
      <c r="I48" s="4" t="s">
        <v>2794</v>
      </c>
      <c r="J48" s="4"/>
      <c r="K48" s="4"/>
      <c r="L48" s="4" t="s">
        <v>1337</v>
      </c>
      <c r="M48" s="4" t="s">
        <v>1338</v>
      </c>
      <c r="N48" s="4" t="s">
        <v>1339</v>
      </c>
      <c r="O48" s="4">
        <v>2008</v>
      </c>
      <c r="P48" s="4" t="s">
        <v>1048</v>
      </c>
      <c r="Q48" s="4" t="s">
        <v>569</v>
      </c>
      <c r="R48" s="4" t="s">
        <v>1340</v>
      </c>
      <c r="S48" s="4" t="s">
        <v>571</v>
      </c>
      <c r="T48" s="4" t="s">
        <v>1341</v>
      </c>
      <c r="U48" s="4">
        <v>500</v>
      </c>
      <c r="V48" s="4">
        <v>22</v>
      </c>
      <c r="W48" s="4">
        <v>415</v>
      </c>
      <c r="X48" s="4">
        <v>440</v>
      </c>
      <c r="Y48" s="4">
        <v>300</v>
      </c>
      <c r="Z48" s="4">
        <v>20</v>
      </c>
      <c r="AA48" s="4" t="s">
        <v>222</v>
      </c>
      <c r="AB48" s="4" t="s">
        <v>222</v>
      </c>
      <c r="AC48" s="4" t="s">
        <v>1342</v>
      </c>
      <c r="AD48" s="4" t="s">
        <v>938</v>
      </c>
      <c r="AE48" s="4" t="s">
        <v>184</v>
      </c>
      <c r="AF48" s="4" t="s">
        <v>849</v>
      </c>
      <c r="AG48" s="4"/>
      <c r="AH48" s="1" t="s">
        <v>183</v>
      </c>
      <c r="AI48" s="1" t="s">
        <v>2815</v>
      </c>
      <c r="AJ48" s="1" t="s">
        <v>184</v>
      </c>
      <c r="AK48" s="1" t="s">
        <v>184</v>
      </c>
    </row>
    <row r="49" spans="1:37" x14ac:dyDescent="0.3">
      <c r="A49" s="94">
        <f t="shared" si="0"/>
        <v>48</v>
      </c>
      <c r="B49" s="39" t="str">
        <f t="shared" si="1"/>
        <v>SPS SHERMAN ST CANNING VALE</v>
      </c>
      <c r="C49" s="4" t="s">
        <v>158</v>
      </c>
      <c r="D49" s="4" t="s">
        <v>159</v>
      </c>
      <c r="E49" s="4" t="s">
        <v>858</v>
      </c>
      <c r="F49" s="4" t="s">
        <v>467</v>
      </c>
      <c r="G49" s="4" t="s">
        <v>458</v>
      </c>
      <c r="H49" s="4" t="s">
        <v>459</v>
      </c>
      <c r="I49" s="4" t="s">
        <v>910</v>
      </c>
      <c r="J49" s="4" t="s">
        <v>560</v>
      </c>
      <c r="K49" s="4" t="s">
        <v>725</v>
      </c>
      <c r="L49" s="4" t="s">
        <v>468</v>
      </c>
      <c r="M49" s="4" t="s">
        <v>469</v>
      </c>
      <c r="N49" s="4" t="s">
        <v>256</v>
      </c>
      <c r="O49" s="4">
        <v>1979</v>
      </c>
      <c r="P49" s="4" t="s">
        <v>855</v>
      </c>
      <c r="Q49" s="4" t="s">
        <v>612</v>
      </c>
      <c r="R49" s="4" t="s">
        <v>726</v>
      </c>
      <c r="S49" s="4" t="s">
        <v>571</v>
      </c>
      <c r="T49" s="4" t="s">
        <v>727</v>
      </c>
      <c r="U49" s="4" t="s">
        <v>566</v>
      </c>
      <c r="V49" s="4" t="s">
        <v>222</v>
      </c>
      <c r="W49" s="4" t="s">
        <v>222</v>
      </c>
      <c r="X49" s="4" t="s">
        <v>222</v>
      </c>
      <c r="Y49" s="4" t="s">
        <v>222</v>
      </c>
      <c r="Z49" s="4" t="s">
        <v>222</v>
      </c>
      <c r="AA49" s="4" t="s">
        <v>222</v>
      </c>
      <c r="AB49" s="4" t="s">
        <v>222</v>
      </c>
      <c r="AC49" s="4" t="s">
        <v>809</v>
      </c>
      <c r="AD49" s="4"/>
      <c r="AE49" s="4" t="s">
        <v>183</v>
      </c>
      <c r="AF49" s="4" t="s">
        <v>836</v>
      </c>
      <c r="AG49" s="4"/>
      <c r="AH49" s="1" t="s">
        <v>183</v>
      </c>
      <c r="AI49" s="1" t="s">
        <v>1750</v>
      </c>
      <c r="AJ49" s="1" t="s">
        <v>183</v>
      </c>
      <c r="AK49" s="1" t="s">
        <v>184</v>
      </c>
    </row>
    <row r="50" spans="1:37" x14ac:dyDescent="0.3">
      <c r="A50" s="94">
        <f t="shared" si="0"/>
        <v>49</v>
      </c>
      <c r="B50" s="39" t="str">
        <f t="shared" si="1"/>
        <v>SPS ALDRIDGE RD BOORAGOON</v>
      </c>
      <c r="C50" s="4" t="s">
        <v>1516</v>
      </c>
      <c r="D50" s="4" t="s">
        <v>1517</v>
      </c>
      <c r="E50" s="4" t="s">
        <v>1497</v>
      </c>
      <c r="F50" s="4" t="s">
        <v>1518</v>
      </c>
      <c r="G50" s="4" t="s">
        <v>1519</v>
      </c>
      <c r="H50" s="4" t="s">
        <v>1045</v>
      </c>
      <c r="I50" s="4" t="s">
        <v>2909</v>
      </c>
      <c r="J50" s="4"/>
      <c r="K50" s="4"/>
      <c r="L50" s="4" t="s">
        <v>1520</v>
      </c>
      <c r="M50" s="4" t="s">
        <v>1521</v>
      </c>
      <c r="N50" s="4" t="s">
        <v>456</v>
      </c>
      <c r="O50" s="4">
        <v>1974</v>
      </c>
      <c r="P50" s="4"/>
      <c r="Q50" s="4" t="s">
        <v>222</v>
      </c>
      <c r="R50" s="4" t="s">
        <v>1522</v>
      </c>
      <c r="S50" s="4" t="s">
        <v>571</v>
      </c>
      <c r="T50" s="4" t="s">
        <v>1523</v>
      </c>
      <c r="U50" s="4" t="s">
        <v>566</v>
      </c>
      <c r="V50" s="4" t="s">
        <v>222</v>
      </c>
      <c r="W50" s="4" t="s">
        <v>222</v>
      </c>
      <c r="X50" s="4" t="s">
        <v>222</v>
      </c>
      <c r="Y50" s="4" t="s">
        <v>222</v>
      </c>
      <c r="Z50" s="4" t="s">
        <v>222</v>
      </c>
      <c r="AA50" s="4" t="s">
        <v>222</v>
      </c>
      <c r="AB50" s="4" t="s">
        <v>222</v>
      </c>
      <c r="AC50" s="4" t="s">
        <v>1524</v>
      </c>
      <c r="AD50" s="4" t="s">
        <v>938</v>
      </c>
      <c r="AE50" s="4" t="s">
        <v>183</v>
      </c>
      <c r="AF50" s="4" t="s">
        <v>836</v>
      </c>
      <c r="AG50" s="4"/>
      <c r="AH50" s="1" t="s">
        <v>183</v>
      </c>
      <c r="AI50" s="1" t="s">
        <v>2816</v>
      </c>
      <c r="AJ50" s="1" t="s">
        <v>183</v>
      </c>
      <c r="AK50" s="1" t="s">
        <v>183</v>
      </c>
    </row>
    <row r="51" spans="1:37" x14ac:dyDescent="0.3">
      <c r="A51" s="94">
        <f t="shared" si="0"/>
        <v>50</v>
      </c>
      <c r="B51" s="39" t="str">
        <f t="shared" si="1"/>
        <v>SPS MARMION ST WEST MYAREE</v>
      </c>
      <c r="C51" s="4" t="s">
        <v>1041</v>
      </c>
      <c r="D51" s="4" t="s">
        <v>1042</v>
      </c>
      <c r="E51" s="4" t="s">
        <v>931</v>
      </c>
      <c r="F51" s="4" t="s">
        <v>1043</v>
      </c>
      <c r="G51" s="4" t="s">
        <v>1044</v>
      </c>
      <c r="H51" s="4" t="s">
        <v>1045</v>
      </c>
      <c r="I51" s="4" t="s">
        <v>2766</v>
      </c>
      <c r="J51" s="4"/>
      <c r="K51" s="4"/>
      <c r="L51" s="4" t="s">
        <v>1046</v>
      </c>
      <c r="M51" s="4" t="s">
        <v>1047</v>
      </c>
      <c r="N51" s="4" t="s">
        <v>238</v>
      </c>
      <c r="O51" s="4">
        <v>1998</v>
      </c>
      <c r="P51" s="4" t="s">
        <v>1048</v>
      </c>
      <c r="Q51" s="4" t="s">
        <v>631</v>
      </c>
      <c r="R51" s="4" t="s">
        <v>1049</v>
      </c>
      <c r="S51" s="4" t="s">
        <v>571</v>
      </c>
      <c r="T51" s="4" t="s">
        <v>1050</v>
      </c>
      <c r="U51" s="4">
        <v>315</v>
      </c>
      <c r="V51" s="4" t="s">
        <v>222</v>
      </c>
      <c r="W51" s="4">
        <v>415</v>
      </c>
      <c r="X51" s="4" t="s">
        <v>222</v>
      </c>
      <c r="Y51" s="4" t="s">
        <v>222</v>
      </c>
      <c r="Z51" s="4" t="s">
        <v>222</v>
      </c>
      <c r="AA51" s="4" t="s">
        <v>222</v>
      </c>
      <c r="AB51" s="4" t="s">
        <v>222</v>
      </c>
      <c r="AC51" s="4" t="s">
        <v>1051</v>
      </c>
      <c r="AD51" s="4" t="s">
        <v>938</v>
      </c>
      <c r="AE51" s="4" t="s">
        <v>183</v>
      </c>
      <c r="AF51" s="4" t="s">
        <v>836</v>
      </c>
      <c r="AG51" s="4"/>
      <c r="AH51" s="1" t="s">
        <v>183</v>
      </c>
      <c r="AI51" s="1" t="s">
        <v>2816</v>
      </c>
      <c r="AJ51" s="1" t="s">
        <v>183</v>
      </c>
      <c r="AK51" s="1" t="s">
        <v>183</v>
      </c>
    </row>
    <row r="52" spans="1:37" x14ac:dyDescent="0.3">
      <c r="A52" s="94">
        <f t="shared" si="0"/>
        <v>51</v>
      </c>
      <c r="B52" s="39" t="str">
        <f t="shared" si="1"/>
        <v>SPS CANNING BEACH RD APPLECROSS</v>
      </c>
      <c r="C52" s="4" t="s">
        <v>1695</v>
      </c>
      <c r="D52" s="4" t="s">
        <v>1696</v>
      </c>
      <c r="E52" s="4" t="s">
        <v>1497</v>
      </c>
      <c r="F52" s="4" t="s">
        <v>1697</v>
      </c>
      <c r="G52" s="4" t="s">
        <v>954</v>
      </c>
      <c r="H52" s="4" t="s">
        <v>348</v>
      </c>
      <c r="I52" s="4" t="s">
        <v>2930</v>
      </c>
      <c r="J52" s="4"/>
      <c r="K52" s="4"/>
      <c r="L52" s="4" t="s">
        <v>1698</v>
      </c>
      <c r="M52" s="4" t="s">
        <v>1699</v>
      </c>
      <c r="N52" s="4" t="s">
        <v>976</v>
      </c>
      <c r="O52" s="4">
        <v>1967</v>
      </c>
      <c r="P52" s="4"/>
      <c r="Q52" s="4" t="s">
        <v>222</v>
      </c>
      <c r="R52" s="4" t="s">
        <v>1700</v>
      </c>
      <c r="S52" s="4" t="s">
        <v>571</v>
      </c>
      <c r="T52" s="4" t="s">
        <v>1701</v>
      </c>
      <c r="U52" s="4" t="s">
        <v>566</v>
      </c>
      <c r="V52" s="4" t="s">
        <v>222</v>
      </c>
      <c r="W52" s="4" t="s">
        <v>222</v>
      </c>
      <c r="X52" s="4" t="s">
        <v>222</v>
      </c>
      <c r="Y52" s="4" t="s">
        <v>222</v>
      </c>
      <c r="Z52" s="4" t="s">
        <v>222</v>
      </c>
      <c r="AA52" s="4" t="s">
        <v>222</v>
      </c>
      <c r="AB52" s="4" t="s">
        <v>222</v>
      </c>
      <c r="AC52" s="4" t="s">
        <v>1702</v>
      </c>
      <c r="AD52" s="4" t="s">
        <v>938</v>
      </c>
      <c r="AE52" s="4" t="s">
        <v>183</v>
      </c>
      <c r="AF52" s="4" t="s">
        <v>844</v>
      </c>
      <c r="AG52" s="4"/>
      <c r="AH52" s="1" t="s">
        <v>183</v>
      </c>
      <c r="AI52" s="1" t="s">
        <v>2815</v>
      </c>
      <c r="AJ52" s="1" t="s">
        <v>184</v>
      </c>
      <c r="AK52" s="1" t="s">
        <v>184</v>
      </c>
    </row>
    <row r="53" spans="1:37" x14ac:dyDescent="0.3">
      <c r="A53" s="94">
        <f t="shared" si="0"/>
        <v>52</v>
      </c>
      <c r="B53" s="39" t="str">
        <f t="shared" si="1"/>
        <v>SPS DEE RD APPLECROSS</v>
      </c>
      <c r="C53" s="4" t="s">
        <v>1830</v>
      </c>
      <c r="D53" s="4" t="s">
        <v>1831</v>
      </c>
      <c r="E53" s="4" t="s">
        <v>1497</v>
      </c>
      <c r="F53" s="4" t="s">
        <v>1832</v>
      </c>
      <c r="G53" s="4" t="s">
        <v>954</v>
      </c>
      <c r="H53" s="4" t="s">
        <v>348</v>
      </c>
      <c r="I53" s="4" t="s">
        <v>2945</v>
      </c>
      <c r="J53" s="4"/>
      <c r="K53" s="4"/>
      <c r="L53" s="4" t="s">
        <v>1833</v>
      </c>
      <c r="M53" s="4" t="s">
        <v>1834</v>
      </c>
      <c r="N53" s="4" t="s">
        <v>456</v>
      </c>
      <c r="O53" s="4">
        <v>1975</v>
      </c>
      <c r="P53" s="4"/>
      <c r="Q53" s="4" t="s">
        <v>612</v>
      </c>
      <c r="R53" s="4" t="s">
        <v>1835</v>
      </c>
      <c r="S53" s="4" t="s">
        <v>571</v>
      </c>
      <c r="T53" s="4" t="s">
        <v>1836</v>
      </c>
      <c r="U53" s="4" t="s">
        <v>566</v>
      </c>
      <c r="V53" s="4" t="s">
        <v>222</v>
      </c>
      <c r="W53" s="4" t="s">
        <v>222</v>
      </c>
      <c r="X53" s="4" t="s">
        <v>222</v>
      </c>
      <c r="Y53" s="4" t="s">
        <v>222</v>
      </c>
      <c r="Z53" s="4" t="s">
        <v>222</v>
      </c>
      <c r="AA53" s="4" t="s">
        <v>222</v>
      </c>
      <c r="AB53" s="4" t="s">
        <v>222</v>
      </c>
      <c r="AC53" s="4" t="s">
        <v>1837</v>
      </c>
      <c r="AD53" s="4" t="s">
        <v>938</v>
      </c>
      <c r="AE53" s="4" t="s">
        <v>183</v>
      </c>
      <c r="AF53" s="4" t="s">
        <v>844</v>
      </c>
      <c r="AG53" s="4"/>
      <c r="AH53" s="1" t="s">
        <v>183</v>
      </c>
      <c r="AI53" s="1" t="s">
        <v>1750</v>
      </c>
      <c r="AJ53" s="1" t="s">
        <v>183</v>
      </c>
      <c r="AK53" s="1" t="s">
        <v>184</v>
      </c>
    </row>
    <row r="54" spans="1:37" x14ac:dyDescent="0.3">
      <c r="A54" s="94">
        <f t="shared" si="0"/>
        <v>53</v>
      </c>
      <c r="B54" s="39" t="str">
        <f t="shared" si="1"/>
        <v>SPS DUNCRAIG RD APPLECROSS</v>
      </c>
      <c r="C54" s="4" t="s">
        <v>1848</v>
      </c>
      <c r="D54" s="4" t="s">
        <v>1849</v>
      </c>
      <c r="E54" s="4" t="s">
        <v>1497</v>
      </c>
      <c r="F54" s="4" t="s">
        <v>1850</v>
      </c>
      <c r="G54" s="4" t="s">
        <v>954</v>
      </c>
      <c r="H54" s="4" t="s">
        <v>348</v>
      </c>
      <c r="I54" s="4" t="s">
        <v>2947</v>
      </c>
      <c r="J54" s="4"/>
      <c r="K54" s="4"/>
      <c r="L54" s="4" t="s">
        <v>1851</v>
      </c>
      <c r="M54" s="4" t="s">
        <v>1852</v>
      </c>
      <c r="N54" s="4" t="s">
        <v>422</v>
      </c>
      <c r="O54" s="4">
        <v>1967</v>
      </c>
      <c r="P54" s="4"/>
      <c r="Q54" s="4" t="s">
        <v>222</v>
      </c>
      <c r="R54" s="4" t="s">
        <v>1853</v>
      </c>
      <c r="S54" s="4" t="s">
        <v>571</v>
      </c>
      <c r="T54" s="4" t="s">
        <v>1854</v>
      </c>
      <c r="U54" s="4" t="s">
        <v>566</v>
      </c>
      <c r="V54" s="4" t="s">
        <v>222</v>
      </c>
      <c r="W54" s="4" t="s">
        <v>222</v>
      </c>
      <c r="X54" s="4" t="s">
        <v>222</v>
      </c>
      <c r="Y54" s="4" t="s">
        <v>222</v>
      </c>
      <c r="Z54" s="4" t="s">
        <v>222</v>
      </c>
      <c r="AA54" s="4" t="s">
        <v>222</v>
      </c>
      <c r="AB54" s="4" t="s">
        <v>222</v>
      </c>
      <c r="AC54" s="4" t="s">
        <v>1855</v>
      </c>
      <c r="AD54" s="4" t="s">
        <v>938</v>
      </c>
      <c r="AE54" s="4" t="s">
        <v>183</v>
      </c>
      <c r="AF54" s="4" t="s">
        <v>836</v>
      </c>
      <c r="AG54" s="4"/>
      <c r="AH54" s="1" t="s">
        <v>183</v>
      </c>
      <c r="AI54" s="1" t="s">
        <v>2818</v>
      </c>
      <c r="AJ54" s="1" t="s">
        <v>183</v>
      </c>
      <c r="AK54" s="1" t="s">
        <v>183</v>
      </c>
    </row>
    <row r="55" spans="1:37" x14ac:dyDescent="0.3">
      <c r="A55" s="94">
        <f t="shared" si="0"/>
        <v>54</v>
      </c>
      <c r="B55" s="39" t="str">
        <f t="shared" si="1"/>
        <v>SPS DUNVEGAN RD APPLECROSS</v>
      </c>
      <c r="C55" s="4" t="s">
        <v>1856</v>
      </c>
      <c r="D55" s="4" t="s">
        <v>1857</v>
      </c>
      <c r="E55" s="4" t="s">
        <v>1497</v>
      </c>
      <c r="F55" s="4" t="s">
        <v>1858</v>
      </c>
      <c r="G55" s="4" t="s">
        <v>954</v>
      </c>
      <c r="H55" s="4" t="s">
        <v>348</v>
      </c>
      <c r="I55" s="4" t="s">
        <v>2948</v>
      </c>
      <c r="J55" s="4"/>
      <c r="K55" s="4"/>
      <c r="L55" s="4" t="s">
        <v>1859</v>
      </c>
      <c r="M55" s="4" t="s">
        <v>1860</v>
      </c>
      <c r="N55" s="4" t="s">
        <v>422</v>
      </c>
      <c r="O55" s="4">
        <v>1967</v>
      </c>
      <c r="P55" s="4"/>
      <c r="Q55" s="4" t="s">
        <v>222</v>
      </c>
      <c r="R55" s="4" t="s">
        <v>1861</v>
      </c>
      <c r="S55" s="4" t="s">
        <v>571</v>
      </c>
      <c r="T55" s="4" t="s">
        <v>1862</v>
      </c>
      <c r="U55" s="4" t="s">
        <v>566</v>
      </c>
      <c r="V55" s="4" t="s">
        <v>222</v>
      </c>
      <c r="W55" s="4" t="s">
        <v>222</v>
      </c>
      <c r="X55" s="4" t="s">
        <v>222</v>
      </c>
      <c r="Y55" s="4" t="s">
        <v>222</v>
      </c>
      <c r="Z55" s="4" t="s">
        <v>222</v>
      </c>
      <c r="AA55" s="4" t="s">
        <v>222</v>
      </c>
      <c r="AB55" s="4" t="s">
        <v>222</v>
      </c>
      <c r="AC55" s="4" t="s">
        <v>1863</v>
      </c>
      <c r="AD55" s="4" t="s">
        <v>938</v>
      </c>
      <c r="AE55" s="4" t="s">
        <v>183</v>
      </c>
      <c r="AF55" s="4" t="s">
        <v>849</v>
      </c>
      <c r="AG55" s="4"/>
      <c r="AH55" s="1" t="s">
        <v>183</v>
      </c>
      <c r="AI55" s="1" t="s">
        <v>2815</v>
      </c>
      <c r="AJ55" s="1" t="s">
        <v>183</v>
      </c>
      <c r="AK55" s="1" t="s">
        <v>184</v>
      </c>
    </row>
    <row r="56" spans="1:37" x14ac:dyDescent="0.3">
      <c r="A56" s="94">
        <f t="shared" si="0"/>
        <v>55</v>
      </c>
      <c r="B56" s="39" t="str">
        <f t="shared" si="1"/>
        <v>SPS DUNKLEY AV APPLECROSS</v>
      </c>
      <c r="C56" s="4" t="s">
        <v>951</v>
      </c>
      <c r="D56" s="4" t="s">
        <v>952</v>
      </c>
      <c r="E56" s="4" t="s">
        <v>931</v>
      </c>
      <c r="F56" s="4" t="s">
        <v>953</v>
      </c>
      <c r="G56" s="4" t="s">
        <v>954</v>
      </c>
      <c r="H56" s="4" t="s">
        <v>348</v>
      </c>
      <c r="I56" s="4" t="s">
        <v>2757</v>
      </c>
      <c r="J56" s="4"/>
      <c r="K56" s="4"/>
      <c r="L56" s="4" t="s">
        <v>955</v>
      </c>
      <c r="M56" s="4" t="s">
        <v>956</v>
      </c>
      <c r="N56" s="4" t="s">
        <v>296</v>
      </c>
      <c r="O56" s="4">
        <v>1993</v>
      </c>
      <c r="P56" s="4" t="s">
        <v>946</v>
      </c>
      <c r="Q56" s="4" t="s">
        <v>612</v>
      </c>
      <c r="R56" s="4" t="s">
        <v>957</v>
      </c>
      <c r="S56" s="4" t="s">
        <v>571</v>
      </c>
      <c r="T56" s="4" t="s">
        <v>958</v>
      </c>
      <c r="U56" s="4" t="s">
        <v>566</v>
      </c>
      <c r="V56" s="4" t="s">
        <v>222</v>
      </c>
      <c r="W56" s="4">
        <v>415</v>
      </c>
      <c r="X56" s="4" t="s">
        <v>222</v>
      </c>
      <c r="Y56" s="4" t="s">
        <v>222</v>
      </c>
      <c r="Z56" s="4" t="s">
        <v>222</v>
      </c>
      <c r="AA56" s="4" t="s">
        <v>222</v>
      </c>
      <c r="AB56" s="4" t="s">
        <v>222</v>
      </c>
      <c r="AC56" s="4" t="s">
        <v>959</v>
      </c>
      <c r="AD56" s="4" t="s">
        <v>938</v>
      </c>
      <c r="AE56" s="4" t="s">
        <v>183</v>
      </c>
      <c r="AF56" s="4" t="s">
        <v>849</v>
      </c>
      <c r="AG56" s="4"/>
      <c r="AH56" s="1" t="s">
        <v>183</v>
      </c>
      <c r="AI56" s="1" t="s">
        <v>2816</v>
      </c>
      <c r="AJ56" s="1" t="s">
        <v>183</v>
      </c>
      <c r="AK56" s="1" t="s">
        <v>183</v>
      </c>
    </row>
    <row r="57" spans="1:37" x14ac:dyDescent="0.3">
      <c r="A57" s="94">
        <f t="shared" si="0"/>
        <v>56</v>
      </c>
      <c r="B57" s="39" t="str">
        <f t="shared" si="1"/>
        <v>SPS ROOKWOOD ST MT PLEASANT</v>
      </c>
      <c r="C57" s="4" t="s">
        <v>1074</v>
      </c>
      <c r="D57" s="4" t="s">
        <v>1075</v>
      </c>
      <c r="E57" s="4" t="s">
        <v>931</v>
      </c>
      <c r="F57" s="4" t="s">
        <v>1076</v>
      </c>
      <c r="G57" s="4" t="s">
        <v>1077</v>
      </c>
      <c r="H57" s="4" t="s">
        <v>348</v>
      </c>
      <c r="I57" s="4" t="s">
        <v>2769</v>
      </c>
      <c r="J57" s="4"/>
      <c r="K57" s="4"/>
      <c r="L57" s="4" t="s">
        <v>1078</v>
      </c>
      <c r="M57" s="4" t="s">
        <v>1079</v>
      </c>
      <c r="N57" s="4" t="s">
        <v>244</v>
      </c>
      <c r="O57" s="4">
        <v>1987</v>
      </c>
      <c r="P57" s="4" t="s">
        <v>946</v>
      </c>
      <c r="Q57" s="4" t="s">
        <v>612</v>
      </c>
      <c r="R57" s="4" t="s">
        <v>1080</v>
      </c>
      <c r="S57" s="4" t="s">
        <v>602</v>
      </c>
      <c r="T57" s="4" t="s">
        <v>1081</v>
      </c>
      <c r="U57" s="4" t="s">
        <v>566</v>
      </c>
      <c r="V57" s="4" t="s">
        <v>222</v>
      </c>
      <c r="W57" s="4" t="s">
        <v>222</v>
      </c>
      <c r="X57" s="4" t="s">
        <v>222</v>
      </c>
      <c r="Y57" s="4" t="s">
        <v>222</v>
      </c>
      <c r="Z57" s="4" t="s">
        <v>222</v>
      </c>
      <c r="AA57" s="4" t="s">
        <v>222</v>
      </c>
      <c r="AB57" s="4" t="s">
        <v>222</v>
      </c>
      <c r="AC57" s="4" t="s">
        <v>1082</v>
      </c>
      <c r="AD57" s="4" t="s">
        <v>938</v>
      </c>
      <c r="AE57" s="4" t="s">
        <v>183</v>
      </c>
      <c r="AF57" s="4" t="s">
        <v>836</v>
      </c>
      <c r="AG57" s="4"/>
      <c r="AH57" s="1" t="s">
        <v>183</v>
      </c>
      <c r="AI57" s="1" t="s">
        <v>2816</v>
      </c>
      <c r="AJ57" s="1" t="s">
        <v>184</v>
      </c>
      <c r="AK57" s="1" t="s">
        <v>183</v>
      </c>
    </row>
    <row r="58" spans="1:37" x14ac:dyDescent="0.3">
      <c r="A58" s="94">
        <f t="shared" si="0"/>
        <v>57</v>
      </c>
      <c r="B58" s="39" t="str">
        <f t="shared" si="1"/>
        <v>SPS KAROONDA RD BRENTWOOD</v>
      </c>
      <c r="C58" s="4" t="s">
        <v>108</v>
      </c>
      <c r="D58" s="4" t="s">
        <v>109</v>
      </c>
      <c r="E58" s="4" t="s">
        <v>858</v>
      </c>
      <c r="F58" s="4" t="s">
        <v>346</v>
      </c>
      <c r="G58" s="4" t="s">
        <v>347</v>
      </c>
      <c r="H58" s="4" t="s">
        <v>348</v>
      </c>
      <c r="I58" s="4" t="s">
        <v>876</v>
      </c>
      <c r="J58" s="4" t="s">
        <v>560</v>
      </c>
      <c r="K58" s="4" t="s">
        <v>644</v>
      </c>
      <c r="L58" s="4" t="s">
        <v>349</v>
      </c>
      <c r="M58" s="4" t="s">
        <v>350</v>
      </c>
      <c r="N58" s="4" t="s">
        <v>351</v>
      </c>
      <c r="O58" s="4">
        <v>1975</v>
      </c>
      <c r="P58" s="4" t="s">
        <v>868</v>
      </c>
      <c r="Q58" s="4" t="s">
        <v>222</v>
      </c>
      <c r="R58" s="4" t="s">
        <v>645</v>
      </c>
      <c r="S58" s="4" t="s">
        <v>571</v>
      </c>
      <c r="T58" s="4" t="s">
        <v>646</v>
      </c>
      <c r="U58" s="4" t="s">
        <v>222</v>
      </c>
      <c r="V58" s="4" t="s">
        <v>222</v>
      </c>
      <c r="W58" s="4" t="s">
        <v>222</v>
      </c>
      <c r="X58" s="4" t="s">
        <v>222</v>
      </c>
      <c r="Y58" s="4" t="s">
        <v>222</v>
      </c>
      <c r="Z58" s="4" t="s">
        <v>222</v>
      </c>
      <c r="AA58" s="4" t="s">
        <v>222</v>
      </c>
      <c r="AB58" s="4" t="s">
        <v>222</v>
      </c>
      <c r="AC58" s="4" t="s">
        <v>784</v>
      </c>
      <c r="AD58" s="4"/>
      <c r="AE58" s="4" t="s">
        <v>183</v>
      </c>
      <c r="AF58" s="4" t="s">
        <v>836</v>
      </c>
      <c r="AG58" s="4"/>
      <c r="AH58" s="1" t="s">
        <v>183</v>
      </c>
      <c r="AI58" s="1" t="s">
        <v>2816</v>
      </c>
      <c r="AJ58" s="1" t="s">
        <v>183</v>
      </c>
      <c r="AK58" s="1" t="s">
        <v>183</v>
      </c>
    </row>
    <row r="59" spans="1:37" x14ac:dyDescent="0.3">
      <c r="A59" s="94">
        <f t="shared" si="0"/>
        <v>58</v>
      </c>
      <c r="B59" s="39" t="str">
        <f t="shared" si="1"/>
        <v>SPS LEACH HWY BRENTWOOD</v>
      </c>
      <c r="C59" s="4" t="s">
        <v>128</v>
      </c>
      <c r="D59" s="4" t="s">
        <v>129</v>
      </c>
      <c r="E59" s="4" t="s">
        <v>858</v>
      </c>
      <c r="F59" s="4" t="s">
        <v>394</v>
      </c>
      <c r="G59" s="4" t="s">
        <v>347</v>
      </c>
      <c r="H59" s="4" t="s">
        <v>348</v>
      </c>
      <c r="I59" s="4" t="s">
        <v>890</v>
      </c>
      <c r="J59" s="4" t="s">
        <v>560</v>
      </c>
      <c r="K59" s="4" t="s">
        <v>676</v>
      </c>
      <c r="L59" s="4" t="s">
        <v>395</v>
      </c>
      <c r="M59" s="4" t="s">
        <v>396</v>
      </c>
      <c r="N59" s="4" t="s">
        <v>273</v>
      </c>
      <c r="O59" s="4">
        <v>1973</v>
      </c>
      <c r="P59" s="4" t="s">
        <v>868</v>
      </c>
      <c r="Q59" s="4" t="s">
        <v>222</v>
      </c>
      <c r="R59" s="4" t="s">
        <v>677</v>
      </c>
      <c r="S59" s="4" t="s">
        <v>222</v>
      </c>
      <c r="T59" s="4" t="s">
        <v>678</v>
      </c>
      <c r="U59" s="4">
        <v>100</v>
      </c>
      <c r="V59" s="4" t="s">
        <v>222</v>
      </c>
      <c r="W59" s="4" t="s">
        <v>222</v>
      </c>
      <c r="X59" s="4" t="s">
        <v>222</v>
      </c>
      <c r="Y59" s="4" t="s">
        <v>222</v>
      </c>
      <c r="Z59" s="4" t="s">
        <v>222</v>
      </c>
      <c r="AA59" s="4" t="s">
        <v>222</v>
      </c>
      <c r="AB59" s="4" t="s">
        <v>222</v>
      </c>
      <c r="AC59" s="4" t="s">
        <v>794</v>
      </c>
      <c r="AD59" s="4"/>
      <c r="AE59" s="4" t="s">
        <v>183</v>
      </c>
      <c r="AF59" s="4" t="s">
        <v>836</v>
      </c>
      <c r="AG59" s="4"/>
      <c r="AH59" s="1" t="s">
        <v>183</v>
      </c>
      <c r="AI59" s="1" t="s">
        <v>2816</v>
      </c>
      <c r="AJ59" s="1" t="s">
        <v>183</v>
      </c>
      <c r="AK59" s="1" t="s">
        <v>183</v>
      </c>
    </row>
    <row r="60" spans="1:37" x14ac:dyDescent="0.3">
      <c r="A60" s="94">
        <f t="shared" si="0"/>
        <v>59</v>
      </c>
      <c r="B60" s="39" t="str">
        <f t="shared" si="1"/>
        <v>SPS SWEETMAN ST ARDROSS</v>
      </c>
      <c r="C60" s="4" t="s">
        <v>2589</v>
      </c>
      <c r="D60" s="4" t="s">
        <v>2590</v>
      </c>
      <c r="E60" s="4" t="s">
        <v>1497</v>
      </c>
      <c r="F60" s="4" t="s">
        <v>2591</v>
      </c>
      <c r="G60" s="4" t="s">
        <v>2592</v>
      </c>
      <c r="H60" s="4" t="s">
        <v>348</v>
      </c>
      <c r="I60" s="4" t="s">
        <v>3036</v>
      </c>
      <c r="J60" s="4"/>
      <c r="K60" s="4"/>
      <c r="L60" s="4" t="s">
        <v>2593</v>
      </c>
      <c r="M60" s="4" t="s">
        <v>2594</v>
      </c>
      <c r="N60" s="4" t="s">
        <v>244</v>
      </c>
      <c r="O60" s="4">
        <v>1981</v>
      </c>
      <c r="P60" s="4"/>
      <c r="Q60" s="4" t="s">
        <v>612</v>
      </c>
      <c r="R60" s="4" t="s">
        <v>2595</v>
      </c>
      <c r="S60" s="4" t="s">
        <v>602</v>
      </c>
      <c r="T60" s="4" t="s">
        <v>2596</v>
      </c>
      <c r="U60" s="4" t="s">
        <v>222</v>
      </c>
      <c r="V60" s="4" t="s">
        <v>222</v>
      </c>
      <c r="W60" s="4" t="s">
        <v>222</v>
      </c>
      <c r="X60" s="4" t="s">
        <v>222</v>
      </c>
      <c r="Y60" s="4" t="s">
        <v>222</v>
      </c>
      <c r="Z60" s="4" t="s">
        <v>222</v>
      </c>
      <c r="AA60" s="4" t="s">
        <v>602</v>
      </c>
      <c r="AB60" s="4" t="s">
        <v>222</v>
      </c>
      <c r="AC60" s="4" t="s">
        <v>2597</v>
      </c>
      <c r="AD60" s="4" t="s">
        <v>938</v>
      </c>
      <c r="AE60" s="4" t="s">
        <v>183</v>
      </c>
      <c r="AF60" s="4" t="s">
        <v>844</v>
      </c>
      <c r="AG60" s="4"/>
      <c r="AH60" s="1" t="s">
        <v>183</v>
      </c>
      <c r="AI60" s="1" t="s">
        <v>2819</v>
      </c>
      <c r="AJ60" s="1" t="s">
        <v>183</v>
      </c>
      <c r="AK60" s="1" t="s">
        <v>183</v>
      </c>
    </row>
    <row r="61" spans="1:37" x14ac:dyDescent="0.3">
      <c r="A61" s="94">
        <f t="shared" si="0"/>
        <v>60</v>
      </c>
      <c r="B61" s="39" t="str">
        <f t="shared" si="1"/>
        <v>SPS THE ESPLANADE NTH MT PLEASANT</v>
      </c>
      <c r="C61" s="4" t="s">
        <v>2622</v>
      </c>
      <c r="D61" s="4" t="s">
        <v>2623</v>
      </c>
      <c r="E61" s="4" t="s">
        <v>1497</v>
      </c>
      <c r="F61" s="4" t="s">
        <v>2624</v>
      </c>
      <c r="G61" s="4" t="s">
        <v>1077</v>
      </c>
      <c r="H61" s="4" t="s">
        <v>348</v>
      </c>
      <c r="I61" s="4" t="s">
        <v>2769</v>
      </c>
      <c r="J61" s="4"/>
      <c r="K61" s="4"/>
      <c r="L61" s="4" t="s">
        <v>2625</v>
      </c>
      <c r="M61" s="4" t="s">
        <v>2626</v>
      </c>
      <c r="N61" s="4" t="s">
        <v>1436</v>
      </c>
      <c r="O61" s="4">
        <v>1983</v>
      </c>
      <c r="P61" s="4"/>
      <c r="Q61" s="4" t="s">
        <v>612</v>
      </c>
      <c r="R61" s="4" t="s">
        <v>2627</v>
      </c>
      <c r="S61" s="4" t="s">
        <v>602</v>
      </c>
      <c r="T61" s="4" t="s">
        <v>2628</v>
      </c>
      <c r="U61" s="4">
        <v>25</v>
      </c>
      <c r="V61" s="4">
        <v>22</v>
      </c>
      <c r="W61" s="4">
        <v>440</v>
      </c>
      <c r="X61" s="4" t="s">
        <v>222</v>
      </c>
      <c r="Y61" s="4" t="s">
        <v>222</v>
      </c>
      <c r="Z61" s="4" t="s">
        <v>222</v>
      </c>
      <c r="AA61" s="4" t="s">
        <v>222</v>
      </c>
      <c r="AB61" s="4" t="s">
        <v>222</v>
      </c>
      <c r="AC61" s="4" t="s">
        <v>2629</v>
      </c>
      <c r="AD61" s="4" t="s">
        <v>938</v>
      </c>
      <c r="AE61" s="4" t="s">
        <v>183</v>
      </c>
      <c r="AF61" s="4" t="s">
        <v>836</v>
      </c>
      <c r="AG61" s="4"/>
      <c r="AH61" s="1" t="s">
        <v>183</v>
      </c>
      <c r="AI61" s="1" t="s">
        <v>2815</v>
      </c>
      <c r="AJ61" s="1" t="s">
        <v>183</v>
      </c>
      <c r="AK61" s="1" t="s">
        <v>184</v>
      </c>
    </row>
    <row r="62" spans="1:37" x14ac:dyDescent="0.3">
      <c r="A62" s="94">
        <f t="shared" si="0"/>
        <v>61</v>
      </c>
      <c r="B62" s="39" t="str">
        <f t="shared" si="1"/>
        <v>SPS THE ESPLANADE STH MT PLEASANT</v>
      </c>
      <c r="C62" s="4" t="s">
        <v>2630</v>
      </c>
      <c r="D62" s="4" t="s">
        <v>2631</v>
      </c>
      <c r="E62" s="4" t="s">
        <v>1497</v>
      </c>
      <c r="F62" s="4" t="s">
        <v>2632</v>
      </c>
      <c r="G62" s="4" t="s">
        <v>1077</v>
      </c>
      <c r="H62" s="4" t="s">
        <v>348</v>
      </c>
      <c r="I62" s="4" t="s">
        <v>3040</v>
      </c>
      <c r="J62" s="4"/>
      <c r="K62" s="4"/>
      <c r="L62" s="4" t="s">
        <v>2633</v>
      </c>
      <c r="M62" s="4" t="s">
        <v>2634</v>
      </c>
      <c r="N62" s="4" t="s">
        <v>1283</v>
      </c>
      <c r="O62" s="4">
        <v>1986</v>
      </c>
      <c r="P62" s="4"/>
      <c r="Q62" s="4" t="s">
        <v>631</v>
      </c>
      <c r="R62" s="4" t="s">
        <v>2635</v>
      </c>
      <c r="S62" s="4" t="s">
        <v>571</v>
      </c>
      <c r="T62" s="4" t="s">
        <v>2636</v>
      </c>
      <c r="U62" s="4" t="s">
        <v>566</v>
      </c>
      <c r="V62" s="4" t="s">
        <v>222</v>
      </c>
      <c r="W62" s="4" t="s">
        <v>222</v>
      </c>
      <c r="X62" s="4" t="s">
        <v>222</v>
      </c>
      <c r="Y62" s="4" t="s">
        <v>222</v>
      </c>
      <c r="Z62" s="4" t="s">
        <v>222</v>
      </c>
      <c r="AA62" s="4" t="s">
        <v>222</v>
      </c>
      <c r="AB62" s="4" t="s">
        <v>222</v>
      </c>
      <c r="AC62" s="4" t="s">
        <v>2637</v>
      </c>
      <c r="AD62" s="4" t="s">
        <v>938</v>
      </c>
      <c r="AE62" s="4" t="s">
        <v>183</v>
      </c>
      <c r="AF62" s="4" t="s">
        <v>836</v>
      </c>
      <c r="AG62" s="4"/>
      <c r="AH62" s="1" t="s">
        <v>183</v>
      </c>
      <c r="AI62" s="1" t="s">
        <v>2815</v>
      </c>
      <c r="AJ62" s="1" t="s">
        <v>183</v>
      </c>
      <c r="AK62" s="1" t="s">
        <v>184</v>
      </c>
    </row>
    <row r="63" spans="1:37" x14ac:dyDescent="0.3">
      <c r="A63" s="94">
        <f t="shared" si="0"/>
        <v>62</v>
      </c>
      <c r="B63" s="39" t="str">
        <f t="shared" si="1"/>
        <v>SPS THE STRAND APPLECROSS</v>
      </c>
      <c r="C63" s="4" t="s">
        <v>2638</v>
      </c>
      <c r="D63" s="4" t="s">
        <v>2639</v>
      </c>
      <c r="E63" s="4" t="s">
        <v>1497</v>
      </c>
      <c r="F63" s="4" t="s">
        <v>2640</v>
      </c>
      <c r="G63" s="4" t="s">
        <v>954</v>
      </c>
      <c r="H63" s="4" t="s">
        <v>348</v>
      </c>
      <c r="I63" s="4" t="s">
        <v>3041</v>
      </c>
      <c r="J63" s="4"/>
      <c r="K63" s="4"/>
      <c r="L63" s="4" t="s">
        <v>2641</v>
      </c>
      <c r="M63" s="4" t="s">
        <v>2642</v>
      </c>
      <c r="N63" s="4" t="s">
        <v>360</v>
      </c>
      <c r="O63" s="4">
        <v>1983</v>
      </c>
      <c r="P63" s="4"/>
      <c r="Q63" s="4" t="s">
        <v>612</v>
      </c>
      <c r="R63" s="4" t="s">
        <v>2643</v>
      </c>
      <c r="S63" s="4" t="s">
        <v>222</v>
      </c>
      <c r="T63" s="4" t="s">
        <v>2644</v>
      </c>
      <c r="U63" s="4" t="s">
        <v>566</v>
      </c>
      <c r="V63" s="4" t="s">
        <v>222</v>
      </c>
      <c r="W63" s="4" t="s">
        <v>222</v>
      </c>
      <c r="X63" s="4" t="s">
        <v>222</v>
      </c>
      <c r="Y63" s="4" t="s">
        <v>222</v>
      </c>
      <c r="Z63" s="4" t="s">
        <v>222</v>
      </c>
      <c r="AA63" s="4" t="s">
        <v>222</v>
      </c>
      <c r="AB63" s="4" t="s">
        <v>222</v>
      </c>
      <c r="AC63" s="4" t="s">
        <v>2645</v>
      </c>
      <c r="AD63" s="4" t="s">
        <v>938</v>
      </c>
      <c r="AE63" s="4" t="s">
        <v>183</v>
      </c>
      <c r="AF63" s="4" t="s">
        <v>849</v>
      </c>
      <c r="AG63" s="4"/>
      <c r="AH63" s="1" t="s">
        <v>183</v>
      </c>
      <c r="AI63" s="1" t="s">
        <v>2815</v>
      </c>
      <c r="AJ63" s="1" t="s">
        <v>183</v>
      </c>
      <c r="AK63" s="1" t="s">
        <v>184</v>
      </c>
    </row>
    <row r="64" spans="1:37" x14ac:dyDescent="0.3">
      <c r="A64" s="94">
        <f t="shared" si="0"/>
        <v>63</v>
      </c>
      <c r="B64" s="39" t="str">
        <f t="shared" si="1"/>
        <v>SPS BICKLEY ST COMO</v>
      </c>
      <c r="C64" s="4" t="s">
        <v>1590</v>
      </c>
      <c r="D64" s="4" t="s">
        <v>1591</v>
      </c>
      <c r="E64" s="4" t="s">
        <v>1497</v>
      </c>
      <c r="F64" s="4" t="s">
        <v>1592</v>
      </c>
      <c r="G64" s="4" t="s">
        <v>1086</v>
      </c>
      <c r="H64" s="4" t="s">
        <v>403</v>
      </c>
      <c r="I64" s="4" t="s">
        <v>2918</v>
      </c>
      <c r="J64" s="4"/>
      <c r="K64" s="4"/>
      <c r="L64" s="4" t="s">
        <v>1593</v>
      </c>
      <c r="M64" s="4" t="s">
        <v>1594</v>
      </c>
      <c r="N64" s="4" t="s">
        <v>1263</v>
      </c>
      <c r="O64" s="4">
        <v>1965</v>
      </c>
      <c r="P64" s="4"/>
      <c r="Q64" s="4" t="s">
        <v>222</v>
      </c>
      <c r="R64" s="4" t="s">
        <v>1595</v>
      </c>
      <c r="S64" s="4" t="s">
        <v>222</v>
      </c>
      <c r="T64" s="4" t="s">
        <v>1596</v>
      </c>
      <c r="U64" s="4" t="s">
        <v>566</v>
      </c>
      <c r="V64" s="4" t="s">
        <v>222</v>
      </c>
      <c r="W64" s="4" t="s">
        <v>222</v>
      </c>
      <c r="X64" s="4" t="s">
        <v>222</v>
      </c>
      <c r="Y64" s="4" t="s">
        <v>222</v>
      </c>
      <c r="Z64" s="4" t="s">
        <v>222</v>
      </c>
      <c r="AA64" s="4" t="s">
        <v>222</v>
      </c>
      <c r="AB64" s="4" t="s">
        <v>222</v>
      </c>
      <c r="AC64" s="4" t="s">
        <v>1597</v>
      </c>
      <c r="AD64" s="4" t="s">
        <v>938</v>
      </c>
      <c r="AE64" s="4" t="s">
        <v>183</v>
      </c>
      <c r="AF64" s="4" t="s">
        <v>836</v>
      </c>
      <c r="AG64" s="4"/>
      <c r="AH64" s="1" t="s">
        <v>183</v>
      </c>
      <c r="AI64" s="1" t="s">
        <v>2815</v>
      </c>
      <c r="AJ64" s="1" t="s">
        <v>183</v>
      </c>
      <c r="AK64" s="1" t="s">
        <v>184</v>
      </c>
    </row>
    <row r="65" spans="1:37" x14ac:dyDescent="0.3">
      <c r="A65" s="94">
        <f t="shared" si="0"/>
        <v>64</v>
      </c>
      <c r="B65" s="39" t="str">
        <f t="shared" si="1"/>
        <v>SPS EDGEWATER RD SALTER POINT</v>
      </c>
      <c r="C65" s="4" t="s">
        <v>1872</v>
      </c>
      <c r="D65" s="4" t="s">
        <v>1873</v>
      </c>
      <c r="E65" s="4" t="s">
        <v>1497</v>
      </c>
      <c r="F65" s="4" t="s">
        <v>1874</v>
      </c>
      <c r="G65" s="4" t="s">
        <v>1875</v>
      </c>
      <c r="H65" s="4" t="s">
        <v>403</v>
      </c>
      <c r="I65" s="4" t="s">
        <v>2950</v>
      </c>
      <c r="J65" s="4"/>
      <c r="K65" s="4"/>
      <c r="L65" s="4" t="s">
        <v>1876</v>
      </c>
      <c r="M65" s="4" t="s">
        <v>1877</v>
      </c>
      <c r="N65" s="4" t="s">
        <v>256</v>
      </c>
      <c r="O65" s="4">
        <v>1978</v>
      </c>
      <c r="P65" s="4"/>
      <c r="Q65" s="4" t="s">
        <v>222</v>
      </c>
      <c r="R65" s="4" t="s">
        <v>1878</v>
      </c>
      <c r="S65" s="4" t="s">
        <v>602</v>
      </c>
      <c r="T65" s="4" t="s">
        <v>1879</v>
      </c>
      <c r="U65" s="4" t="s">
        <v>566</v>
      </c>
      <c r="V65" s="4" t="s">
        <v>222</v>
      </c>
      <c r="W65" s="4" t="s">
        <v>222</v>
      </c>
      <c r="X65" s="4" t="s">
        <v>222</v>
      </c>
      <c r="Y65" s="4" t="s">
        <v>222</v>
      </c>
      <c r="Z65" s="4" t="s">
        <v>222</v>
      </c>
      <c r="AA65" s="4" t="s">
        <v>222</v>
      </c>
      <c r="AB65" s="4" t="s">
        <v>222</v>
      </c>
      <c r="AC65" s="4" t="s">
        <v>1880</v>
      </c>
      <c r="AD65" s="4" t="s">
        <v>938</v>
      </c>
      <c r="AE65" s="4" t="s">
        <v>183</v>
      </c>
      <c r="AF65" s="4" t="s">
        <v>836</v>
      </c>
      <c r="AG65" s="4"/>
      <c r="AH65" s="1" t="s">
        <v>183</v>
      </c>
      <c r="AI65" s="1" t="s">
        <v>2819</v>
      </c>
      <c r="AJ65" s="1" t="s">
        <v>183</v>
      </c>
      <c r="AK65" s="1" t="s">
        <v>183</v>
      </c>
    </row>
    <row r="66" spans="1:37" x14ac:dyDescent="0.3">
      <c r="A66" s="94">
        <f t="shared" ref="A66:A129" si="2">VLOOKUP(B66,AuditNum,2,FALSE)</f>
        <v>65</v>
      </c>
      <c r="B66" s="39" t="str">
        <f t="shared" ref="B66:B129" si="3">D66</f>
        <v>SPS THELMA ST WEST COMO</v>
      </c>
      <c r="C66" s="4" t="s">
        <v>1083</v>
      </c>
      <c r="D66" s="4" t="s">
        <v>1084</v>
      </c>
      <c r="E66" s="4" t="s">
        <v>931</v>
      </c>
      <c r="F66" s="4" t="s">
        <v>1085</v>
      </c>
      <c r="G66" s="4" t="s">
        <v>1086</v>
      </c>
      <c r="H66" s="4" t="s">
        <v>403</v>
      </c>
      <c r="I66" s="4" t="s">
        <v>2770</v>
      </c>
      <c r="J66" s="4"/>
      <c r="K66" s="4"/>
      <c r="L66" s="4" t="s">
        <v>1087</v>
      </c>
      <c r="M66" s="4" t="s">
        <v>1088</v>
      </c>
      <c r="N66" s="4" t="s">
        <v>1089</v>
      </c>
      <c r="O66" s="4">
        <v>1976</v>
      </c>
      <c r="P66" s="4" t="s">
        <v>946</v>
      </c>
      <c r="Q66" s="4" t="s">
        <v>631</v>
      </c>
      <c r="R66" s="4" t="s">
        <v>1090</v>
      </c>
      <c r="S66" s="4" t="s">
        <v>571</v>
      </c>
      <c r="T66" s="4" t="s">
        <v>1091</v>
      </c>
      <c r="U66" s="4" t="s">
        <v>566</v>
      </c>
      <c r="V66" s="4" t="s">
        <v>222</v>
      </c>
      <c r="W66" s="4" t="s">
        <v>222</v>
      </c>
      <c r="X66" s="4" t="s">
        <v>222</v>
      </c>
      <c r="Y66" s="4" t="s">
        <v>222</v>
      </c>
      <c r="Z66" s="4" t="s">
        <v>222</v>
      </c>
      <c r="AA66" s="4" t="s">
        <v>222</v>
      </c>
      <c r="AB66" s="4" t="s">
        <v>222</v>
      </c>
      <c r="AC66" s="4" t="s">
        <v>1092</v>
      </c>
      <c r="AD66" s="4" t="s">
        <v>938</v>
      </c>
      <c r="AE66" s="4" t="s">
        <v>183</v>
      </c>
      <c r="AF66" s="4" t="s">
        <v>836</v>
      </c>
      <c r="AG66" s="4"/>
      <c r="AH66" s="1" t="s">
        <v>183</v>
      </c>
      <c r="AI66" s="1" t="s">
        <v>2819</v>
      </c>
      <c r="AJ66" s="1" t="s">
        <v>183</v>
      </c>
      <c r="AK66" s="1" t="s">
        <v>183</v>
      </c>
    </row>
    <row r="67" spans="1:37" x14ac:dyDescent="0.3">
      <c r="A67" s="94">
        <f t="shared" si="2"/>
        <v>66</v>
      </c>
      <c r="B67" s="39" t="str">
        <f t="shared" si="3"/>
        <v>SPS JARMAN AV MANNING</v>
      </c>
      <c r="C67" s="4" t="s">
        <v>134</v>
      </c>
      <c r="D67" s="4" t="s">
        <v>135</v>
      </c>
      <c r="E67" s="4" t="s">
        <v>858</v>
      </c>
      <c r="F67" s="4" t="s">
        <v>406</v>
      </c>
      <c r="G67" s="4" t="s">
        <v>407</v>
      </c>
      <c r="H67" s="4" t="s">
        <v>403</v>
      </c>
      <c r="I67" s="4" t="s">
        <v>893</v>
      </c>
      <c r="J67" s="4" t="s">
        <v>560</v>
      </c>
      <c r="K67" s="4" t="s">
        <v>686</v>
      </c>
      <c r="L67" s="4" t="s">
        <v>408</v>
      </c>
      <c r="M67" s="4" t="s">
        <v>409</v>
      </c>
      <c r="N67" s="4" t="s">
        <v>410</v>
      </c>
      <c r="O67" s="4">
        <v>2003</v>
      </c>
      <c r="P67" s="4" t="s">
        <v>887</v>
      </c>
      <c r="Q67" s="4" t="s">
        <v>631</v>
      </c>
      <c r="R67" s="4" t="s">
        <v>687</v>
      </c>
      <c r="S67" s="4" t="s">
        <v>571</v>
      </c>
      <c r="T67" s="4" t="s">
        <v>688</v>
      </c>
      <c r="U67" s="4" t="s">
        <v>566</v>
      </c>
      <c r="V67" s="4" t="s">
        <v>222</v>
      </c>
      <c r="W67" s="4">
        <v>415</v>
      </c>
      <c r="X67" s="4" t="s">
        <v>222</v>
      </c>
      <c r="Y67" s="4" t="s">
        <v>222</v>
      </c>
      <c r="Z67" s="4" t="s">
        <v>222</v>
      </c>
      <c r="AA67" s="4" t="s">
        <v>222</v>
      </c>
      <c r="AB67" s="4" t="s">
        <v>222</v>
      </c>
      <c r="AC67" s="4" t="s">
        <v>797</v>
      </c>
      <c r="AD67" s="4"/>
      <c r="AE67" s="4" t="s">
        <v>183</v>
      </c>
      <c r="AF67" s="4" t="s">
        <v>836</v>
      </c>
      <c r="AG67" s="4"/>
      <c r="AH67" s="1" t="s">
        <v>183</v>
      </c>
      <c r="AI67" s="1" t="s">
        <v>2815</v>
      </c>
      <c r="AJ67" s="1" t="s">
        <v>184</v>
      </c>
      <c r="AK67" s="1" t="s">
        <v>184</v>
      </c>
    </row>
    <row r="68" spans="1:37" x14ac:dyDescent="0.3">
      <c r="A68" s="94">
        <f t="shared" si="2"/>
        <v>67</v>
      </c>
      <c r="B68" s="39" t="str">
        <f t="shared" si="3"/>
        <v>SPS MANNING RD WEST KARAWARA</v>
      </c>
      <c r="C68" s="4" t="s">
        <v>132</v>
      </c>
      <c r="D68" s="4" t="s">
        <v>133</v>
      </c>
      <c r="E68" s="4" t="s">
        <v>858</v>
      </c>
      <c r="F68" s="4" t="s">
        <v>401</v>
      </c>
      <c r="G68" s="4" t="s">
        <v>402</v>
      </c>
      <c r="H68" s="4" t="s">
        <v>403</v>
      </c>
      <c r="I68" s="4" t="s">
        <v>892</v>
      </c>
      <c r="J68" s="4" t="s">
        <v>560</v>
      </c>
      <c r="K68" s="4" t="s">
        <v>682</v>
      </c>
      <c r="L68" s="4" t="s">
        <v>404</v>
      </c>
      <c r="M68" s="4" t="s">
        <v>405</v>
      </c>
      <c r="N68" s="4" t="s">
        <v>301</v>
      </c>
      <c r="O68" s="4">
        <v>1970</v>
      </c>
      <c r="P68" s="4" t="s">
        <v>868</v>
      </c>
      <c r="Q68" s="4" t="s">
        <v>222</v>
      </c>
      <c r="R68" s="4" t="s">
        <v>683</v>
      </c>
      <c r="S68" s="4" t="s">
        <v>684</v>
      </c>
      <c r="T68" s="4" t="s">
        <v>685</v>
      </c>
      <c r="U68" s="4">
        <v>200</v>
      </c>
      <c r="V68" s="4">
        <v>11</v>
      </c>
      <c r="W68" s="4">
        <v>440</v>
      </c>
      <c r="X68" s="4" t="s">
        <v>222</v>
      </c>
      <c r="Y68" s="4" t="s">
        <v>222</v>
      </c>
      <c r="Z68" s="4" t="s">
        <v>222</v>
      </c>
      <c r="AA68" s="4" t="s">
        <v>222</v>
      </c>
      <c r="AB68" s="4" t="s">
        <v>222</v>
      </c>
      <c r="AC68" s="4" t="s">
        <v>796</v>
      </c>
      <c r="AD68" s="4"/>
      <c r="AE68" s="4" t="s">
        <v>183</v>
      </c>
      <c r="AF68" s="4" t="s">
        <v>849</v>
      </c>
      <c r="AG68" s="4"/>
      <c r="AH68" s="1" t="s">
        <v>183</v>
      </c>
      <c r="AI68" s="1" t="s">
        <v>2815</v>
      </c>
      <c r="AJ68" s="1" t="s">
        <v>183</v>
      </c>
      <c r="AK68" s="1" t="s">
        <v>184</v>
      </c>
    </row>
    <row r="69" spans="1:37" x14ac:dyDescent="0.3">
      <c r="A69" s="94">
        <f t="shared" si="2"/>
        <v>68</v>
      </c>
      <c r="B69" s="39" t="str">
        <f t="shared" si="3"/>
        <v>SPS GRIFFIN CR MANNING</v>
      </c>
      <c r="C69" s="4" t="s">
        <v>2028</v>
      </c>
      <c r="D69" s="4" t="s">
        <v>2029</v>
      </c>
      <c r="E69" s="4" t="s">
        <v>1497</v>
      </c>
      <c r="F69" s="4" t="s">
        <v>2030</v>
      </c>
      <c r="G69" s="4" t="s">
        <v>407</v>
      </c>
      <c r="H69" s="4" t="s">
        <v>403</v>
      </c>
      <c r="I69" s="4" t="s">
        <v>2968</v>
      </c>
      <c r="J69" s="4"/>
      <c r="K69" s="4"/>
      <c r="L69" s="4" t="s">
        <v>2031</v>
      </c>
      <c r="M69" s="4" t="s">
        <v>2032</v>
      </c>
      <c r="N69" s="4" t="s">
        <v>1481</v>
      </c>
      <c r="O69" s="4">
        <v>1955</v>
      </c>
      <c r="P69" s="4"/>
      <c r="Q69" s="4" t="s">
        <v>222</v>
      </c>
      <c r="R69" s="4" t="s">
        <v>2033</v>
      </c>
      <c r="S69" s="4" t="s">
        <v>571</v>
      </c>
      <c r="T69" s="4" t="s">
        <v>2034</v>
      </c>
      <c r="U69" s="4" t="s">
        <v>566</v>
      </c>
      <c r="V69" s="4" t="s">
        <v>222</v>
      </c>
      <c r="W69" s="4" t="s">
        <v>222</v>
      </c>
      <c r="X69" s="4" t="s">
        <v>222</v>
      </c>
      <c r="Y69" s="4" t="s">
        <v>222</v>
      </c>
      <c r="Z69" s="4" t="s">
        <v>222</v>
      </c>
      <c r="AA69" s="4" t="s">
        <v>222</v>
      </c>
      <c r="AB69" s="4" t="s">
        <v>222</v>
      </c>
      <c r="AC69" s="4" t="s">
        <v>2035</v>
      </c>
      <c r="AD69" s="4" t="s">
        <v>938</v>
      </c>
      <c r="AE69" s="4" t="s">
        <v>183</v>
      </c>
      <c r="AF69" s="4" t="s">
        <v>836</v>
      </c>
      <c r="AG69" s="4"/>
      <c r="AH69" s="1" t="s">
        <v>184</v>
      </c>
      <c r="AI69" s="1" t="s">
        <v>2815</v>
      </c>
      <c r="AJ69" s="1" t="s">
        <v>184</v>
      </c>
      <c r="AK69" s="1" t="s">
        <v>184</v>
      </c>
    </row>
    <row r="70" spans="1:37" x14ac:dyDescent="0.3">
      <c r="A70" s="94">
        <f t="shared" si="2"/>
        <v>69</v>
      </c>
      <c r="B70" s="39" t="str">
        <f t="shared" si="3"/>
        <v>SPS HOWARD PDE SALTER POINT</v>
      </c>
      <c r="C70" s="4" t="s">
        <v>2094</v>
      </c>
      <c r="D70" s="4" t="s">
        <v>2095</v>
      </c>
      <c r="E70" s="4" t="s">
        <v>1497</v>
      </c>
      <c r="F70" s="4" t="s">
        <v>2096</v>
      </c>
      <c r="G70" s="4" t="s">
        <v>1875</v>
      </c>
      <c r="H70" s="4" t="s">
        <v>403</v>
      </c>
      <c r="I70" s="4" t="s">
        <v>2976</v>
      </c>
      <c r="J70" s="4"/>
      <c r="K70" s="4"/>
      <c r="L70" s="4" t="s">
        <v>2097</v>
      </c>
      <c r="M70" s="4" t="s">
        <v>2098</v>
      </c>
      <c r="N70" s="4" t="s">
        <v>273</v>
      </c>
      <c r="O70" s="4">
        <v>1975</v>
      </c>
      <c r="P70" s="4"/>
      <c r="Q70" s="4" t="s">
        <v>222</v>
      </c>
      <c r="R70" s="4" t="s">
        <v>2099</v>
      </c>
      <c r="S70" s="4" t="s">
        <v>222</v>
      </c>
      <c r="T70" s="4" t="s">
        <v>2100</v>
      </c>
      <c r="U70" s="4" t="s">
        <v>566</v>
      </c>
      <c r="V70" s="4" t="s">
        <v>222</v>
      </c>
      <c r="W70" s="4" t="s">
        <v>222</v>
      </c>
      <c r="X70" s="4" t="s">
        <v>222</v>
      </c>
      <c r="Y70" s="4" t="s">
        <v>222</v>
      </c>
      <c r="Z70" s="4" t="s">
        <v>222</v>
      </c>
      <c r="AA70" s="4" t="s">
        <v>222</v>
      </c>
      <c r="AB70" s="4" t="s">
        <v>222</v>
      </c>
      <c r="AC70" s="4" t="s">
        <v>2101</v>
      </c>
      <c r="AD70" s="4" t="s">
        <v>938</v>
      </c>
      <c r="AE70" s="4" t="s">
        <v>183</v>
      </c>
      <c r="AF70" s="4" t="s">
        <v>836</v>
      </c>
      <c r="AG70" s="4"/>
      <c r="AH70" s="1" t="s">
        <v>183</v>
      </c>
      <c r="AI70" s="1" t="s">
        <v>2815</v>
      </c>
      <c r="AJ70" s="1" t="s">
        <v>183</v>
      </c>
      <c r="AK70" s="1" t="s">
        <v>184</v>
      </c>
    </row>
    <row r="71" spans="1:37" x14ac:dyDescent="0.3">
      <c r="A71" s="94">
        <f t="shared" si="2"/>
        <v>70</v>
      </c>
      <c r="B71" s="39" t="str">
        <f t="shared" si="3"/>
        <v>SPS KILKENNY CIR WATERFORD</v>
      </c>
      <c r="C71" s="4" t="s">
        <v>2193</v>
      </c>
      <c r="D71" s="4" t="s">
        <v>2194</v>
      </c>
      <c r="E71" s="4" t="s">
        <v>1497</v>
      </c>
      <c r="F71" s="4" t="s">
        <v>2195</v>
      </c>
      <c r="G71" s="4" t="s">
        <v>2196</v>
      </c>
      <c r="H71" s="4" t="s">
        <v>403</v>
      </c>
      <c r="I71" s="4" t="s">
        <v>2987</v>
      </c>
      <c r="J71" s="4"/>
      <c r="K71" s="4"/>
      <c r="L71" s="4" t="s">
        <v>2197</v>
      </c>
      <c r="M71" s="4" t="s">
        <v>2198</v>
      </c>
      <c r="N71" s="4" t="s">
        <v>318</v>
      </c>
      <c r="O71" s="4">
        <v>1980</v>
      </c>
      <c r="P71" s="4"/>
      <c r="Q71" s="4" t="s">
        <v>612</v>
      </c>
      <c r="R71" s="4" t="s">
        <v>2199</v>
      </c>
      <c r="S71" s="4" t="s">
        <v>602</v>
      </c>
      <c r="T71" s="4" t="s">
        <v>2200</v>
      </c>
      <c r="U71" s="4" t="s">
        <v>566</v>
      </c>
      <c r="V71" s="4" t="s">
        <v>222</v>
      </c>
      <c r="W71" s="4" t="s">
        <v>222</v>
      </c>
      <c r="X71" s="4" t="s">
        <v>222</v>
      </c>
      <c r="Y71" s="4" t="s">
        <v>222</v>
      </c>
      <c r="Z71" s="4" t="s">
        <v>222</v>
      </c>
      <c r="AA71" s="4" t="s">
        <v>222</v>
      </c>
      <c r="AB71" s="4" t="s">
        <v>222</v>
      </c>
      <c r="AC71" s="4" t="s">
        <v>2201</v>
      </c>
      <c r="AD71" s="4" t="s">
        <v>938</v>
      </c>
      <c r="AE71" s="4" t="s">
        <v>183</v>
      </c>
      <c r="AF71" s="4" t="s">
        <v>836</v>
      </c>
      <c r="AG71" s="4"/>
      <c r="AH71" s="1" t="s">
        <v>183</v>
      </c>
      <c r="AI71" s="1" t="s">
        <v>2819</v>
      </c>
      <c r="AJ71" s="1" t="s">
        <v>183</v>
      </c>
      <c r="AK71" s="1" t="s">
        <v>184</v>
      </c>
    </row>
    <row r="72" spans="1:37" x14ac:dyDescent="0.3">
      <c r="A72" s="94">
        <f t="shared" si="2"/>
        <v>71</v>
      </c>
      <c r="B72" s="39" t="str">
        <f t="shared" si="3"/>
        <v>SPS ROBERT ST COMO</v>
      </c>
      <c r="C72" s="4" t="s">
        <v>2481</v>
      </c>
      <c r="D72" s="4" t="s">
        <v>2482</v>
      </c>
      <c r="E72" s="4" t="s">
        <v>1497</v>
      </c>
      <c r="F72" s="4" t="s">
        <v>2483</v>
      </c>
      <c r="G72" s="4" t="s">
        <v>1086</v>
      </c>
      <c r="H72" s="4" t="s">
        <v>403</v>
      </c>
      <c r="I72" s="4" t="s">
        <v>3023</v>
      </c>
      <c r="J72" s="4"/>
      <c r="K72" s="4"/>
      <c r="L72" s="4" t="s">
        <v>2484</v>
      </c>
      <c r="M72" s="4" t="s">
        <v>2485</v>
      </c>
      <c r="N72" s="4" t="s">
        <v>256</v>
      </c>
      <c r="O72" s="4">
        <v>1979</v>
      </c>
      <c r="P72" s="4"/>
      <c r="Q72" s="4" t="s">
        <v>612</v>
      </c>
      <c r="R72" s="4" t="s">
        <v>2486</v>
      </c>
      <c r="S72" s="4" t="s">
        <v>571</v>
      </c>
      <c r="T72" s="4" t="s">
        <v>2487</v>
      </c>
      <c r="U72" s="4" t="s">
        <v>566</v>
      </c>
      <c r="V72" s="4" t="s">
        <v>222</v>
      </c>
      <c r="W72" s="4" t="s">
        <v>222</v>
      </c>
      <c r="X72" s="4" t="s">
        <v>222</v>
      </c>
      <c r="Y72" s="4" t="s">
        <v>222</v>
      </c>
      <c r="Z72" s="4" t="s">
        <v>222</v>
      </c>
      <c r="AA72" s="4" t="s">
        <v>222</v>
      </c>
      <c r="AB72" s="4" t="s">
        <v>222</v>
      </c>
      <c r="AC72" s="4" t="s">
        <v>2488</v>
      </c>
      <c r="AD72" s="4" t="s">
        <v>938</v>
      </c>
      <c r="AE72" s="4" t="s">
        <v>183</v>
      </c>
      <c r="AF72" s="4" t="s">
        <v>836</v>
      </c>
      <c r="AG72" s="4"/>
      <c r="AH72" s="1" t="s">
        <v>183</v>
      </c>
      <c r="AI72" s="1" t="s">
        <v>2815</v>
      </c>
      <c r="AJ72" s="1" t="s">
        <v>183</v>
      </c>
      <c r="AK72" s="1" t="s">
        <v>184</v>
      </c>
    </row>
    <row r="73" spans="1:37" x14ac:dyDescent="0.3">
      <c r="A73" s="94">
        <f t="shared" si="2"/>
        <v>72</v>
      </c>
      <c r="B73" s="39" t="str">
        <f t="shared" si="3"/>
        <v>SPS BOWMAN ST SOUTH PERTH</v>
      </c>
      <c r="C73" s="4" t="s">
        <v>172</v>
      </c>
      <c r="D73" s="4" t="s">
        <v>173</v>
      </c>
      <c r="E73" s="4" t="s">
        <v>858</v>
      </c>
      <c r="F73" s="4" t="s">
        <v>496</v>
      </c>
      <c r="G73" s="4" t="s">
        <v>497</v>
      </c>
      <c r="H73" s="4" t="s">
        <v>498</v>
      </c>
      <c r="I73" s="4" t="s">
        <v>920</v>
      </c>
      <c r="J73" s="4" t="s">
        <v>560</v>
      </c>
      <c r="K73" s="4" t="s">
        <v>744</v>
      </c>
      <c r="L73" s="4" t="s">
        <v>499</v>
      </c>
      <c r="M73" s="4" t="s">
        <v>500</v>
      </c>
      <c r="N73" s="4" t="s">
        <v>436</v>
      </c>
      <c r="O73" s="4">
        <v>1939</v>
      </c>
      <c r="P73" s="4" t="s">
        <v>921</v>
      </c>
      <c r="Q73" s="4" t="s">
        <v>222</v>
      </c>
      <c r="R73" s="4" t="s">
        <v>745</v>
      </c>
      <c r="S73" s="4" t="s">
        <v>222</v>
      </c>
      <c r="T73" s="4" t="s">
        <v>746</v>
      </c>
      <c r="U73" s="4" t="s">
        <v>566</v>
      </c>
      <c r="V73" s="4" t="s">
        <v>222</v>
      </c>
      <c r="W73" s="4" t="s">
        <v>222</v>
      </c>
      <c r="X73" s="4" t="s">
        <v>222</v>
      </c>
      <c r="Y73" s="4" t="s">
        <v>222</v>
      </c>
      <c r="Z73" s="4" t="s">
        <v>222</v>
      </c>
      <c r="AA73" s="4" t="s">
        <v>222</v>
      </c>
      <c r="AB73" s="4" t="s">
        <v>222</v>
      </c>
      <c r="AC73" s="4" t="s">
        <v>816</v>
      </c>
      <c r="AD73" s="4"/>
      <c r="AE73" s="4" t="s">
        <v>183</v>
      </c>
      <c r="AF73" s="4" t="s">
        <v>836</v>
      </c>
      <c r="AG73" s="4"/>
      <c r="AH73" s="1" t="s">
        <v>183</v>
      </c>
      <c r="AI73" s="1" t="s">
        <v>2815</v>
      </c>
      <c r="AJ73" s="1" t="s">
        <v>183</v>
      </c>
      <c r="AK73" s="1" t="s">
        <v>184</v>
      </c>
    </row>
    <row r="74" spans="1:37" x14ac:dyDescent="0.3">
      <c r="A74" s="94">
        <f t="shared" si="2"/>
        <v>73</v>
      </c>
      <c r="B74" s="39" t="str">
        <f t="shared" si="3"/>
        <v>SPS MENDS ST SOUTH PERTH</v>
      </c>
      <c r="C74" s="4" t="s">
        <v>2293</v>
      </c>
      <c r="D74" s="4" t="s">
        <v>2294</v>
      </c>
      <c r="E74" s="4" t="s">
        <v>1497</v>
      </c>
      <c r="F74" s="4" t="s">
        <v>2295</v>
      </c>
      <c r="G74" s="4" t="s">
        <v>497</v>
      </c>
      <c r="H74" s="4" t="s">
        <v>498</v>
      </c>
      <c r="I74" s="4" t="s">
        <v>2999</v>
      </c>
      <c r="J74" s="4"/>
      <c r="K74" s="4"/>
      <c r="L74" s="4" t="s">
        <v>2296</v>
      </c>
      <c r="M74" s="4" t="s">
        <v>2297</v>
      </c>
      <c r="N74" s="4" t="s">
        <v>436</v>
      </c>
      <c r="O74" s="4">
        <v>1983</v>
      </c>
      <c r="P74" s="4"/>
      <c r="Q74" s="4" t="s">
        <v>612</v>
      </c>
      <c r="R74" s="4" t="s">
        <v>2298</v>
      </c>
      <c r="S74" s="4" t="s">
        <v>602</v>
      </c>
      <c r="T74" s="4" t="s">
        <v>2299</v>
      </c>
      <c r="U74" s="4" t="s">
        <v>566</v>
      </c>
      <c r="V74" s="4" t="s">
        <v>222</v>
      </c>
      <c r="W74" s="4" t="s">
        <v>222</v>
      </c>
      <c r="X74" s="4" t="s">
        <v>222</v>
      </c>
      <c r="Y74" s="4" t="s">
        <v>222</v>
      </c>
      <c r="Z74" s="4" t="s">
        <v>222</v>
      </c>
      <c r="AA74" s="4" t="s">
        <v>222</v>
      </c>
      <c r="AB74" s="4" t="s">
        <v>222</v>
      </c>
      <c r="AC74" s="4" t="s">
        <v>2300</v>
      </c>
      <c r="AD74" s="4" t="s">
        <v>938</v>
      </c>
      <c r="AE74" s="4" t="s">
        <v>183</v>
      </c>
      <c r="AF74" s="4" t="s">
        <v>836</v>
      </c>
      <c r="AG74" s="4"/>
      <c r="AH74" s="1" t="s">
        <v>183</v>
      </c>
      <c r="AI74" s="1" t="s">
        <v>2815</v>
      </c>
      <c r="AJ74" s="1" t="s">
        <v>183</v>
      </c>
      <c r="AK74" s="1" t="s">
        <v>184</v>
      </c>
    </row>
    <row r="75" spans="1:37" x14ac:dyDescent="0.3">
      <c r="A75" s="94">
        <f t="shared" si="2"/>
        <v>74</v>
      </c>
      <c r="B75" s="39" t="str">
        <f t="shared" si="3"/>
        <v>SPS MILL POINT RD SOUTH PERTH</v>
      </c>
      <c r="C75" s="4" t="s">
        <v>2301</v>
      </c>
      <c r="D75" s="4" t="s">
        <v>2302</v>
      </c>
      <c r="E75" s="4" t="s">
        <v>1497</v>
      </c>
      <c r="F75" s="4" t="s">
        <v>2303</v>
      </c>
      <c r="G75" s="4" t="s">
        <v>497</v>
      </c>
      <c r="H75" s="4" t="s">
        <v>498</v>
      </c>
      <c r="I75" s="4" t="s">
        <v>3000</v>
      </c>
      <c r="J75" s="4"/>
      <c r="K75" s="4"/>
      <c r="L75" s="4" t="s">
        <v>2304</v>
      </c>
      <c r="M75" s="4" t="s">
        <v>2305</v>
      </c>
      <c r="N75" s="4" t="s">
        <v>436</v>
      </c>
      <c r="O75" s="4">
        <v>1977</v>
      </c>
      <c r="P75" s="4"/>
      <c r="Q75" s="4" t="s">
        <v>222</v>
      </c>
      <c r="R75" s="4" t="s">
        <v>2306</v>
      </c>
      <c r="S75" s="4" t="s">
        <v>222</v>
      </c>
      <c r="T75" s="4" t="s">
        <v>222</v>
      </c>
      <c r="U75" s="4" t="s">
        <v>566</v>
      </c>
      <c r="V75" s="4" t="s">
        <v>222</v>
      </c>
      <c r="W75" s="4" t="s">
        <v>222</v>
      </c>
      <c r="X75" s="4" t="s">
        <v>222</v>
      </c>
      <c r="Y75" s="4" t="s">
        <v>222</v>
      </c>
      <c r="Z75" s="4" t="s">
        <v>222</v>
      </c>
      <c r="AA75" s="4" t="s">
        <v>222</v>
      </c>
      <c r="AB75" s="4" t="s">
        <v>222</v>
      </c>
      <c r="AC75" s="4" t="s">
        <v>2307</v>
      </c>
      <c r="AD75" s="4" t="s">
        <v>938</v>
      </c>
      <c r="AE75" s="4" t="s">
        <v>183</v>
      </c>
      <c r="AF75" s="4" t="s">
        <v>836</v>
      </c>
      <c r="AG75" s="4"/>
      <c r="AH75" s="1" t="s">
        <v>183</v>
      </c>
      <c r="AI75" s="1" t="s">
        <v>2815</v>
      </c>
      <c r="AJ75" s="1" t="s">
        <v>183</v>
      </c>
      <c r="AK75" s="1" t="s">
        <v>184</v>
      </c>
    </row>
    <row r="76" spans="1:37" x14ac:dyDescent="0.3">
      <c r="A76" s="94">
        <f t="shared" si="2"/>
        <v>75</v>
      </c>
      <c r="B76" s="39" t="str">
        <f t="shared" si="3"/>
        <v>SPS CHALMERS PL LEEMING</v>
      </c>
      <c r="C76" s="4" t="s">
        <v>1730</v>
      </c>
      <c r="D76" s="4" t="s">
        <v>1731</v>
      </c>
      <c r="E76" s="4" t="s">
        <v>1497</v>
      </c>
      <c r="F76" s="4" t="s">
        <v>1732</v>
      </c>
      <c r="G76" s="4" t="s">
        <v>1733</v>
      </c>
      <c r="H76" s="4" t="s">
        <v>1734</v>
      </c>
      <c r="I76" s="4" t="s">
        <v>2934</v>
      </c>
      <c r="J76" s="4"/>
      <c r="K76" s="4"/>
      <c r="L76" s="4" t="s">
        <v>1735</v>
      </c>
      <c r="M76" s="4" t="s">
        <v>1736</v>
      </c>
      <c r="N76" s="4" t="s">
        <v>445</v>
      </c>
      <c r="O76" s="4">
        <v>1977</v>
      </c>
      <c r="P76" s="4"/>
      <c r="Q76" s="4" t="s">
        <v>222</v>
      </c>
      <c r="R76" s="4" t="s">
        <v>1737</v>
      </c>
      <c r="S76" s="4" t="s">
        <v>571</v>
      </c>
      <c r="T76" s="4" t="s">
        <v>1738</v>
      </c>
      <c r="U76" s="4" t="s">
        <v>566</v>
      </c>
      <c r="V76" s="4" t="s">
        <v>222</v>
      </c>
      <c r="W76" s="4" t="s">
        <v>222</v>
      </c>
      <c r="X76" s="4" t="s">
        <v>222</v>
      </c>
      <c r="Y76" s="4" t="s">
        <v>222</v>
      </c>
      <c r="Z76" s="4" t="s">
        <v>222</v>
      </c>
      <c r="AA76" s="4" t="s">
        <v>222</v>
      </c>
      <c r="AB76" s="4" t="s">
        <v>222</v>
      </c>
      <c r="AC76" s="4" t="s">
        <v>1739</v>
      </c>
      <c r="AD76" s="4" t="s">
        <v>938</v>
      </c>
      <c r="AE76" s="4" t="s">
        <v>183</v>
      </c>
      <c r="AF76" s="4" t="s">
        <v>836</v>
      </c>
      <c r="AG76" s="4"/>
      <c r="AH76" s="1" t="s">
        <v>183</v>
      </c>
      <c r="AI76" s="1" t="s">
        <v>2819</v>
      </c>
      <c r="AJ76" s="1" t="s">
        <v>183</v>
      </c>
      <c r="AK76" s="1" t="s">
        <v>183</v>
      </c>
    </row>
    <row r="77" spans="1:37" x14ac:dyDescent="0.3">
      <c r="A77" s="94">
        <f t="shared" si="2"/>
        <v>76</v>
      </c>
      <c r="B77" s="39" t="str">
        <f t="shared" si="3"/>
        <v>SPS CUREDALE MEWS BULL CREEK</v>
      </c>
      <c r="C77" s="4" t="s">
        <v>1811</v>
      </c>
      <c r="D77" s="4" t="s">
        <v>1812</v>
      </c>
      <c r="E77" s="4" t="s">
        <v>1497</v>
      </c>
      <c r="F77" s="4" t="s">
        <v>1813</v>
      </c>
      <c r="G77" s="4" t="s">
        <v>1814</v>
      </c>
      <c r="H77" s="4" t="s">
        <v>1734</v>
      </c>
      <c r="I77" s="4" t="s">
        <v>2943</v>
      </c>
      <c r="J77" s="4"/>
      <c r="K77" s="4"/>
      <c r="L77" s="4" t="s">
        <v>1815</v>
      </c>
      <c r="M77" s="4" t="s">
        <v>1816</v>
      </c>
      <c r="N77" s="4" t="s">
        <v>1817</v>
      </c>
      <c r="O77" s="4">
        <v>1993</v>
      </c>
      <c r="P77" s="4"/>
      <c r="Q77" s="4" t="s">
        <v>631</v>
      </c>
      <c r="R77" s="4" t="s">
        <v>1818</v>
      </c>
      <c r="S77" s="4" t="s">
        <v>571</v>
      </c>
      <c r="T77" s="4" t="s">
        <v>1819</v>
      </c>
      <c r="U77" s="4" t="s">
        <v>566</v>
      </c>
      <c r="V77" s="4" t="s">
        <v>222</v>
      </c>
      <c r="W77" s="4">
        <v>415</v>
      </c>
      <c r="X77" s="4" t="s">
        <v>222</v>
      </c>
      <c r="Y77" s="4" t="s">
        <v>222</v>
      </c>
      <c r="Z77" s="4" t="s">
        <v>222</v>
      </c>
      <c r="AA77" s="4" t="s">
        <v>222</v>
      </c>
      <c r="AB77" s="4" t="s">
        <v>222</v>
      </c>
      <c r="AC77" s="4" t="s">
        <v>1820</v>
      </c>
      <c r="AD77" s="4" t="s">
        <v>938</v>
      </c>
      <c r="AE77" s="4" t="s">
        <v>183</v>
      </c>
      <c r="AF77" s="4" t="s">
        <v>844</v>
      </c>
      <c r="AG77" s="4"/>
      <c r="AH77" s="1" t="s">
        <v>183</v>
      </c>
      <c r="AI77" s="1" t="s">
        <v>2819</v>
      </c>
      <c r="AJ77" s="1" t="s">
        <v>184</v>
      </c>
      <c r="AK77" s="1" t="s">
        <v>183</v>
      </c>
    </row>
    <row r="78" spans="1:37" x14ac:dyDescent="0.3">
      <c r="A78" s="94">
        <f t="shared" si="2"/>
        <v>77</v>
      </c>
      <c r="B78" s="39" t="str">
        <f t="shared" si="3"/>
        <v>SPS PARRY AV BULL CREEK</v>
      </c>
      <c r="C78" s="4" t="s">
        <v>2396</v>
      </c>
      <c r="D78" s="4" t="s">
        <v>2397</v>
      </c>
      <c r="E78" s="4" t="s">
        <v>1497</v>
      </c>
      <c r="F78" s="4" t="s">
        <v>2398</v>
      </c>
      <c r="G78" s="4" t="s">
        <v>1814</v>
      </c>
      <c r="H78" s="4" t="s">
        <v>1734</v>
      </c>
      <c r="I78" s="4" t="s">
        <v>3011</v>
      </c>
      <c r="J78" s="4"/>
      <c r="K78" s="4"/>
      <c r="L78" s="4" t="s">
        <v>2399</v>
      </c>
      <c r="M78" s="4" t="s">
        <v>2400</v>
      </c>
      <c r="N78" s="4" t="s">
        <v>351</v>
      </c>
      <c r="O78" s="4">
        <v>1975</v>
      </c>
      <c r="P78" s="4"/>
      <c r="Q78" s="4" t="s">
        <v>222</v>
      </c>
      <c r="R78" s="4" t="s">
        <v>2401</v>
      </c>
      <c r="S78" s="4" t="s">
        <v>571</v>
      </c>
      <c r="T78" s="4" t="s">
        <v>2402</v>
      </c>
      <c r="U78" s="4" t="s">
        <v>566</v>
      </c>
      <c r="V78" s="4" t="s">
        <v>222</v>
      </c>
      <c r="W78" s="4" t="s">
        <v>222</v>
      </c>
      <c r="X78" s="4" t="s">
        <v>222</v>
      </c>
      <c r="Y78" s="4" t="s">
        <v>222</v>
      </c>
      <c r="Z78" s="4" t="s">
        <v>222</v>
      </c>
      <c r="AA78" s="4" t="s">
        <v>222</v>
      </c>
      <c r="AB78" s="4" t="s">
        <v>222</v>
      </c>
      <c r="AC78" s="4" t="s">
        <v>2403</v>
      </c>
      <c r="AD78" s="4" t="s">
        <v>938</v>
      </c>
      <c r="AE78" s="4" t="s">
        <v>183</v>
      </c>
      <c r="AF78" s="4" t="s">
        <v>844</v>
      </c>
      <c r="AG78" s="4"/>
      <c r="AH78" s="1" t="s">
        <v>183</v>
      </c>
      <c r="AI78" s="1" t="s">
        <v>2818</v>
      </c>
      <c r="AJ78" s="1" t="s">
        <v>183</v>
      </c>
      <c r="AK78" s="1" t="s">
        <v>183</v>
      </c>
    </row>
    <row r="79" spans="1:37" x14ac:dyDescent="0.3">
      <c r="A79" s="94">
        <f t="shared" si="2"/>
        <v>78</v>
      </c>
      <c r="B79" s="39" t="str">
        <f t="shared" si="3"/>
        <v>SPS BERYL AV SHELLEY</v>
      </c>
      <c r="C79" s="4" t="s">
        <v>1573</v>
      </c>
      <c r="D79" s="4" t="s">
        <v>1574</v>
      </c>
      <c r="E79" s="4" t="s">
        <v>1497</v>
      </c>
      <c r="F79" s="4" t="s">
        <v>1575</v>
      </c>
      <c r="G79" s="4" t="s">
        <v>1576</v>
      </c>
      <c r="H79" s="4" t="s">
        <v>337</v>
      </c>
      <c r="I79" s="4" t="s">
        <v>2916</v>
      </c>
      <c r="J79" s="4"/>
      <c r="K79" s="4"/>
      <c r="L79" s="4" t="s">
        <v>1577</v>
      </c>
      <c r="M79" s="4" t="s">
        <v>1578</v>
      </c>
      <c r="N79" s="4" t="s">
        <v>416</v>
      </c>
      <c r="O79" s="4">
        <v>1992</v>
      </c>
      <c r="P79" s="4"/>
      <c r="Q79" s="4" t="s">
        <v>612</v>
      </c>
      <c r="R79" s="4" t="s">
        <v>1579</v>
      </c>
      <c r="S79" s="4" t="s">
        <v>571</v>
      </c>
      <c r="T79" s="4" t="s">
        <v>1580</v>
      </c>
      <c r="U79" s="4" t="s">
        <v>566</v>
      </c>
      <c r="V79" s="4" t="s">
        <v>222</v>
      </c>
      <c r="W79" s="4">
        <v>415</v>
      </c>
      <c r="X79" s="4" t="s">
        <v>222</v>
      </c>
      <c r="Y79" s="4" t="s">
        <v>222</v>
      </c>
      <c r="Z79" s="4" t="s">
        <v>222</v>
      </c>
      <c r="AA79" s="4" t="s">
        <v>222</v>
      </c>
      <c r="AB79" s="4" t="s">
        <v>222</v>
      </c>
      <c r="AC79" s="4" t="s">
        <v>1581</v>
      </c>
      <c r="AD79" s="4" t="s">
        <v>938</v>
      </c>
      <c r="AE79" s="4" t="s">
        <v>183</v>
      </c>
      <c r="AF79" s="4" t="s">
        <v>844</v>
      </c>
      <c r="AG79" s="4"/>
      <c r="AH79" s="1" t="s">
        <v>183</v>
      </c>
      <c r="AI79" s="1" t="s">
        <v>2819</v>
      </c>
      <c r="AJ79" s="1" t="s">
        <v>184</v>
      </c>
      <c r="AK79" s="1" t="s">
        <v>183</v>
      </c>
    </row>
    <row r="80" spans="1:37" x14ac:dyDescent="0.3">
      <c r="A80" s="94">
        <f t="shared" si="2"/>
        <v>79</v>
      </c>
      <c r="B80" s="39" t="str">
        <f t="shared" si="3"/>
        <v>SPS CAMSELL WY FERNDALE</v>
      </c>
      <c r="C80" s="4" t="s">
        <v>1687</v>
      </c>
      <c r="D80" s="4" t="s">
        <v>1688</v>
      </c>
      <c r="E80" s="4" t="s">
        <v>1497</v>
      </c>
      <c r="F80" s="4" t="s">
        <v>1689</v>
      </c>
      <c r="G80" s="4" t="s">
        <v>1004</v>
      </c>
      <c r="H80" s="4" t="s">
        <v>337</v>
      </c>
      <c r="I80" s="4" t="s">
        <v>2929</v>
      </c>
      <c r="J80" s="4"/>
      <c r="K80" s="4"/>
      <c r="L80" s="4" t="s">
        <v>1690</v>
      </c>
      <c r="M80" s="4" t="s">
        <v>1691</v>
      </c>
      <c r="N80" s="4" t="s">
        <v>456</v>
      </c>
      <c r="O80" s="4">
        <v>1974</v>
      </c>
      <c r="P80" s="4"/>
      <c r="Q80" s="4" t="s">
        <v>222</v>
      </c>
      <c r="R80" s="4" t="s">
        <v>1692</v>
      </c>
      <c r="S80" s="4" t="s">
        <v>222</v>
      </c>
      <c r="T80" s="4" t="s">
        <v>1693</v>
      </c>
      <c r="U80" s="4" t="s">
        <v>566</v>
      </c>
      <c r="V80" s="4" t="s">
        <v>222</v>
      </c>
      <c r="W80" s="4" t="s">
        <v>222</v>
      </c>
      <c r="X80" s="4" t="s">
        <v>222</v>
      </c>
      <c r="Y80" s="4" t="s">
        <v>222</v>
      </c>
      <c r="Z80" s="4" t="s">
        <v>222</v>
      </c>
      <c r="AA80" s="4" t="s">
        <v>222</v>
      </c>
      <c r="AB80" s="4" t="s">
        <v>222</v>
      </c>
      <c r="AC80" s="4" t="s">
        <v>1694</v>
      </c>
      <c r="AD80" s="4" t="s">
        <v>938</v>
      </c>
      <c r="AE80" s="4" t="s">
        <v>183</v>
      </c>
      <c r="AF80" s="4" t="s">
        <v>844</v>
      </c>
      <c r="AG80" s="4"/>
      <c r="AH80" s="1" t="s">
        <v>183</v>
      </c>
      <c r="AI80" s="1" t="s">
        <v>2819</v>
      </c>
      <c r="AJ80" s="1" t="s">
        <v>183</v>
      </c>
      <c r="AK80" s="1" t="s">
        <v>183</v>
      </c>
    </row>
    <row r="81" spans="1:37" x14ac:dyDescent="0.3">
      <c r="A81" s="94">
        <f t="shared" si="2"/>
        <v>80</v>
      </c>
      <c r="B81" s="39" t="str">
        <f t="shared" si="3"/>
        <v>SPS CONISTON WY FERNDALE</v>
      </c>
      <c r="C81" s="4" t="s">
        <v>1761</v>
      </c>
      <c r="D81" s="4" t="s">
        <v>1762</v>
      </c>
      <c r="E81" s="4" t="s">
        <v>1497</v>
      </c>
      <c r="F81" s="4" t="s">
        <v>1763</v>
      </c>
      <c r="G81" s="4" t="s">
        <v>1004</v>
      </c>
      <c r="H81" s="4" t="s">
        <v>337</v>
      </c>
      <c r="I81" s="4" t="s">
        <v>2937</v>
      </c>
      <c r="J81" s="4"/>
      <c r="K81" s="4"/>
      <c r="L81" s="4" t="s">
        <v>1764</v>
      </c>
      <c r="M81" s="4" t="s">
        <v>1765</v>
      </c>
      <c r="N81" s="4" t="s">
        <v>301</v>
      </c>
      <c r="O81" s="4">
        <v>1972</v>
      </c>
      <c r="P81" s="4"/>
      <c r="Q81" s="4" t="s">
        <v>612</v>
      </c>
      <c r="R81" s="4" t="s">
        <v>1766</v>
      </c>
      <c r="S81" s="4" t="s">
        <v>571</v>
      </c>
      <c r="T81" s="4" t="s">
        <v>1767</v>
      </c>
      <c r="U81" s="4" t="s">
        <v>566</v>
      </c>
      <c r="V81" s="4" t="s">
        <v>222</v>
      </c>
      <c r="W81" s="4" t="s">
        <v>222</v>
      </c>
      <c r="X81" s="4" t="s">
        <v>222</v>
      </c>
      <c r="Y81" s="4" t="s">
        <v>222</v>
      </c>
      <c r="Z81" s="4" t="s">
        <v>222</v>
      </c>
      <c r="AA81" s="4" t="s">
        <v>222</v>
      </c>
      <c r="AB81" s="4" t="s">
        <v>222</v>
      </c>
      <c r="AC81" s="4" t="s">
        <v>1768</v>
      </c>
      <c r="AD81" s="4" t="s">
        <v>938</v>
      </c>
      <c r="AE81" s="4" t="s">
        <v>183</v>
      </c>
      <c r="AF81" s="4" t="s">
        <v>836</v>
      </c>
      <c r="AG81" s="4"/>
      <c r="AH81" s="1" t="s">
        <v>184</v>
      </c>
      <c r="AI81" s="1" t="s">
        <v>2819</v>
      </c>
      <c r="AJ81" s="1" t="s">
        <v>183</v>
      </c>
      <c r="AK81" s="1" t="s">
        <v>183</v>
      </c>
    </row>
    <row r="82" spans="1:37" x14ac:dyDescent="0.3">
      <c r="A82" s="94">
        <f t="shared" si="2"/>
        <v>81</v>
      </c>
      <c r="B82" s="39" t="str">
        <f t="shared" si="3"/>
        <v>SPS EASTFIELD CT FERNDALE</v>
      </c>
      <c r="C82" s="4" t="s">
        <v>1864</v>
      </c>
      <c r="D82" s="4" t="s">
        <v>1865</v>
      </c>
      <c r="E82" s="4" t="s">
        <v>1497</v>
      </c>
      <c r="F82" s="4" t="s">
        <v>1866</v>
      </c>
      <c r="G82" s="4" t="s">
        <v>1004</v>
      </c>
      <c r="H82" s="4" t="s">
        <v>337</v>
      </c>
      <c r="I82" s="4" t="s">
        <v>2949</v>
      </c>
      <c r="J82" s="4"/>
      <c r="K82" s="4"/>
      <c r="L82" s="4" t="s">
        <v>1867</v>
      </c>
      <c r="M82" s="4" t="s">
        <v>1868</v>
      </c>
      <c r="N82" s="4" t="s">
        <v>296</v>
      </c>
      <c r="O82" s="4">
        <v>1971</v>
      </c>
      <c r="P82" s="4"/>
      <c r="Q82" s="4" t="s">
        <v>222</v>
      </c>
      <c r="R82" s="4" t="s">
        <v>1869</v>
      </c>
      <c r="S82" s="4" t="s">
        <v>571</v>
      </c>
      <c r="T82" s="4" t="s">
        <v>1870</v>
      </c>
      <c r="U82" s="4" t="s">
        <v>566</v>
      </c>
      <c r="V82" s="4" t="s">
        <v>222</v>
      </c>
      <c r="W82" s="4" t="s">
        <v>222</v>
      </c>
      <c r="X82" s="4" t="s">
        <v>222</v>
      </c>
      <c r="Y82" s="4" t="s">
        <v>222</v>
      </c>
      <c r="Z82" s="4" t="s">
        <v>222</v>
      </c>
      <c r="AA82" s="4" t="s">
        <v>222</v>
      </c>
      <c r="AB82" s="4" t="s">
        <v>222</v>
      </c>
      <c r="AC82" s="4" t="s">
        <v>1871</v>
      </c>
      <c r="AD82" s="4" t="s">
        <v>938</v>
      </c>
      <c r="AE82" s="4" t="s">
        <v>183</v>
      </c>
      <c r="AF82" s="4" t="s">
        <v>844</v>
      </c>
      <c r="AG82" s="4"/>
      <c r="AH82" s="1" t="s">
        <v>183</v>
      </c>
      <c r="AI82" s="1" t="s">
        <v>2819</v>
      </c>
      <c r="AJ82" s="1" t="s">
        <v>183</v>
      </c>
      <c r="AK82" s="1" t="s">
        <v>183</v>
      </c>
    </row>
    <row r="83" spans="1:37" x14ac:dyDescent="0.3">
      <c r="A83" s="94">
        <f t="shared" si="2"/>
        <v>82</v>
      </c>
      <c r="B83" s="39" t="str">
        <f t="shared" si="3"/>
        <v>SPS FIFTH AV ROSSMOYNE</v>
      </c>
      <c r="C83" s="4" t="s">
        <v>1932</v>
      </c>
      <c r="D83" s="4" t="s">
        <v>1933</v>
      </c>
      <c r="E83" s="4" t="s">
        <v>1497</v>
      </c>
      <c r="F83" s="4" t="s">
        <v>1934</v>
      </c>
      <c r="G83" s="4" t="s">
        <v>1935</v>
      </c>
      <c r="H83" s="4" t="s">
        <v>337</v>
      </c>
      <c r="I83" s="4" t="s">
        <v>2957</v>
      </c>
      <c r="J83" s="4"/>
      <c r="K83" s="4"/>
      <c r="L83" s="4" t="s">
        <v>1936</v>
      </c>
      <c r="M83" s="4" t="s">
        <v>1937</v>
      </c>
      <c r="N83" s="4" t="s">
        <v>285</v>
      </c>
      <c r="O83" s="4">
        <v>1982</v>
      </c>
      <c r="P83" s="4"/>
      <c r="Q83" s="4" t="s">
        <v>612</v>
      </c>
      <c r="R83" s="4" t="s">
        <v>1938</v>
      </c>
      <c r="S83" s="4" t="s">
        <v>602</v>
      </c>
      <c r="T83" s="4" t="s">
        <v>1939</v>
      </c>
      <c r="U83" s="4" t="s">
        <v>566</v>
      </c>
      <c r="V83" s="4" t="s">
        <v>222</v>
      </c>
      <c r="W83" s="4" t="s">
        <v>222</v>
      </c>
      <c r="X83" s="4" t="s">
        <v>222</v>
      </c>
      <c r="Y83" s="4" t="s">
        <v>222</v>
      </c>
      <c r="Z83" s="4" t="s">
        <v>222</v>
      </c>
      <c r="AA83" s="4" t="s">
        <v>222</v>
      </c>
      <c r="AB83" s="4" t="s">
        <v>222</v>
      </c>
      <c r="AC83" s="4" t="s">
        <v>1940</v>
      </c>
      <c r="AD83" s="4" t="s">
        <v>938</v>
      </c>
      <c r="AE83" s="4" t="s">
        <v>183</v>
      </c>
      <c r="AF83" s="4" t="s">
        <v>844</v>
      </c>
      <c r="AG83" s="4"/>
      <c r="AH83" s="1" t="s">
        <v>183</v>
      </c>
      <c r="AI83" s="1" t="s">
        <v>2819</v>
      </c>
      <c r="AJ83" s="1" t="s">
        <v>183</v>
      </c>
      <c r="AK83" s="1" t="s">
        <v>183</v>
      </c>
    </row>
    <row r="84" spans="1:37" x14ac:dyDescent="0.3">
      <c r="A84" s="94">
        <f t="shared" si="2"/>
        <v>83</v>
      </c>
      <c r="B84" s="39" t="str">
        <f t="shared" si="3"/>
        <v>SPS FIRST AV ROSSMOYNE</v>
      </c>
      <c r="C84" s="4" t="s">
        <v>1941</v>
      </c>
      <c r="D84" s="4" t="s">
        <v>1942</v>
      </c>
      <c r="E84" s="4" t="s">
        <v>1497</v>
      </c>
      <c r="F84" s="4" t="s">
        <v>1943</v>
      </c>
      <c r="G84" s="4" t="s">
        <v>1935</v>
      </c>
      <c r="H84" s="4" t="s">
        <v>337</v>
      </c>
      <c r="I84" s="4" t="s">
        <v>2958</v>
      </c>
      <c r="J84" s="4"/>
      <c r="K84" s="4"/>
      <c r="L84" s="4" t="s">
        <v>1944</v>
      </c>
      <c r="M84" s="4" t="s">
        <v>1945</v>
      </c>
      <c r="N84" s="4" t="s">
        <v>244</v>
      </c>
      <c r="O84" s="4">
        <v>1981</v>
      </c>
      <c r="P84" s="4"/>
      <c r="Q84" s="4" t="s">
        <v>612</v>
      </c>
      <c r="R84" s="4" t="s">
        <v>1946</v>
      </c>
      <c r="S84" s="4" t="s">
        <v>602</v>
      </c>
      <c r="T84" s="4" t="s">
        <v>1947</v>
      </c>
      <c r="U84" s="4" t="s">
        <v>566</v>
      </c>
      <c r="V84" s="4" t="s">
        <v>222</v>
      </c>
      <c r="W84" s="4" t="s">
        <v>222</v>
      </c>
      <c r="X84" s="4" t="s">
        <v>222</v>
      </c>
      <c r="Y84" s="4" t="s">
        <v>222</v>
      </c>
      <c r="Z84" s="4" t="s">
        <v>222</v>
      </c>
      <c r="AA84" s="4" t="s">
        <v>222</v>
      </c>
      <c r="AB84" s="4" t="s">
        <v>222</v>
      </c>
      <c r="AC84" s="4" t="s">
        <v>1948</v>
      </c>
      <c r="AD84" s="4" t="s">
        <v>938</v>
      </c>
      <c r="AE84" s="4" t="s">
        <v>183</v>
      </c>
      <c r="AF84" s="4" t="s">
        <v>836</v>
      </c>
      <c r="AG84" s="4"/>
      <c r="AH84" s="1" t="s">
        <v>183</v>
      </c>
      <c r="AI84" s="1" t="s">
        <v>2819</v>
      </c>
      <c r="AJ84" s="1" t="s">
        <v>183</v>
      </c>
      <c r="AK84" s="1" t="s">
        <v>183</v>
      </c>
    </row>
    <row r="85" spans="1:37" x14ac:dyDescent="0.3">
      <c r="A85" s="94">
        <f t="shared" si="2"/>
        <v>8</v>
      </c>
      <c r="B85" s="39" t="str">
        <f t="shared" si="3"/>
        <v>SPS HIGH RD FERNDALE</v>
      </c>
      <c r="C85" s="4" t="s">
        <v>1001</v>
      </c>
      <c r="D85" s="4" t="s">
        <v>1002</v>
      </c>
      <c r="E85" s="4" t="s">
        <v>931</v>
      </c>
      <c r="F85" s="4" t="s">
        <v>1003</v>
      </c>
      <c r="G85" s="4" t="s">
        <v>1004</v>
      </c>
      <c r="H85" s="4" t="s">
        <v>337</v>
      </c>
      <c r="I85" s="4" t="s">
        <v>2762</v>
      </c>
      <c r="J85" s="4"/>
      <c r="K85" s="4"/>
      <c r="L85" s="4" t="s">
        <v>1005</v>
      </c>
      <c r="M85" s="4" t="s">
        <v>1006</v>
      </c>
      <c r="N85" s="4" t="s">
        <v>456</v>
      </c>
      <c r="O85" s="4">
        <v>1975</v>
      </c>
      <c r="P85" s="4" t="s">
        <v>946</v>
      </c>
      <c r="Q85" s="4" t="s">
        <v>222</v>
      </c>
      <c r="R85" s="4" t="s">
        <v>1007</v>
      </c>
      <c r="S85" s="4" t="s">
        <v>571</v>
      </c>
      <c r="T85" s="4" t="s">
        <v>1008</v>
      </c>
      <c r="U85" s="4" t="s">
        <v>566</v>
      </c>
      <c r="V85" s="4" t="s">
        <v>222</v>
      </c>
      <c r="W85" s="4" t="s">
        <v>222</v>
      </c>
      <c r="X85" s="4" t="s">
        <v>222</v>
      </c>
      <c r="Y85" s="4" t="s">
        <v>222</v>
      </c>
      <c r="Z85" s="4" t="s">
        <v>222</v>
      </c>
      <c r="AA85" s="4" t="s">
        <v>222</v>
      </c>
      <c r="AB85" s="4" t="s">
        <v>222</v>
      </c>
      <c r="AC85" s="4" t="s">
        <v>1009</v>
      </c>
      <c r="AD85" s="4" t="s">
        <v>938</v>
      </c>
      <c r="AE85" s="4" t="s">
        <v>183</v>
      </c>
      <c r="AF85" s="4" t="s">
        <v>844</v>
      </c>
      <c r="AG85" s="4"/>
      <c r="AH85" s="1" t="s">
        <v>183</v>
      </c>
      <c r="AI85" s="1" t="s">
        <v>2819</v>
      </c>
      <c r="AJ85" s="1" t="s">
        <v>184</v>
      </c>
      <c r="AK85" s="1" t="s">
        <v>184</v>
      </c>
    </row>
    <row r="86" spans="1:37" x14ac:dyDescent="0.3">
      <c r="A86" s="94">
        <f t="shared" si="2"/>
        <v>85</v>
      </c>
      <c r="B86" s="39" t="str">
        <f t="shared" si="3"/>
        <v>SPS RIVERMOOR LOOP RIVERTON</v>
      </c>
      <c r="C86" s="4" t="s">
        <v>104</v>
      </c>
      <c r="D86" s="4" t="s">
        <v>105</v>
      </c>
      <c r="E86" s="4" t="s">
        <v>858</v>
      </c>
      <c r="F86" s="4" t="s">
        <v>335</v>
      </c>
      <c r="G86" s="4" t="s">
        <v>336</v>
      </c>
      <c r="H86" s="4" t="s">
        <v>337</v>
      </c>
      <c r="I86" s="4" t="s">
        <v>873</v>
      </c>
      <c r="J86" s="4" t="s">
        <v>560</v>
      </c>
      <c r="K86" s="4" t="s">
        <v>637</v>
      </c>
      <c r="L86" s="4" t="s">
        <v>338</v>
      </c>
      <c r="M86" s="4" t="s">
        <v>339</v>
      </c>
      <c r="N86" s="4" t="s">
        <v>318</v>
      </c>
      <c r="O86" s="4">
        <v>1979</v>
      </c>
      <c r="P86" s="4" t="s">
        <v>855</v>
      </c>
      <c r="Q86" s="4" t="s">
        <v>222</v>
      </c>
      <c r="R86" s="4" t="s">
        <v>638</v>
      </c>
      <c r="S86" s="4" t="s">
        <v>639</v>
      </c>
      <c r="T86" s="4" t="s">
        <v>640</v>
      </c>
      <c r="U86" s="4">
        <v>300</v>
      </c>
      <c r="V86" s="4" t="s">
        <v>222</v>
      </c>
      <c r="W86" s="4" t="s">
        <v>222</v>
      </c>
      <c r="X86" s="4" t="s">
        <v>222</v>
      </c>
      <c r="Y86" s="4" t="s">
        <v>222</v>
      </c>
      <c r="Z86" s="4" t="s">
        <v>222</v>
      </c>
      <c r="AA86" s="4" t="s">
        <v>222</v>
      </c>
      <c r="AB86" s="4" t="s">
        <v>222</v>
      </c>
      <c r="AC86" s="4" t="s">
        <v>782</v>
      </c>
      <c r="AD86" s="4"/>
      <c r="AE86" s="4" t="s">
        <v>183</v>
      </c>
      <c r="AF86" s="4" t="s">
        <v>836</v>
      </c>
      <c r="AG86" s="4"/>
      <c r="AH86" s="1" t="s">
        <v>183</v>
      </c>
      <c r="AI86" s="1" t="s">
        <v>2819</v>
      </c>
      <c r="AJ86" s="1" t="s">
        <v>184</v>
      </c>
      <c r="AK86" s="1" t="s">
        <v>183</v>
      </c>
    </row>
    <row r="87" spans="1:37" x14ac:dyDescent="0.3">
      <c r="A87" s="94">
        <f t="shared" si="2"/>
        <v>86</v>
      </c>
      <c r="B87" s="39" t="str">
        <f t="shared" si="3"/>
        <v>SPS GLEN CT FERNDALE</v>
      </c>
      <c r="C87" s="4" t="s">
        <v>1983</v>
      </c>
      <c r="D87" s="4" t="s">
        <v>1984</v>
      </c>
      <c r="E87" s="4" t="s">
        <v>1497</v>
      </c>
      <c r="F87" s="4" t="s">
        <v>1985</v>
      </c>
      <c r="G87" s="4" t="s">
        <v>1004</v>
      </c>
      <c r="H87" s="4" t="s">
        <v>337</v>
      </c>
      <c r="I87" s="4" t="s">
        <v>2963</v>
      </c>
      <c r="J87" s="4"/>
      <c r="K87" s="4"/>
      <c r="L87" s="4" t="s">
        <v>1986</v>
      </c>
      <c r="M87" s="4" t="s">
        <v>1987</v>
      </c>
      <c r="N87" s="4" t="s">
        <v>279</v>
      </c>
      <c r="O87" s="4">
        <v>1976</v>
      </c>
      <c r="P87" s="4"/>
      <c r="Q87" s="4" t="s">
        <v>222</v>
      </c>
      <c r="R87" s="4" t="s">
        <v>1988</v>
      </c>
      <c r="S87" s="4" t="s">
        <v>571</v>
      </c>
      <c r="T87" s="4" t="s">
        <v>1989</v>
      </c>
      <c r="U87" s="4" t="s">
        <v>566</v>
      </c>
      <c r="V87" s="4" t="s">
        <v>222</v>
      </c>
      <c r="W87" s="4" t="s">
        <v>222</v>
      </c>
      <c r="X87" s="4" t="s">
        <v>222</v>
      </c>
      <c r="Y87" s="4" t="s">
        <v>222</v>
      </c>
      <c r="Z87" s="4" t="s">
        <v>222</v>
      </c>
      <c r="AA87" s="4" t="s">
        <v>222</v>
      </c>
      <c r="AB87" s="4" t="s">
        <v>222</v>
      </c>
      <c r="AC87" s="4" t="s">
        <v>1990</v>
      </c>
      <c r="AD87" s="4" t="s">
        <v>938</v>
      </c>
      <c r="AE87" s="4" t="s">
        <v>183</v>
      </c>
      <c r="AF87" s="4" t="s">
        <v>849</v>
      </c>
      <c r="AG87" s="4"/>
      <c r="AH87" s="1" t="s">
        <v>183</v>
      </c>
      <c r="AI87" s="1" t="s">
        <v>2818</v>
      </c>
      <c r="AJ87" s="1" t="s">
        <v>183</v>
      </c>
      <c r="AK87" s="1" t="s">
        <v>183</v>
      </c>
    </row>
    <row r="88" spans="1:37" x14ac:dyDescent="0.3">
      <c r="A88" s="94">
        <f t="shared" si="2"/>
        <v>87</v>
      </c>
      <c r="B88" s="39" t="str">
        <f t="shared" si="3"/>
        <v>SPS HIBBERTIA CR FERNDALE</v>
      </c>
      <c r="C88" s="4" t="s">
        <v>2077</v>
      </c>
      <c r="D88" s="4" t="s">
        <v>2078</v>
      </c>
      <c r="E88" s="4" t="s">
        <v>1497</v>
      </c>
      <c r="F88" s="4" t="s">
        <v>2079</v>
      </c>
      <c r="G88" s="4" t="s">
        <v>336</v>
      </c>
      <c r="H88" s="4" t="s">
        <v>337</v>
      </c>
      <c r="I88" s="4" t="s">
        <v>2974</v>
      </c>
      <c r="J88" s="4"/>
      <c r="K88" s="4"/>
      <c r="L88" s="4" t="s">
        <v>2080</v>
      </c>
      <c r="M88" s="4" t="s">
        <v>2081</v>
      </c>
      <c r="N88" s="4" t="s">
        <v>456</v>
      </c>
      <c r="O88" s="4">
        <v>1973</v>
      </c>
      <c r="P88" s="4"/>
      <c r="Q88" s="4" t="s">
        <v>222</v>
      </c>
      <c r="R88" s="4" t="s">
        <v>2082</v>
      </c>
      <c r="S88" s="4" t="s">
        <v>571</v>
      </c>
      <c r="T88" s="4" t="s">
        <v>2083</v>
      </c>
      <c r="U88" s="4" t="s">
        <v>566</v>
      </c>
      <c r="V88" s="4" t="s">
        <v>222</v>
      </c>
      <c r="W88" s="4" t="s">
        <v>222</v>
      </c>
      <c r="X88" s="4" t="s">
        <v>222</v>
      </c>
      <c r="Y88" s="4" t="s">
        <v>222</v>
      </c>
      <c r="Z88" s="4" t="s">
        <v>222</v>
      </c>
      <c r="AA88" s="4" t="s">
        <v>222</v>
      </c>
      <c r="AB88" s="4" t="s">
        <v>222</v>
      </c>
      <c r="AC88" s="4" t="s">
        <v>2084</v>
      </c>
      <c r="AD88" s="4" t="s">
        <v>938</v>
      </c>
      <c r="AE88" s="4" t="s">
        <v>183</v>
      </c>
      <c r="AF88" s="4" t="s">
        <v>849</v>
      </c>
      <c r="AG88" s="4"/>
      <c r="AH88" s="1" t="s">
        <v>183</v>
      </c>
      <c r="AI88" s="1" t="s">
        <v>2819</v>
      </c>
      <c r="AJ88" s="1" t="s">
        <v>183</v>
      </c>
      <c r="AK88" s="1" t="s">
        <v>183</v>
      </c>
    </row>
    <row r="89" spans="1:37" x14ac:dyDescent="0.3">
      <c r="A89" s="94">
        <f t="shared" si="2"/>
        <v>88</v>
      </c>
      <c r="B89" s="39" t="str">
        <f t="shared" si="3"/>
        <v>SPS WILLCOCK ST FERNDALE</v>
      </c>
      <c r="C89" s="4" t="s">
        <v>2704</v>
      </c>
      <c r="D89" s="4" t="s">
        <v>2705</v>
      </c>
      <c r="E89" s="4" t="s">
        <v>1497</v>
      </c>
      <c r="F89" s="4" t="s">
        <v>2706</v>
      </c>
      <c r="G89" s="4" t="s">
        <v>1004</v>
      </c>
      <c r="H89" s="4" t="s">
        <v>337</v>
      </c>
      <c r="I89" s="4" t="s">
        <v>3049</v>
      </c>
      <c r="J89" s="4"/>
      <c r="K89" s="4"/>
      <c r="L89" s="4" t="s">
        <v>2707</v>
      </c>
      <c r="M89" s="4" t="s">
        <v>2708</v>
      </c>
      <c r="N89" s="4" t="s">
        <v>456</v>
      </c>
      <c r="O89" s="4">
        <v>1974</v>
      </c>
      <c r="P89" s="4"/>
      <c r="Q89" s="4" t="s">
        <v>222</v>
      </c>
      <c r="R89" s="4" t="s">
        <v>2709</v>
      </c>
      <c r="S89" s="4" t="s">
        <v>222</v>
      </c>
      <c r="T89" s="4" t="s">
        <v>2710</v>
      </c>
      <c r="U89" s="4" t="s">
        <v>566</v>
      </c>
      <c r="V89" s="4" t="s">
        <v>222</v>
      </c>
      <c r="W89" s="4" t="s">
        <v>222</v>
      </c>
      <c r="X89" s="4" t="s">
        <v>222</v>
      </c>
      <c r="Y89" s="4" t="s">
        <v>222</v>
      </c>
      <c r="Z89" s="4" t="s">
        <v>222</v>
      </c>
      <c r="AA89" s="4" t="s">
        <v>222</v>
      </c>
      <c r="AB89" s="4" t="s">
        <v>222</v>
      </c>
      <c r="AC89" s="4" t="s">
        <v>2711</v>
      </c>
      <c r="AD89" s="4" t="s">
        <v>938</v>
      </c>
      <c r="AE89" s="4" t="s">
        <v>183</v>
      </c>
      <c r="AF89" s="4" t="s">
        <v>844</v>
      </c>
      <c r="AG89" s="4"/>
      <c r="AH89" s="1" t="s">
        <v>183</v>
      </c>
      <c r="AI89" s="1" t="s">
        <v>2819</v>
      </c>
      <c r="AJ89" s="1" t="s">
        <v>183</v>
      </c>
      <c r="AK89" s="1" t="s">
        <v>183</v>
      </c>
    </row>
    <row r="90" spans="1:37" x14ac:dyDescent="0.3">
      <c r="A90" s="94">
        <f t="shared" si="2"/>
        <v>89</v>
      </c>
      <c r="B90" s="39" t="str">
        <f t="shared" si="3"/>
        <v>SPS BROOKMAN AV LANGFORD</v>
      </c>
      <c r="C90" s="4" t="s">
        <v>1617</v>
      </c>
      <c r="D90" s="4" t="s">
        <v>1618</v>
      </c>
      <c r="E90" s="4" t="s">
        <v>1497</v>
      </c>
      <c r="F90" s="4" t="s">
        <v>1619</v>
      </c>
      <c r="G90" s="4" t="s">
        <v>1620</v>
      </c>
      <c r="H90" s="4" t="s">
        <v>964</v>
      </c>
      <c r="I90" s="4" t="s">
        <v>2921</v>
      </c>
      <c r="J90" s="4"/>
      <c r="K90" s="4"/>
      <c r="L90" s="4" t="s">
        <v>1621</v>
      </c>
      <c r="M90" s="4" t="s">
        <v>1622</v>
      </c>
      <c r="N90" s="4" t="s">
        <v>301</v>
      </c>
      <c r="O90" s="4">
        <v>1972</v>
      </c>
      <c r="P90" s="4"/>
      <c r="Q90" s="4" t="s">
        <v>612</v>
      </c>
      <c r="R90" s="4" t="s">
        <v>1623</v>
      </c>
      <c r="S90" s="4" t="s">
        <v>571</v>
      </c>
      <c r="T90" s="4" t="s">
        <v>1624</v>
      </c>
      <c r="U90" s="4" t="s">
        <v>566</v>
      </c>
      <c r="V90" s="4" t="s">
        <v>222</v>
      </c>
      <c r="W90" s="4" t="s">
        <v>222</v>
      </c>
      <c r="X90" s="4" t="s">
        <v>222</v>
      </c>
      <c r="Y90" s="4" t="s">
        <v>222</v>
      </c>
      <c r="Z90" s="4" t="s">
        <v>222</v>
      </c>
      <c r="AA90" s="4" t="s">
        <v>222</v>
      </c>
      <c r="AB90" s="4" t="s">
        <v>222</v>
      </c>
      <c r="AC90" s="4" t="s">
        <v>1625</v>
      </c>
      <c r="AD90" s="4" t="s">
        <v>938</v>
      </c>
      <c r="AE90" s="4" t="s">
        <v>183</v>
      </c>
      <c r="AF90" s="4" t="s">
        <v>844</v>
      </c>
      <c r="AG90" s="4"/>
      <c r="AH90" s="1" t="s">
        <v>183</v>
      </c>
      <c r="AI90" s="1" t="s">
        <v>2818</v>
      </c>
      <c r="AJ90" s="1" t="s">
        <v>183</v>
      </c>
      <c r="AK90" s="1" t="s">
        <v>183</v>
      </c>
    </row>
    <row r="91" spans="1:37" x14ac:dyDescent="0.3">
      <c r="A91" s="94">
        <f t="shared" si="2"/>
        <v>90</v>
      </c>
      <c r="B91" s="39" t="str">
        <f t="shared" si="3"/>
        <v>SPS ELLISON DR LANGFORD</v>
      </c>
      <c r="C91" s="4" t="s">
        <v>1890</v>
      </c>
      <c r="D91" s="4" t="s">
        <v>1891</v>
      </c>
      <c r="E91" s="4" t="s">
        <v>1497</v>
      </c>
      <c r="F91" s="4" t="s">
        <v>1892</v>
      </c>
      <c r="G91" s="4" t="s">
        <v>1620</v>
      </c>
      <c r="H91" s="4" t="s">
        <v>964</v>
      </c>
      <c r="I91" s="4" t="s">
        <v>2952</v>
      </c>
      <c r="J91" s="4"/>
      <c r="K91" s="4"/>
      <c r="L91" s="4" t="s">
        <v>1893</v>
      </c>
      <c r="M91" s="4" t="s">
        <v>1894</v>
      </c>
      <c r="N91" s="4" t="s">
        <v>273</v>
      </c>
      <c r="O91" s="4">
        <v>1973</v>
      </c>
      <c r="P91" s="4"/>
      <c r="Q91" s="4" t="s">
        <v>222</v>
      </c>
      <c r="R91" s="4" t="s">
        <v>1895</v>
      </c>
      <c r="S91" s="4" t="s">
        <v>222</v>
      </c>
      <c r="T91" s="4" t="s">
        <v>1896</v>
      </c>
      <c r="U91" s="4" t="s">
        <v>566</v>
      </c>
      <c r="V91" s="4" t="s">
        <v>222</v>
      </c>
      <c r="W91" s="4" t="s">
        <v>222</v>
      </c>
      <c r="X91" s="4" t="s">
        <v>222</v>
      </c>
      <c r="Y91" s="4" t="s">
        <v>222</v>
      </c>
      <c r="Z91" s="4" t="s">
        <v>222</v>
      </c>
      <c r="AA91" s="4" t="s">
        <v>222</v>
      </c>
      <c r="AB91" s="4" t="s">
        <v>222</v>
      </c>
      <c r="AC91" s="4" t="s">
        <v>1897</v>
      </c>
      <c r="AD91" s="4" t="s">
        <v>938</v>
      </c>
      <c r="AE91" s="4" t="s">
        <v>183</v>
      </c>
      <c r="AF91" s="4" t="s">
        <v>836</v>
      </c>
      <c r="AG91" s="4"/>
      <c r="AH91" s="1" t="s">
        <v>183</v>
      </c>
      <c r="AI91" s="1" t="s">
        <v>2819</v>
      </c>
      <c r="AJ91" s="1" t="s">
        <v>183</v>
      </c>
      <c r="AK91" s="1" t="s">
        <v>183</v>
      </c>
    </row>
    <row r="92" spans="1:37" x14ac:dyDescent="0.3">
      <c r="A92" s="94">
        <f t="shared" si="2"/>
        <v>9</v>
      </c>
      <c r="B92" s="39" t="str">
        <f t="shared" si="3"/>
        <v>SPS FLEETWOOD RD LYNWOOD</v>
      </c>
      <c r="C92" s="4" t="s">
        <v>960</v>
      </c>
      <c r="D92" s="4" t="s">
        <v>961</v>
      </c>
      <c r="E92" s="4" t="s">
        <v>931</v>
      </c>
      <c r="F92" s="4" t="s">
        <v>962</v>
      </c>
      <c r="G92" s="4" t="s">
        <v>963</v>
      </c>
      <c r="H92" s="4" t="s">
        <v>964</v>
      </c>
      <c r="I92" s="4" t="s">
        <v>2758</v>
      </c>
      <c r="J92" s="4"/>
      <c r="K92" s="4"/>
      <c r="L92" s="4" t="s">
        <v>965</v>
      </c>
      <c r="M92" s="4" t="s">
        <v>966</v>
      </c>
      <c r="N92" s="4" t="s">
        <v>301</v>
      </c>
      <c r="O92" s="4">
        <v>1971</v>
      </c>
      <c r="P92" s="4" t="s">
        <v>967</v>
      </c>
      <c r="Q92" s="4" t="s">
        <v>222</v>
      </c>
      <c r="R92" s="4" t="s">
        <v>968</v>
      </c>
      <c r="S92" s="4" t="s">
        <v>222</v>
      </c>
      <c r="T92" s="4" t="s">
        <v>222</v>
      </c>
      <c r="U92" s="4" t="s">
        <v>566</v>
      </c>
      <c r="V92" s="4" t="s">
        <v>222</v>
      </c>
      <c r="W92" s="4" t="s">
        <v>222</v>
      </c>
      <c r="X92" s="4" t="s">
        <v>222</v>
      </c>
      <c r="Y92" s="4" t="s">
        <v>222</v>
      </c>
      <c r="Z92" s="4" t="s">
        <v>222</v>
      </c>
      <c r="AA92" s="4" t="s">
        <v>222</v>
      </c>
      <c r="AB92" s="4" t="s">
        <v>222</v>
      </c>
      <c r="AC92" s="4" t="s">
        <v>969</v>
      </c>
      <c r="AD92" s="4" t="s">
        <v>938</v>
      </c>
      <c r="AE92" s="4" t="s">
        <v>183</v>
      </c>
      <c r="AF92" s="4" t="s">
        <v>844</v>
      </c>
      <c r="AG92" s="4"/>
      <c r="AH92" s="1" t="s">
        <v>184</v>
      </c>
      <c r="AI92" s="1" t="s">
        <v>2819</v>
      </c>
      <c r="AJ92" s="1" t="s">
        <v>184</v>
      </c>
      <c r="AK92" s="1" t="s">
        <v>183</v>
      </c>
    </row>
    <row r="93" spans="1:37" x14ac:dyDescent="0.3">
      <c r="A93" s="94">
        <f t="shared" si="2"/>
        <v>92</v>
      </c>
      <c r="B93" s="39" t="str">
        <f t="shared" si="3"/>
        <v>SPS PURLEY CR LYNWOOD</v>
      </c>
      <c r="C93" s="4" t="s">
        <v>1064</v>
      </c>
      <c r="D93" s="4" t="s">
        <v>1065</v>
      </c>
      <c r="E93" s="4" t="s">
        <v>931</v>
      </c>
      <c r="F93" s="4" t="s">
        <v>1066</v>
      </c>
      <c r="G93" s="4" t="s">
        <v>963</v>
      </c>
      <c r="H93" s="4" t="s">
        <v>964</v>
      </c>
      <c r="I93" s="4" t="s">
        <v>2768</v>
      </c>
      <c r="J93" s="4"/>
      <c r="K93" s="4"/>
      <c r="L93" s="4" t="s">
        <v>1067</v>
      </c>
      <c r="M93" s="4" t="s">
        <v>1068</v>
      </c>
      <c r="N93" s="4" t="s">
        <v>1069</v>
      </c>
      <c r="O93" s="4">
        <v>1991</v>
      </c>
      <c r="P93" s="4" t="s">
        <v>1048</v>
      </c>
      <c r="Q93" s="4" t="s">
        <v>569</v>
      </c>
      <c r="R93" s="4" t="s">
        <v>1070</v>
      </c>
      <c r="S93" s="4" t="s">
        <v>1071</v>
      </c>
      <c r="T93" s="4" t="s">
        <v>1072</v>
      </c>
      <c r="U93" s="4" t="s">
        <v>222</v>
      </c>
      <c r="V93" s="4" t="s">
        <v>222</v>
      </c>
      <c r="W93" s="4">
        <v>415</v>
      </c>
      <c r="X93" s="4" t="s">
        <v>222</v>
      </c>
      <c r="Y93" s="4" t="s">
        <v>222</v>
      </c>
      <c r="Z93" s="4" t="s">
        <v>222</v>
      </c>
      <c r="AA93" s="4" t="s">
        <v>222</v>
      </c>
      <c r="AB93" s="4" t="s">
        <v>222</v>
      </c>
      <c r="AC93" s="4" t="s">
        <v>1073</v>
      </c>
      <c r="AD93" s="4" t="s">
        <v>938</v>
      </c>
      <c r="AE93" s="4" t="s">
        <v>183</v>
      </c>
      <c r="AF93" s="4" t="s">
        <v>844</v>
      </c>
      <c r="AG93" s="4"/>
      <c r="AH93" s="1" t="s">
        <v>183</v>
      </c>
      <c r="AI93" s="1" t="s">
        <v>2819</v>
      </c>
      <c r="AJ93" s="1" t="s">
        <v>222</v>
      </c>
      <c r="AK93" s="1" t="s">
        <v>183</v>
      </c>
    </row>
    <row r="94" spans="1:37" x14ac:dyDescent="0.3">
      <c r="A94" s="94">
        <f t="shared" si="2"/>
        <v>93</v>
      </c>
      <c r="B94" s="39" t="str">
        <f t="shared" si="3"/>
        <v>SPS RUBY AV LANGFORD</v>
      </c>
      <c r="C94" s="4" t="s">
        <v>2522</v>
      </c>
      <c r="D94" s="4" t="s">
        <v>2523</v>
      </c>
      <c r="E94" s="4" t="s">
        <v>1497</v>
      </c>
      <c r="F94" s="4" t="s">
        <v>2524</v>
      </c>
      <c r="G94" s="4" t="s">
        <v>1620</v>
      </c>
      <c r="H94" s="4" t="s">
        <v>964</v>
      </c>
      <c r="I94" s="4" t="s">
        <v>3028</v>
      </c>
      <c r="J94" s="4"/>
      <c r="K94" s="4"/>
      <c r="L94" s="4" t="s">
        <v>2525</v>
      </c>
      <c r="M94" s="4" t="s">
        <v>2526</v>
      </c>
      <c r="N94" s="4" t="s">
        <v>1436</v>
      </c>
      <c r="O94" s="4">
        <v>1974</v>
      </c>
      <c r="P94" s="4"/>
      <c r="Q94" s="4" t="s">
        <v>612</v>
      </c>
      <c r="R94" s="4" t="s">
        <v>2527</v>
      </c>
      <c r="S94" s="4" t="s">
        <v>571</v>
      </c>
      <c r="T94" s="4" t="s">
        <v>2528</v>
      </c>
      <c r="U94" s="4" t="s">
        <v>566</v>
      </c>
      <c r="V94" s="4" t="s">
        <v>222</v>
      </c>
      <c r="W94" s="4" t="s">
        <v>222</v>
      </c>
      <c r="X94" s="4" t="s">
        <v>222</v>
      </c>
      <c r="Y94" s="4" t="s">
        <v>222</v>
      </c>
      <c r="Z94" s="4" t="s">
        <v>222</v>
      </c>
      <c r="AA94" s="4" t="s">
        <v>222</v>
      </c>
      <c r="AB94" s="4" t="s">
        <v>222</v>
      </c>
      <c r="AC94" s="4" t="s">
        <v>2529</v>
      </c>
      <c r="AD94" s="4" t="s">
        <v>938</v>
      </c>
      <c r="AE94" s="4" t="s">
        <v>183</v>
      </c>
      <c r="AF94" s="4" t="s">
        <v>844</v>
      </c>
      <c r="AG94" s="4"/>
      <c r="AH94" s="1" t="s">
        <v>183</v>
      </c>
      <c r="AI94" s="1" t="s">
        <v>2818</v>
      </c>
      <c r="AJ94" s="1" t="s">
        <v>183</v>
      </c>
      <c r="AK94" s="1" t="s">
        <v>183</v>
      </c>
    </row>
    <row r="95" spans="1:37" x14ac:dyDescent="0.3">
      <c r="A95" s="94">
        <f t="shared" si="2"/>
        <v>94</v>
      </c>
      <c r="B95" s="39" t="str">
        <f t="shared" si="3"/>
        <v>SPS VALONIA RD LANGFORD</v>
      </c>
      <c r="C95" s="4" t="s">
        <v>2655</v>
      </c>
      <c r="D95" s="4" t="s">
        <v>2656</v>
      </c>
      <c r="E95" s="4" t="s">
        <v>1497</v>
      </c>
      <c r="F95" s="4" t="s">
        <v>2657</v>
      </c>
      <c r="G95" s="4" t="s">
        <v>1620</v>
      </c>
      <c r="H95" s="4" t="s">
        <v>964</v>
      </c>
      <c r="I95" s="4" t="s">
        <v>3043</v>
      </c>
      <c r="J95" s="4"/>
      <c r="K95" s="4"/>
      <c r="L95" s="4" t="s">
        <v>2658</v>
      </c>
      <c r="M95" s="4" t="s">
        <v>2659</v>
      </c>
      <c r="N95" s="4" t="s">
        <v>301</v>
      </c>
      <c r="O95" s="4">
        <v>1972</v>
      </c>
      <c r="P95" s="4"/>
      <c r="Q95" s="4" t="s">
        <v>612</v>
      </c>
      <c r="R95" s="4" t="s">
        <v>2660</v>
      </c>
      <c r="S95" s="4" t="s">
        <v>571</v>
      </c>
      <c r="T95" s="4" t="s">
        <v>2661</v>
      </c>
      <c r="U95" s="4" t="s">
        <v>566</v>
      </c>
      <c r="V95" s="4" t="s">
        <v>222</v>
      </c>
      <c r="W95" s="4" t="s">
        <v>222</v>
      </c>
      <c r="X95" s="4" t="s">
        <v>222</v>
      </c>
      <c r="Y95" s="4" t="s">
        <v>222</v>
      </c>
      <c r="Z95" s="4" t="s">
        <v>222</v>
      </c>
      <c r="AA95" s="4" t="s">
        <v>222</v>
      </c>
      <c r="AB95" s="4" t="s">
        <v>222</v>
      </c>
      <c r="AC95" s="4" t="s">
        <v>2662</v>
      </c>
      <c r="AD95" s="4" t="s">
        <v>938</v>
      </c>
      <c r="AE95" s="4" t="s">
        <v>183</v>
      </c>
      <c r="AF95" s="4" t="s">
        <v>844</v>
      </c>
      <c r="AG95" s="4"/>
      <c r="AH95" s="1" t="s">
        <v>183</v>
      </c>
      <c r="AI95" s="1" t="s">
        <v>2819</v>
      </c>
      <c r="AJ95" s="1" t="s">
        <v>183</v>
      </c>
      <c r="AK95" s="1" t="s">
        <v>183</v>
      </c>
    </row>
    <row r="96" spans="1:37" x14ac:dyDescent="0.3">
      <c r="A96" s="94">
        <f t="shared" si="2"/>
        <v>95</v>
      </c>
      <c r="B96" s="39" t="str">
        <f t="shared" si="3"/>
        <v>SPS FORREST RD TEMP HILBERT</v>
      </c>
      <c r="C96" s="4" t="s">
        <v>1957</v>
      </c>
      <c r="D96" s="4" t="s">
        <v>1958</v>
      </c>
      <c r="E96" s="4" t="s">
        <v>1497</v>
      </c>
      <c r="F96" s="4" t="s">
        <v>1959</v>
      </c>
      <c r="G96" s="4" t="s">
        <v>258</v>
      </c>
      <c r="H96" s="4" t="s">
        <v>259</v>
      </c>
      <c r="I96" s="4" t="s">
        <v>2960</v>
      </c>
      <c r="J96" s="4"/>
      <c r="K96" s="4"/>
      <c r="L96" s="4" t="s">
        <v>1960</v>
      </c>
      <c r="M96" s="4" t="s">
        <v>1961</v>
      </c>
      <c r="N96" s="4" t="s">
        <v>267</v>
      </c>
      <c r="O96" s="4">
        <v>2005</v>
      </c>
      <c r="P96" s="4"/>
      <c r="Q96" s="4" t="s">
        <v>631</v>
      </c>
      <c r="R96" s="4" t="s">
        <v>1962</v>
      </c>
      <c r="S96" s="4" t="s">
        <v>571</v>
      </c>
      <c r="T96" s="4" t="s">
        <v>1963</v>
      </c>
      <c r="U96" s="4" t="s">
        <v>566</v>
      </c>
      <c r="V96" s="4">
        <v>22</v>
      </c>
      <c r="W96" s="4">
        <v>415</v>
      </c>
      <c r="X96" s="4" t="s">
        <v>222</v>
      </c>
      <c r="Y96" s="4" t="s">
        <v>222</v>
      </c>
      <c r="Z96" s="4" t="s">
        <v>222</v>
      </c>
      <c r="AA96" s="4" t="s">
        <v>222</v>
      </c>
      <c r="AB96" s="4" t="s">
        <v>222</v>
      </c>
      <c r="AC96" s="4" t="s">
        <v>1964</v>
      </c>
      <c r="AD96" s="4" t="s">
        <v>938</v>
      </c>
      <c r="AE96" s="4" t="s">
        <v>183</v>
      </c>
      <c r="AF96" s="4" t="s">
        <v>839</v>
      </c>
      <c r="AG96" s="4"/>
      <c r="AH96" s="1" t="s">
        <v>183</v>
      </c>
      <c r="AI96" s="1" t="s">
        <v>1750</v>
      </c>
      <c r="AJ96" s="1" t="s">
        <v>184</v>
      </c>
      <c r="AK96" s="1" t="s">
        <v>184</v>
      </c>
    </row>
    <row r="97" spans="1:37" x14ac:dyDescent="0.3">
      <c r="A97" s="94">
        <f t="shared" si="2"/>
        <v>96</v>
      </c>
      <c r="B97" s="39" t="str">
        <f t="shared" si="3"/>
        <v>SPS FORREST RD ARMADALE</v>
      </c>
      <c r="C97" s="4" t="s">
        <v>970</v>
      </c>
      <c r="D97" s="4" t="s">
        <v>971</v>
      </c>
      <c r="E97" s="4" t="s">
        <v>931</v>
      </c>
      <c r="F97" s="4" t="s">
        <v>972</v>
      </c>
      <c r="G97" s="4" t="s">
        <v>973</v>
      </c>
      <c r="H97" s="4" t="s">
        <v>259</v>
      </c>
      <c r="I97" s="4" t="s">
        <v>2759</v>
      </c>
      <c r="J97" s="4"/>
      <c r="K97" s="4"/>
      <c r="L97" s="4" t="s">
        <v>974</v>
      </c>
      <c r="M97" s="4" t="s">
        <v>975</v>
      </c>
      <c r="N97" s="4" t="s">
        <v>976</v>
      </c>
      <c r="O97" s="4">
        <v>1966</v>
      </c>
      <c r="P97" s="4" t="s">
        <v>946</v>
      </c>
      <c r="Q97" s="4" t="s">
        <v>222</v>
      </c>
      <c r="R97" s="4" t="s">
        <v>977</v>
      </c>
      <c r="S97" s="4" t="s">
        <v>222</v>
      </c>
      <c r="T97" s="4" t="s">
        <v>978</v>
      </c>
      <c r="U97" s="4" t="s">
        <v>222</v>
      </c>
      <c r="V97" s="4" t="s">
        <v>222</v>
      </c>
      <c r="W97" s="4" t="s">
        <v>222</v>
      </c>
      <c r="X97" s="4" t="s">
        <v>222</v>
      </c>
      <c r="Y97" s="4" t="s">
        <v>222</v>
      </c>
      <c r="Z97" s="4" t="s">
        <v>222</v>
      </c>
      <c r="AA97" s="4" t="s">
        <v>222</v>
      </c>
      <c r="AB97" s="4" t="s">
        <v>222</v>
      </c>
      <c r="AC97" s="4" t="s">
        <v>979</v>
      </c>
      <c r="AD97" s="4" t="s">
        <v>938</v>
      </c>
      <c r="AE97" s="4" t="s">
        <v>183</v>
      </c>
      <c r="AF97" s="4" t="s">
        <v>844</v>
      </c>
      <c r="AG97" s="4"/>
      <c r="AH97" s="1" t="s">
        <v>183</v>
      </c>
      <c r="AI97" s="1" t="s">
        <v>2818</v>
      </c>
      <c r="AJ97" s="1" t="s">
        <v>184</v>
      </c>
      <c r="AK97" s="1" t="s">
        <v>183</v>
      </c>
    </row>
    <row r="98" spans="1:37" x14ac:dyDescent="0.3">
      <c r="A98" s="94">
        <f t="shared" si="2"/>
        <v>97</v>
      </c>
      <c r="B98" s="39" t="str">
        <f t="shared" si="3"/>
        <v>SPS WRIGHT RD PIARA WATERS</v>
      </c>
      <c r="C98" s="4" t="s">
        <v>1288</v>
      </c>
      <c r="D98" s="4" t="s">
        <v>1289</v>
      </c>
      <c r="E98" s="4" t="s">
        <v>1106</v>
      </c>
      <c r="F98" s="4" t="s">
        <v>1290</v>
      </c>
      <c r="G98" s="4" t="s">
        <v>1291</v>
      </c>
      <c r="H98" s="4" t="s">
        <v>259</v>
      </c>
      <c r="I98" s="4" t="s">
        <v>2789</v>
      </c>
      <c r="J98" s="4"/>
      <c r="K98" s="4"/>
      <c r="L98" s="4" t="s">
        <v>1292</v>
      </c>
      <c r="M98" s="4" t="s">
        <v>1293</v>
      </c>
      <c r="N98" s="4" t="s">
        <v>1232</v>
      </c>
      <c r="O98" s="4">
        <v>2008</v>
      </c>
      <c r="P98" s="4" t="s">
        <v>222</v>
      </c>
      <c r="Q98" s="4" t="s">
        <v>631</v>
      </c>
      <c r="R98" s="4" t="s">
        <v>1294</v>
      </c>
      <c r="S98" s="4" t="s">
        <v>571</v>
      </c>
      <c r="T98" s="4" t="s">
        <v>1295</v>
      </c>
      <c r="U98" s="4" t="s">
        <v>566</v>
      </c>
      <c r="V98" s="4" t="s">
        <v>222</v>
      </c>
      <c r="W98" s="4">
        <v>415</v>
      </c>
      <c r="X98" s="4" t="s">
        <v>222</v>
      </c>
      <c r="Y98" s="4" t="s">
        <v>222</v>
      </c>
      <c r="Z98" s="4" t="s">
        <v>222</v>
      </c>
      <c r="AA98" s="4" t="s">
        <v>222</v>
      </c>
      <c r="AB98" s="4" t="s">
        <v>222</v>
      </c>
      <c r="AC98" s="4" t="s">
        <v>1296</v>
      </c>
      <c r="AD98" s="4" t="s">
        <v>938</v>
      </c>
      <c r="AE98" s="4" t="s">
        <v>184</v>
      </c>
      <c r="AF98" s="4" t="s">
        <v>849</v>
      </c>
      <c r="AG98" s="4"/>
      <c r="AH98" s="1" t="s">
        <v>183</v>
      </c>
      <c r="AI98" s="1" t="s">
        <v>2819</v>
      </c>
      <c r="AJ98" s="1" t="s">
        <v>184</v>
      </c>
      <c r="AK98" s="1" t="s">
        <v>183</v>
      </c>
    </row>
    <row r="99" spans="1:37" x14ac:dyDescent="0.3">
      <c r="A99" s="94">
        <f t="shared" si="2"/>
        <v>98</v>
      </c>
      <c r="B99" s="39" t="str">
        <f t="shared" si="3"/>
        <v>SPS LAKE RD SEVILLE GROVE</v>
      </c>
      <c r="C99" s="4" t="s">
        <v>90</v>
      </c>
      <c r="D99" s="4" t="s">
        <v>91</v>
      </c>
      <c r="E99" s="4" t="s">
        <v>858</v>
      </c>
      <c r="F99" s="4" t="s">
        <v>297</v>
      </c>
      <c r="G99" s="4" t="s">
        <v>298</v>
      </c>
      <c r="H99" s="4" t="s">
        <v>259</v>
      </c>
      <c r="I99" s="4" t="s">
        <v>861</v>
      </c>
      <c r="J99" s="4" t="s">
        <v>560</v>
      </c>
      <c r="K99" s="4" t="s">
        <v>611</v>
      </c>
      <c r="L99" s="4" t="s">
        <v>299</v>
      </c>
      <c r="M99" s="4" t="s">
        <v>300</v>
      </c>
      <c r="N99" s="4" t="s">
        <v>301</v>
      </c>
      <c r="O99" s="4">
        <v>1970</v>
      </c>
      <c r="P99" s="4" t="s">
        <v>862</v>
      </c>
      <c r="Q99" s="4" t="s">
        <v>612</v>
      </c>
      <c r="R99" s="4" t="s">
        <v>613</v>
      </c>
      <c r="S99" s="4" t="s">
        <v>571</v>
      </c>
      <c r="T99" s="4" t="s">
        <v>614</v>
      </c>
      <c r="U99" s="4">
        <v>200</v>
      </c>
      <c r="V99" s="4">
        <v>22</v>
      </c>
      <c r="W99" s="4">
        <v>415</v>
      </c>
      <c r="X99" s="4" t="s">
        <v>222</v>
      </c>
      <c r="Y99" s="4" t="s">
        <v>222</v>
      </c>
      <c r="Z99" s="4" t="s">
        <v>222</v>
      </c>
      <c r="AA99" s="4" t="s">
        <v>222</v>
      </c>
      <c r="AB99" s="4" t="s">
        <v>222</v>
      </c>
      <c r="AC99" s="4" t="s">
        <v>775</v>
      </c>
      <c r="AD99" s="4"/>
      <c r="AE99" s="4" t="s">
        <v>184</v>
      </c>
      <c r="AF99" s="4" t="s">
        <v>836</v>
      </c>
      <c r="AG99" s="4"/>
      <c r="AH99" s="1" t="s">
        <v>183</v>
      </c>
      <c r="AI99" s="1" t="s">
        <v>2819</v>
      </c>
      <c r="AJ99" s="1" t="s">
        <v>184</v>
      </c>
      <c r="AK99" s="1" t="s">
        <v>183</v>
      </c>
    </row>
    <row r="100" spans="1:37" x14ac:dyDescent="0.3">
      <c r="A100" s="94">
        <f t="shared" si="2"/>
        <v>99</v>
      </c>
      <c r="B100" s="39" t="str">
        <f t="shared" si="3"/>
        <v>SPS WATERWORKS RD HAYNES</v>
      </c>
      <c r="C100" s="4" t="s">
        <v>76</v>
      </c>
      <c r="D100" s="4" t="s">
        <v>77</v>
      </c>
      <c r="E100" s="4" t="s">
        <v>831</v>
      </c>
      <c r="F100" s="4" t="s">
        <v>257</v>
      </c>
      <c r="G100" s="4" t="s">
        <v>258</v>
      </c>
      <c r="H100" s="4" t="s">
        <v>259</v>
      </c>
      <c r="I100" s="4" t="s">
        <v>845</v>
      </c>
      <c r="J100" s="4" t="s">
        <v>560</v>
      </c>
      <c r="K100" s="4" t="s">
        <v>586</v>
      </c>
      <c r="L100" s="4" t="s">
        <v>260</v>
      </c>
      <c r="M100" s="4" t="s">
        <v>261</v>
      </c>
      <c r="N100" s="4" t="s">
        <v>244</v>
      </c>
      <c r="O100" s="4">
        <v>2004</v>
      </c>
      <c r="P100" s="4" t="s">
        <v>846</v>
      </c>
      <c r="Q100" s="4" t="s">
        <v>569</v>
      </c>
      <c r="R100" s="4" t="s">
        <v>587</v>
      </c>
      <c r="S100" s="4" t="s">
        <v>588</v>
      </c>
      <c r="T100" s="4" t="s">
        <v>589</v>
      </c>
      <c r="U100" s="4">
        <v>315</v>
      </c>
      <c r="V100" s="4" t="s">
        <v>222</v>
      </c>
      <c r="W100" s="4">
        <v>415</v>
      </c>
      <c r="X100" s="4" t="s">
        <v>222</v>
      </c>
      <c r="Y100" s="4" t="s">
        <v>222</v>
      </c>
      <c r="Z100" s="4" t="s">
        <v>222</v>
      </c>
      <c r="AA100" s="4" t="s">
        <v>222</v>
      </c>
      <c r="AB100" s="4" t="s">
        <v>222</v>
      </c>
      <c r="AC100" s="4" t="s">
        <v>768</v>
      </c>
      <c r="AD100" s="4"/>
      <c r="AE100" s="4" t="s">
        <v>184</v>
      </c>
      <c r="AF100" s="4" t="s">
        <v>836</v>
      </c>
      <c r="AG100" s="4"/>
      <c r="AH100" s="1" t="s">
        <v>183</v>
      </c>
      <c r="AI100" s="1" t="s">
        <v>2819</v>
      </c>
      <c r="AJ100" s="1" t="s">
        <v>183</v>
      </c>
      <c r="AK100" s="1" t="s">
        <v>183</v>
      </c>
    </row>
    <row r="101" spans="1:37" x14ac:dyDescent="0.3">
      <c r="A101" s="94">
        <f t="shared" si="2"/>
        <v>100</v>
      </c>
      <c r="B101" s="39" t="str">
        <f t="shared" si="3"/>
        <v>SPS WHITELEY AV HILBERT</v>
      </c>
      <c r="C101" s="4" t="s">
        <v>2695</v>
      </c>
      <c r="D101" s="4" t="s">
        <v>2696</v>
      </c>
      <c r="E101" s="4" t="s">
        <v>1497</v>
      </c>
      <c r="F101" s="4" t="s">
        <v>2697</v>
      </c>
      <c r="G101" s="4" t="s">
        <v>2698</v>
      </c>
      <c r="H101" s="4" t="s">
        <v>259</v>
      </c>
      <c r="I101" s="4" t="s">
        <v>3048</v>
      </c>
      <c r="J101" s="4"/>
      <c r="K101" s="4"/>
      <c r="L101" s="4" t="s">
        <v>2699</v>
      </c>
      <c r="M101" s="4" t="s">
        <v>2700</v>
      </c>
      <c r="N101" s="4" t="s">
        <v>1181</v>
      </c>
      <c r="O101" s="4">
        <v>1988</v>
      </c>
      <c r="P101" s="4"/>
      <c r="Q101" s="4" t="s">
        <v>612</v>
      </c>
      <c r="R101" s="4" t="s">
        <v>2701</v>
      </c>
      <c r="S101" s="4" t="s">
        <v>571</v>
      </c>
      <c r="T101" s="4" t="s">
        <v>2702</v>
      </c>
      <c r="U101" s="4" t="s">
        <v>566</v>
      </c>
      <c r="V101" s="4" t="s">
        <v>222</v>
      </c>
      <c r="W101" s="4" t="s">
        <v>222</v>
      </c>
      <c r="X101" s="4" t="s">
        <v>222</v>
      </c>
      <c r="Y101" s="4" t="s">
        <v>222</v>
      </c>
      <c r="Z101" s="4" t="s">
        <v>222</v>
      </c>
      <c r="AA101" s="4" t="s">
        <v>222</v>
      </c>
      <c r="AB101" s="4" t="s">
        <v>222</v>
      </c>
      <c r="AC101" s="4" t="s">
        <v>2703</v>
      </c>
      <c r="AD101" s="4" t="s">
        <v>938</v>
      </c>
      <c r="AE101" s="4" t="s">
        <v>183</v>
      </c>
      <c r="AF101" s="4" t="s">
        <v>844</v>
      </c>
      <c r="AG101" s="4"/>
      <c r="AH101" s="1" t="s">
        <v>183</v>
      </c>
      <c r="AI101" s="1" t="s">
        <v>2819</v>
      </c>
      <c r="AJ101" s="1" t="s">
        <v>183</v>
      </c>
      <c r="AK101" s="1" t="s">
        <v>183</v>
      </c>
    </row>
    <row r="102" spans="1:37" x14ac:dyDescent="0.3">
      <c r="A102" s="94">
        <f t="shared" si="2"/>
        <v>101</v>
      </c>
      <c r="B102" s="39" t="str">
        <f t="shared" si="3"/>
        <v>SPS BROOKSIDE AV KELMSCOTT</v>
      </c>
      <c r="C102" s="4" t="s">
        <v>1626</v>
      </c>
      <c r="D102" s="4" t="s">
        <v>1627</v>
      </c>
      <c r="E102" s="4" t="s">
        <v>1497</v>
      </c>
      <c r="F102" s="4" t="s">
        <v>1628</v>
      </c>
      <c r="G102" s="4" t="s">
        <v>1629</v>
      </c>
      <c r="H102" s="4" t="s">
        <v>453</v>
      </c>
      <c r="I102" s="4" t="s">
        <v>2922</v>
      </c>
      <c r="J102" s="4"/>
      <c r="K102" s="4"/>
      <c r="L102" s="4" t="s">
        <v>1630</v>
      </c>
      <c r="M102" s="4" t="s">
        <v>1631</v>
      </c>
      <c r="N102" s="4" t="s">
        <v>296</v>
      </c>
      <c r="O102" s="4">
        <v>1972</v>
      </c>
      <c r="P102" s="4"/>
      <c r="Q102" s="4" t="s">
        <v>222</v>
      </c>
      <c r="R102" s="4" t="s">
        <v>1632</v>
      </c>
      <c r="S102" s="4" t="s">
        <v>222</v>
      </c>
      <c r="T102" s="4" t="s">
        <v>1633</v>
      </c>
      <c r="U102" s="4" t="s">
        <v>566</v>
      </c>
      <c r="V102" s="4" t="s">
        <v>222</v>
      </c>
      <c r="W102" s="4" t="s">
        <v>222</v>
      </c>
      <c r="X102" s="4" t="s">
        <v>222</v>
      </c>
      <c r="Y102" s="4" t="s">
        <v>222</v>
      </c>
      <c r="Z102" s="4" t="s">
        <v>222</v>
      </c>
      <c r="AA102" s="4" t="s">
        <v>222</v>
      </c>
      <c r="AB102" s="4" t="s">
        <v>222</v>
      </c>
      <c r="AC102" s="4" t="s">
        <v>1634</v>
      </c>
      <c r="AD102" s="4" t="s">
        <v>938</v>
      </c>
      <c r="AE102" s="4" t="s">
        <v>183</v>
      </c>
      <c r="AF102" s="4" t="s">
        <v>844</v>
      </c>
      <c r="AG102" s="4"/>
      <c r="AH102" s="1" t="s">
        <v>183</v>
      </c>
      <c r="AI102" s="1" t="s">
        <v>2819</v>
      </c>
      <c r="AJ102" s="1" t="s">
        <v>183</v>
      </c>
      <c r="AK102" s="1" t="s">
        <v>183</v>
      </c>
    </row>
    <row r="103" spans="1:37" x14ac:dyDescent="0.3">
      <c r="A103" s="94">
        <f t="shared" si="2"/>
        <v>102</v>
      </c>
      <c r="B103" s="39" t="str">
        <f t="shared" si="3"/>
        <v>SPS BROOKTON HWY KELMSCOTT</v>
      </c>
      <c r="C103" s="4" t="s">
        <v>1643</v>
      </c>
      <c r="D103" s="4" t="s">
        <v>1644</v>
      </c>
      <c r="E103" s="4" t="s">
        <v>1497</v>
      </c>
      <c r="F103" s="4" t="s">
        <v>1645</v>
      </c>
      <c r="G103" s="4" t="s">
        <v>1629</v>
      </c>
      <c r="H103" s="4" t="s">
        <v>453</v>
      </c>
      <c r="I103" s="4" t="s">
        <v>2924</v>
      </c>
      <c r="J103" s="4"/>
      <c r="K103" s="4"/>
      <c r="L103" s="4" t="s">
        <v>1646</v>
      </c>
      <c r="M103" s="4" t="s">
        <v>1647</v>
      </c>
      <c r="N103" s="4" t="s">
        <v>1648</v>
      </c>
      <c r="O103" s="4">
        <v>2000</v>
      </c>
      <c r="P103" s="4"/>
      <c r="Q103" s="4" t="s">
        <v>631</v>
      </c>
      <c r="R103" s="4" t="s">
        <v>1649</v>
      </c>
      <c r="S103" s="4" t="s">
        <v>571</v>
      </c>
      <c r="T103" s="4" t="s">
        <v>1650</v>
      </c>
      <c r="U103" s="4">
        <v>200</v>
      </c>
      <c r="V103" s="4" t="s">
        <v>222</v>
      </c>
      <c r="W103" s="4">
        <v>415</v>
      </c>
      <c r="X103" s="4" t="s">
        <v>222</v>
      </c>
      <c r="Y103" s="4" t="s">
        <v>222</v>
      </c>
      <c r="Z103" s="4" t="s">
        <v>222</v>
      </c>
      <c r="AA103" s="4" t="s">
        <v>222</v>
      </c>
      <c r="AB103" s="4" t="s">
        <v>222</v>
      </c>
      <c r="AC103" s="4" t="s">
        <v>1651</v>
      </c>
      <c r="AD103" s="4" t="s">
        <v>938</v>
      </c>
      <c r="AE103" s="4" t="s">
        <v>183</v>
      </c>
      <c r="AF103" s="4" t="s">
        <v>836</v>
      </c>
      <c r="AG103" s="4"/>
      <c r="AH103" s="1" t="s">
        <v>183</v>
      </c>
      <c r="AI103" s="1" t="s">
        <v>1750</v>
      </c>
      <c r="AJ103" s="1" t="s">
        <v>222</v>
      </c>
      <c r="AK103" s="1" t="s">
        <v>184</v>
      </c>
    </row>
    <row r="104" spans="1:37" x14ac:dyDescent="0.3">
      <c r="A104" s="94">
        <f t="shared" si="2"/>
        <v>103</v>
      </c>
      <c r="B104" s="39" t="str">
        <f t="shared" si="3"/>
        <v>SPS CAMMILLO RD KELMSCOTT</v>
      </c>
      <c r="C104" s="4" t="s">
        <v>1679</v>
      </c>
      <c r="D104" s="4" t="s">
        <v>1680</v>
      </c>
      <c r="E104" s="4" t="s">
        <v>1497</v>
      </c>
      <c r="F104" s="4" t="s">
        <v>1681</v>
      </c>
      <c r="G104" s="4" t="s">
        <v>1629</v>
      </c>
      <c r="H104" s="4" t="s">
        <v>453</v>
      </c>
      <c r="I104" s="4" t="s">
        <v>2928</v>
      </c>
      <c r="J104" s="4"/>
      <c r="K104" s="4"/>
      <c r="L104" s="4" t="s">
        <v>1682</v>
      </c>
      <c r="M104" s="4" t="s">
        <v>1683</v>
      </c>
      <c r="N104" s="4" t="s">
        <v>256</v>
      </c>
      <c r="O104" s="4">
        <v>1979</v>
      </c>
      <c r="P104" s="4"/>
      <c r="Q104" s="4" t="s">
        <v>612</v>
      </c>
      <c r="R104" s="4" t="s">
        <v>1684</v>
      </c>
      <c r="S104" s="4" t="s">
        <v>571</v>
      </c>
      <c r="T104" s="4" t="s">
        <v>1685</v>
      </c>
      <c r="U104" s="4" t="s">
        <v>566</v>
      </c>
      <c r="V104" s="4" t="s">
        <v>222</v>
      </c>
      <c r="W104" s="4" t="s">
        <v>222</v>
      </c>
      <c r="X104" s="4" t="s">
        <v>222</v>
      </c>
      <c r="Y104" s="4" t="s">
        <v>222</v>
      </c>
      <c r="Z104" s="4" t="s">
        <v>222</v>
      </c>
      <c r="AA104" s="4" t="s">
        <v>222</v>
      </c>
      <c r="AB104" s="4" t="s">
        <v>222</v>
      </c>
      <c r="AC104" s="4" t="s">
        <v>1686</v>
      </c>
      <c r="AD104" s="4" t="s">
        <v>938</v>
      </c>
      <c r="AE104" s="4" t="s">
        <v>183</v>
      </c>
      <c r="AF104" s="4" t="s">
        <v>849</v>
      </c>
      <c r="AG104" s="4"/>
      <c r="AH104" s="1" t="s">
        <v>183</v>
      </c>
      <c r="AI104" s="1" t="s">
        <v>2819</v>
      </c>
      <c r="AJ104" s="1" t="s">
        <v>183</v>
      </c>
      <c r="AK104" s="1" t="s">
        <v>183</v>
      </c>
    </row>
    <row r="105" spans="1:37" x14ac:dyDescent="0.3">
      <c r="A105" s="94">
        <f t="shared" si="2"/>
        <v>104</v>
      </c>
      <c r="B105" s="39" t="str">
        <f t="shared" si="3"/>
        <v>SPS DORNEY ESP CHAMPION LAKES</v>
      </c>
      <c r="C105" s="4" t="s">
        <v>1838</v>
      </c>
      <c r="D105" s="4" t="s">
        <v>1839</v>
      </c>
      <c r="E105" s="4" t="s">
        <v>1497</v>
      </c>
      <c r="F105" s="4" t="s">
        <v>1840</v>
      </c>
      <c r="G105" s="4" t="s">
        <v>1841</v>
      </c>
      <c r="H105" s="4" t="s">
        <v>453</v>
      </c>
      <c r="I105" s="4" t="s">
        <v>2946</v>
      </c>
      <c r="J105" s="4"/>
      <c r="K105" s="4"/>
      <c r="L105" s="4" t="s">
        <v>1842</v>
      </c>
      <c r="M105" s="4" t="s">
        <v>1843</v>
      </c>
      <c r="N105" s="4" t="s">
        <v>1844</v>
      </c>
      <c r="O105" s="4">
        <v>2008</v>
      </c>
      <c r="P105" s="4"/>
      <c r="Q105" s="4" t="s">
        <v>631</v>
      </c>
      <c r="R105" s="4" t="s">
        <v>1845</v>
      </c>
      <c r="S105" s="4" t="s">
        <v>571</v>
      </c>
      <c r="T105" s="4" t="s">
        <v>1846</v>
      </c>
      <c r="U105" s="4">
        <v>200</v>
      </c>
      <c r="V105" s="4" t="s">
        <v>222</v>
      </c>
      <c r="W105" s="4">
        <v>415</v>
      </c>
      <c r="X105" s="4" t="s">
        <v>222</v>
      </c>
      <c r="Y105" s="4" t="s">
        <v>222</v>
      </c>
      <c r="Z105" s="4" t="s">
        <v>222</v>
      </c>
      <c r="AA105" s="4" t="s">
        <v>222</v>
      </c>
      <c r="AB105" s="4" t="s">
        <v>222</v>
      </c>
      <c r="AC105" s="4" t="s">
        <v>1847</v>
      </c>
      <c r="AD105" s="4" t="s">
        <v>938</v>
      </c>
      <c r="AE105" s="4" t="s">
        <v>184</v>
      </c>
      <c r="AF105" s="4" t="s">
        <v>839</v>
      </c>
      <c r="AG105" s="4"/>
      <c r="AH105" s="1" t="s">
        <v>183</v>
      </c>
      <c r="AI105" s="1" t="s">
        <v>1750</v>
      </c>
      <c r="AJ105" s="1" t="s">
        <v>183</v>
      </c>
      <c r="AK105" s="1" t="s">
        <v>184</v>
      </c>
    </row>
    <row r="106" spans="1:37" x14ac:dyDescent="0.3">
      <c r="A106" s="94">
        <f t="shared" si="2"/>
        <v>105</v>
      </c>
      <c r="B106" s="39" t="str">
        <f t="shared" si="3"/>
        <v>SPS HEMINGWAY DR CAMILLO</v>
      </c>
      <c r="C106" s="4" t="s">
        <v>152</v>
      </c>
      <c r="D106" s="4" t="s">
        <v>153</v>
      </c>
      <c r="E106" s="4" t="s">
        <v>858</v>
      </c>
      <c r="F106" s="4" t="s">
        <v>451</v>
      </c>
      <c r="G106" s="4" t="s">
        <v>452</v>
      </c>
      <c r="H106" s="4" t="s">
        <v>453</v>
      </c>
      <c r="I106" s="4" t="s">
        <v>907</v>
      </c>
      <c r="J106" s="4" t="s">
        <v>560</v>
      </c>
      <c r="K106" s="4" t="s">
        <v>716</v>
      </c>
      <c r="L106" s="4" t="s">
        <v>454</v>
      </c>
      <c r="M106" s="4" t="s">
        <v>455</v>
      </c>
      <c r="N106" s="4" t="s">
        <v>456</v>
      </c>
      <c r="O106" s="4">
        <v>1975</v>
      </c>
      <c r="P106" s="4" t="s">
        <v>868</v>
      </c>
      <c r="Q106" s="4" t="s">
        <v>612</v>
      </c>
      <c r="R106" s="4" t="s">
        <v>717</v>
      </c>
      <c r="S106" s="4" t="s">
        <v>571</v>
      </c>
      <c r="T106" s="4" t="s">
        <v>718</v>
      </c>
      <c r="U106" s="4" t="s">
        <v>566</v>
      </c>
      <c r="V106" s="4" t="s">
        <v>222</v>
      </c>
      <c r="W106" s="4" t="s">
        <v>222</v>
      </c>
      <c r="X106" s="4" t="s">
        <v>222</v>
      </c>
      <c r="Y106" s="4" t="s">
        <v>222</v>
      </c>
      <c r="Z106" s="4" t="s">
        <v>222</v>
      </c>
      <c r="AA106" s="4" t="s">
        <v>222</v>
      </c>
      <c r="AB106" s="4" t="s">
        <v>222</v>
      </c>
      <c r="AC106" s="4" t="s">
        <v>806</v>
      </c>
      <c r="AD106" s="4"/>
      <c r="AE106" s="4" t="s">
        <v>183</v>
      </c>
      <c r="AF106" s="4" t="s">
        <v>844</v>
      </c>
      <c r="AG106" s="4"/>
      <c r="AH106" s="1" t="s">
        <v>183</v>
      </c>
      <c r="AI106" s="1" t="s">
        <v>2818</v>
      </c>
      <c r="AJ106" s="1" t="s">
        <v>184</v>
      </c>
      <c r="AK106" s="1" t="s">
        <v>183</v>
      </c>
    </row>
    <row r="107" spans="1:37" x14ac:dyDescent="0.3">
      <c r="A107" s="94">
        <f t="shared" si="2"/>
        <v>106</v>
      </c>
      <c r="B107" s="39" t="str">
        <f t="shared" si="3"/>
        <v>SPS MCNEILL RD CHAMPION LAKES</v>
      </c>
      <c r="C107" s="4" t="s">
        <v>2285</v>
      </c>
      <c r="D107" s="4" t="s">
        <v>2286</v>
      </c>
      <c r="E107" s="4" t="s">
        <v>1497</v>
      </c>
      <c r="F107" s="4" t="s">
        <v>2287</v>
      </c>
      <c r="G107" s="4" t="s">
        <v>1841</v>
      </c>
      <c r="H107" s="4" t="s">
        <v>453</v>
      </c>
      <c r="I107" s="4" t="s">
        <v>2998</v>
      </c>
      <c r="J107" s="4"/>
      <c r="K107" s="4"/>
      <c r="L107" s="4" t="s">
        <v>2288</v>
      </c>
      <c r="M107" s="4" t="s">
        <v>2289</v>
      </c>
      <c r="N107" s="4" t="s">
        <v>1232</v>
      </c>
      <c r="O107" s="4">
        <v>2008</v>
      </c>
      <c r="P107" s="4"/>
      <c r="Q107" s="4" t="s">
        <v>631</v>
      </c>
      <c r="R107" s="4" t="s">
        <v>2290</v>
      </c>
      <c r="S107" s="4" t="s">
        <v>571</v>
      </c>
      <c r="T107" s="4" t="s">
        <v>2291</v>
      </c>
      <c r="U107" s="4">
        <v>200</v>
      </c>
      <c r="V107" s="4" t="s">
        <v>222</v>
      </c>
      <c r="W107" s="4">
        <v>415</v>
      </c>
      <c r="X107" s="4" t="s">
        <v>222</v>
      </c>
      <c r="Y107" s="4" t="s">
        <v>222</v>
      </c>
      <c r="Z107" s="4" t="s">
        <v>222</v>
      </c>
      <c r="AA107" s="4" t="s">
        <v>222</v>
      </c>
      <c r="AB107" s="4" t="s">
        <v>222</v>
      </c>
      <c r="AC107" s="4" t="s">
        <v>2292</v>
      </c>
      <c r="AD107" s="4" t="s">
        <v>938</v>
      </c>
      <c r="AE107" s="4" t="s">
        <v>184</v>
      </c>
      <c r="AF107" s="4" t="s">
        <v>839</v>
      </c>
      <c r="AG107" s="4"/>
      <c r="AH107" s="1" t="s">
        <v>183</v>
      </c>
      <c r="AI107" s="1" t="s">
        <v>2819</v>
      </c>
      <c r="AJ107" s="1" t="s">
        <v>183</v>
      </c>
      <c r="AK107" s="1" t="s">
        <v>183</v>
      </c>
    </row>
    <row r="108" spans="1:37" x14ac:dyDescent="0.3">
      <c r="A108" s="94">
        <f t="shared" si="2"/>
        <v>107</v>
      </c>
      <c r="B108" s="39" t="str">
        <f t="shared" si="3"/>
        <v>SPS PAGE RD KELMSCOTT</v>
      </c>
      <c r="C108" s="4" t="s">
        <v>2362</v>
      </c>
      <c r="D108" s="4" t="s">
        <v>2363</v>
      </c>
      <c r="E108" s="4" t="s">
        <v>1497</v>
      </c>
      <c r="F108" s="4" t="s">
        <v>2364</v>
      </c>
      <c r="G108" s="4" t="s">
        <v>1629</v>
      </c>
      <c r="H108" s="4" t="s">
        <v>453</v>
      </c>
      <c r="I108" s="4" t="s">
        <v>3007</v>
      </c>
      <c r="J108" s="4"/>
      <c r="K108" s="4"/>
      <c r="L108" s="4" t="s">
        <v>2365</v>
      </c>
      <c r="M108" s="4" t="s">
        <v>2366</v>
      </c>
      <c r="N108" s="4" t="s">
        <v>1283</v>
      </c>
      <c r="O108" s="4">
        <v>1986</v>
      </c>
      <c r="P108" s="4"/>
      <c r="Q108" s="4" t="s">
        <v>612</v>
      </c>
      <c r="R108" s="4" t="s">
        <v>2367</v>
      </c>
      <c r="S108" s="4" t="s">
        <v>571</v>
      </c>
      <c r="T108" s="4" t="s">
        <v>2368</v>
      </c>
      <c r="U108" s="4" t="s">
        <v>566</v>
      </c>
      <c r="V108" s="4" t="s">
        <v>222</v>
      </c>
      <c r="W108" s="4">
        <v>440</v>
      </c>
      <c r="X108" s="4" t="s">
        <v>222</v>
      </c>
      <c r="Y108" s="4" t="s">
        <v>222</v>
      </c>
      <c r="Z108" s="4" t="s">
        <v>222</v>
      </c>
      <c r="AA108" s="4" t="s">
        <v>222</v>
      </c>
      <c r="AB108" s="4" t="s">
        <v>222</v>
      </c>
      <c r="AC108" s="4" t="s">
        <v>2369</v>
      </c>
      <c r="AD108" s="4" t="s">
        <v>938</v>
      </c>
      <c r="AE108" s="4" t="s">
        <v>183</v>
      </c>
      <c r="AF108" s="4" t="s">
        <v>836</v>
      </c>
      <c r="AG108" s="4"/>
      <c r="AH108" s="1" t="s">
        <v>183</v>
      </c>
      <c r="AI108" s="1" t="s">
        <v>1750</v>
      </c>
      <c r="AJ108" s="1" t="s">
        <v>184</v>
      </c>
      <c r="AK108" s="1" t="s">
        <v>184</v>
      </c>
    </row>
    <row r="109" spans="1:37" x14ac:dyDescent="0.3">
      <c r="A109" s="94">
        <f t="shared" si="2"/>
        <v>108</v>
      </c>
      <c r="B109" s="39" t="str">
        <f t="shared" si="3"/>
        <v>SPS RIVER RD KELMSCOTT</v>
      </c>
      <c r="C109" s="4" t="s">
        <v>2463</v>
      </c>
      <c r="D109" s="4" t="s">
        <v>2464</v>
      </c>
      <c r="E109" s="4" t="s">
        <v>1497</v>
      </c>
      <c r="F109" s="4" t="s">
        <v>2465</v>
      </c>
      <c r="G109" s="4" t="s">
        <v>1629</v>
      </c>
      <c r="H109" s="4" t="s">
        <v>453</v>
      </c>
      <c r="I109" s="4" t="s">
        <v>3021</v>
      </c>
      <c r="J109" s="4"/>
      <c r="K109" s="4"/>
      <c r="L109" s="4" t="s">
        <v>2466</v>
      </c>
      <c r="M109" s="4" t="s">
        <v>2467</v>
      </c>
      <c r="N109" s="4" t="s">
        <v>1015</v>
      </c>
      <c r="O109" s="4">
        <v>1990</v>
      </c>
      <c r="P109" s="4"/>
      <c r="Q109" s="4" t="s">
        <v>569</v>
      </c>
      <c r="R109" s="4" t="s">
        <v>2468</v>
      </c>
      <c r="S109" s="4" t="s">
        <v>2469</v>
      </c>
      <c r="T109" s="4" t="s">
        <v>2470</v>
      </c>
      <c r="U109" s="4">
        <v>63</v>
      </c>
      <c r="V109" s="4">
        <v>22</v>
      </c>
      <c r="W109" s="4">
        <v>440</v>
      </c>
      <c r="X109" s="4" t="s">
        <v>222</v>
      </c>
      <c r="Y109" s="4" t="s">
        <v>222</v>
      </c>
      <c r="Z109" s="4" t="s">
        <v>222</v>
      </c>
      <c r="AA109" s="4" t="s">
        <v>2471</v>
      </c>
      <c r="AB109" s="4" t="s">
        <v>222</v>
      </c>
      <c r="AC109" s="4" t="s">
        <v>2472</v>
      </c>
      <c r="AD109" s="4" t="s">
        <v>938</v>
      </c>
      <c r="AE109" s="4" t="s">
        <v>183</v>
      </c>
      <c r="AF109" s="4" t="s">
        <v>836</v>
      </c>
      <c r="AG109" s="4"/>
      <c r="AH109" s="1" t="s">
        <v>183</v>
      </c>
      <c r="AI109" s="1" t="s">
        <v>2819</v>
      </c>
      <c r="AJ109" s="1" t="s">
        <v>183</v>
      </c>
      <c r="AK109" s="1" t="s">
        <v>183</v>
      </c>
    </row>
    <row r="110" spans="1:37" x14ac:dyDescent="0.3">
      <c r="A110" s="94">
        <f t="shared" si="2"/>
        <v>109</v>
      </c>
      <c r="B110" s="39" t="str">
        <f t="shared" si="3"/>
        <v>SPS TEWSON RD CAMILLO</v>
      </c>
      <c r="C110" s="4" t="s">
        <v>2598</v>
      </c>
      <c r="D110" s="4" t="s">
        <v>2599</v>
      </c>
      <c r="E110" s="4" t="s">
        <v>1497</v>
      </c>
      <c r="F110" s="4" t="s">
        <v>2600</v>
      </c>
      <c r="G110" s="4" t="s">
        <v>452</v>
      </c>
      <c r="H110" s="4" t="s">
        <v>453</v>
      </c>
      <c r="I110" s="4" t="s">
        <v>3037</v>
      </c>
      <c r="J110" s="4"/>
      <c r="K110" s="4"/>
      <c r="L110" s="4" t="s">
        <v>2601</v>
      </c>
      <c r="M110" s="4" t="s">
        <v>2602</v>
      </c>
      <c r="N110" s="4" t="s">
        <v>279</v>
      </c>
      <c r="O110" s="4">
        <v>1970</v>
      </c>
      <c r="P110" s="4"/>
      <c r="Q110" s="4" t="s">
        <v>222</v>
      </c>
      <c r="R110" s="4" t="s">
        <v>2603</v>
      </c>
      <c r="S110" s="4" t="s">
        <v>222</v>
      </c>
      <c r="T110" s="4" t="s">
        <v>2604</v>
      </c>
      <c r="U110" s="4" t="s">
        <v>566</v>
      </c>
      <c r="V110" s="4" t="s">
        <v>222</v>
      </c>
      <c r="W110" s="4" t="s">
        <v>222</v>
      </c>
      <c r="X110" s="4" t="s">
        <v>222</v>
      </c>
      <c r="Y110" s="4" t="s">
        <v>222</v>
      </c>
      <c r="Z110" s="4" t="s">
        <v>222</v>
      </c>
      <c r="AA110" s="4" t="s">
        <v>222</v>
      </c>
      <c r="AB110" s="4" t="s">
        <v>222</v>
      </c>
      <c r="AC110" s="4" t="s">
        <v>2605</v>
      </c>
      <c r="AD110" s="4" t="s">
        <v>938</v>
      </c>
      <c r="AE110" s="4" t="s">
        <v>183</v>
      </c>
      <c r="AF110" s="4" t="s">
        <v>836</v>
      </c>
      <c r="AG110" s="4"/>
      <c r="AH110" s="1" t="s">
        <v>183</v>
      </c>
      <c r="AI110" s="1" t="s">
        <v>1750</v>
      </c>
      <c r="AJ110" s="1" t="s">
        <v>183</v>
      </c>
      <c r="AK110" s="1" t="s">
        <v>184</v>
      </c>
    </row>
    <row r="111" spans="1:37" x14ac:dyDescent="0.3">
      <c r="A111" s="94">
        <f t="shared" si="2"/>
        <v>110</v>
      </c>
      <c r="B111" s="39" t="str">
        <f t="shared" si="3"/>
        <v>SPS ANACONDA DR GOSNELLS</v>
      </c>
      <c r="C111" s="4" t="s">
        <v>74</v>
      </c>
      <c r="D111" s="4" t="s">
        <v>75</v>
      </c>
      <c r="E111" s="4" t="s">
        <v>831</v>
      </c>
      <c r="F111" s="4" t="s">
        <v>251</v>
      </c>
      <c r="G111" s="4" t="s">
        <v>252</v>
      </c>
      <c r="H111" s="4" t="s">
        <v>253</v>
      </c>
      <c r="I111" s="4" t="s">
        <v>842</v>
      </c>
      <c r="J111" s="4" t="s">
        <v>560</v>
      </c>
      <c r="K111" s="4" t="s">
        <v>581</v>
      </c>
      <c r="L111" s="4" t="s">
        <v>254</v>
      </c>
      <c r="M111" s="4" t="s">
        <v>255</v>
      </c>
      <c r="N111" s="4" t="s">
        <v>256</v>
      </c>
      <c r="O111" s="4" t="s">
        <v>222</v>
      </c>
      <c r="P111" s="4" t="s">
        <v>843</v>
      </c>
      <c r="Q111" s="4" t="s">
        <v>582</v>
      </c>
      <c r="R111" s="4" t="s">
        <v>583</v>
      </c>
      <c r="S111" s="4" t="s">
        <v>584</v>
      </c>
      <c r="T111" s="4" t="s">
        <v>585</v>
      </c>
      <c r="U111" s="4">
        <v>25</v>
      </c>
      <c r="V111" s="4">
        <v>22</v>
      </c>
      <c r="W111" s="4">
        <v>415</v>
      </c>
      <c r="X111" s="4" t="s">
        <v>222</v>
      </c>
      <c r="Y111" s="4" t="s">
        <v>222</v>
      </c>
      <c r="Z111" s="4" t="s">
        <v>222</v>
      </c>
      <c r="AA111" s="4" t="s">
        <v>222</v>
      </c>
      <c r="AB111" s="4" t="s">
        <v>222</v>
      </c>
      <c r="AC111" s="4" t="s">
        <v>767</v>
      </c>
      <c r="AD111" s="4"/>
      <c r="AE111" s="4" t="s">
        <v>184</v>
      </c>
      <c r="AF111" s="4" t="s">
        <v>844</v>
      </c>
      <c r="AG111" s="4"/>
      <c r="AH111" s="1" t="s">
        <v>183</v>
      </c>
      <c r="AI111" s="1" t="s">
        <v>2819</v>
      </c>
      <c r="AJ111" s="1" t="s">
        <v>183</v>
      </c>
      <c r="AK111" s="1" t="s">
        <v>183</v>
      </c>
    </row>
    <row r="112" spans="1:37" x14ac:dyDescent="0.3">
      <c r="A112" s="94">
        <f t="shared" si="2"/>
        <v>111</v>
      </c>
      <c r="B112" s="39" t="str">
        <f t="shared" si="3"/>
        <v>SPS ASTLEY ST GOSNELLS</v>
      </c>
      <c r="C112" s="4" t="s">
        <v>1541</v>
      </c>
      <c r="D112" s="4" t="s">
        <v>1542</v>
      </c>
      <c r="E112" s="4" t="s">
        <v>1497</v>
      </c>
      <c r="F112" s="4" t="s">
        <v>1543</v>
      </c>
      <c r="G112" s="4" t="s">
        <v>252</v>
      </c>
      <c r="H112" s="4" t="s">
        <v>253</v>
      </c>
      <c r="I112" s="4" t="s">
        <v>2912</v>
      </c>
      <c r="J112" s="4"/>
      <c r="K112" s="4"/>
      <c r="L112" s="4" t="s">
        <v>1544</v>
      </c>
      <c r="M112" s="4" t="s">
        <v>1545</v>
      </c>
      <c r="N112" s="4" t="s">
        <v>1436</v>
      </c>
      <c r="O112" s="4">
        <v>1986</v>
      </c>
      <c r="P112" s="4"/>
      <c r="Q112" s="4" t="s">
        <v>612</v>
      </c>
      <c r="R112" s="4" t="s">
        <v>1546</v>
      </c>
      <c r="S112" s="4" t="s">
        <v>602</v>
      </c>
      <c r="T112" s="4" t="s">
        <v>1547</v>
      </c>
      <c r="U112" s="4" t="s">
        <v>566</v>
      </c>
      <c r="V112" s="4" t="s">
        <v>222</v>
      </c>
      <c r="W112" s="4" t="s">
        <v>222</v>
      </c>
      <c r="X112" s="4" t="s">
        <v>222</v>
      </c>
      <c r="Y112" s="4" t="s">
        <v>222</v>
      </c>
      <c r="Z112" s="4" t="s">
        <v>222</v>
      </c>
      <c r="AA112" s="4" t="s">
        <v>222</v>
      </c>
      <c r="AB112" s="4" t="s">
        <v>222</v>
      </c>
      <c r="AC112" s="4" t="s">
        <v>1548</v>
      </c>
      <c r="AD112" s="4" t="s">
        <v>938</v>
      </c>
      <c r="AE112" s="4" t="s">
        <v>183</v>
      </c>
      <c r="AF112" s="4" t="s">
        <v>849</v>
      </c>
      <c r="AG112" s="4"/>
      <c r="AH112" s="1" t="s">
        <v>183</v>
      </c>
      <c r="AI112" s="1" t="s">
        <v>2819</v>
      </c>
      <c r="AJ112" s="1" t="s">
        <v>183</v>
      </c>
      <c r="AK112" s="1" t="s">
        <v>183</v>
      </c>
    </row>
    <row r="113" spans="1:37" x14ac:dyDescent="0.3">
      <c r="A113" s="94">
        <f t="shared" si="2"/>
        <v>112</v>
      </c>
      <c r="B113" s="39" t="str">
        <f t="shared" si="3"/>
        <v>SPS BAXTER CL HUNTINGDALE</v>
      </c>
      <c r="C113" s="4" t="s">
        <v>1558</v>
      </c>
      <c r="D113" s="4" t="s">
        <v>1559</v>
      </c>
      <c r="E113" s="4" t="s">
        <v>1497</v>
      </c>
      <c r="F113" s="4" t="s">
        <v>1560</v>
      </c>
      <c r="G113" s="4" t="s">
        <v>293</v>
      </c>
      <c r="H113" s="4" t="s">
        <v>253</v>
      </c>
      <c r="I113" s="4" t="s">
        <v>2914</v>
      </c>
      <c r="J113" s="4"/>
      <c r="K113" s="4"/>
      <c r="L113" s="4" t="s">
        <v>1561</v>
      </c>
      <c r="M113" s="4" t="s">
        <v>1562</v>
      </c>
      <c r="N113" s="4" t="s">
        <v>1015</v>
      </c>
      <c r="O113" s="4">
        <v>1991</v>
      </c>
      <c r="P113" s="4"/>
      <c r="Q113" s="4" t="s">
        <v>612</v>
      </c>
      <c r="R113" s="4" t="s">
        <v>1563</v>
      </c>
      <c r="S113" s="4" t="s">
        <v>571</v>
      </c>
      <c r="T113" s="4" t="s">
        <v>1564</v>
      </c>
      <c r="U113" s="4" t="s">
        <v>566</v>
      </c>
      <c r="V113" s="4" t="s">
        <v>222</v>
      </c>
      <c r="W113" s="4">
        <v>415</v>
      </c>
      <c r="X113" s="4" t="s">
        <v>222</v>
      </c>
      <c r="Y113" s="4" t="s">
        <v>222</v>
      </c>
      <c r="Z113" s="4" t="s">
        <v>222</v>
      </c>
      <c r="AA113" s="4" t="s">
        <v>222</v>
      </c>
      <c r="AB113" s="4" t="s">
        <v>222</v>
      </c>
      <c r="AC113" s="4" t="s">
        <v>1565</v>
      </c>
      <c r="AD113" s="4" t="s">
        <v>938</v>
      </c>
      <c r="AE113" s="4" t="s">
        <v>183</v>
      </c>
      <c r="AF113" s="4" t="s">
        <v>844</v>
      </c>
      <c r="AG113" s="4"/>
      <c r="AH113" s="1" t="s">
        <v>183</v>
      </c>
      <c r="AI113" s="1" t="s">
        <v>2819</v>
      </c>
      <c r="AJ113" s="1" t="s">
        <v>183</v>
      </c>
      <c r="AK113" s="1" t="s">
        <v>183</v>
      </c>
    </row>
    <row r="114" spans="1:37" x14ac:dyDescent="0.3">
      <c r="A114" s="94">
        <f t="shared" si="2"/>
        <v>113</v>
      </c>
      <c r="B114" s="39" t="str">
        <f t="shared" si="3"/>
        <v>SPS CORFIELD ST GOSNELLS</v>
      </c>
      <c r="C114" s="4" t="s">
        <v>1787</v>
      </c>
      <c r="D114" s="4" t="s">
        <v>1788</v>
      </c>
      <c r="E114" s="4" t="s">
        <v>1497</v>
      </c>
      <c r="F114" s="4" t="s">
        <v>1789</v>
      </c>
      <c r="G114" s="4" t="s">
        <v>252</v>
      </c>
      <c r="H114" s="4" t="s">
        <v>253</v>
      </c>
      <c r="I114" s="4" t="s">
        <v>2940</v>
      </c>
      <c r="J114" s="4"/>
      <c r="K114" s="4"/>
      <c r="L114" s="4" t="s">
        <v>1790</v>
      </c>
      <c r="M114" s="4" t="s">
        <v>1791</v>
      </c>
      <c r="N114" s="4" t="s">
        <v>244</v>
      </c>
      <c r="O114" s="4">
        <v>1982</v>
      </c>
      <c r="P114" s="4"/>
      <c r="Q114" s="4" t="s">
        <v>612</v>
      </c>
      <c r="R114" s="4" t="s">
        <v>1792</v>
      </c>
      <c r="S114" s="4" t="s">
        <v>602</v>
      </c>
      <c r="T114" s="4" t="s">
        <v>1793</v>
      </c>
      <c r="U114" s="4" t="s">
        <v>566</v>
      </c>
      <c r="V114" s="4" t="s">
        <v>222</v>
      </c>
      <c r="W114" s="4" t="s">
        <v>222</v>
      </c>
      <c r="X114" s="4" t="s">
        <v>222</v>
      </c>
      <c r="Y114" s="4" t="s">
        <v>222</v>
      </c>
      <c r="Z114" s="4" t="s">
        <v>222</v>
      </c>
      <c r="AA114" s="4" t="s">
        <v>222</v>
      </c>
      <c r="AB114" s="4" t="s">
        <v>222</v>
      </c>
      <c r="AC114" s="4" t="s">
        <v>1794</v>
      </c>
      <c r="AD114" s="4" t="s">
        <v>938</v>
      </c>
      <c r="AE114" s="4" t="s">
        <v>183</v>
      </c>
      <c r="AF114" s="4" t="s">
        <v>836</v>
      </c>
      <c r="AG114" s="4"/>
      <c r="AH114" s="1" t="s">
        <v>183</v>
      </c>
      <c r="AI114" s="1" t="s">
        <v>2819</v>
      </c>
      <c r="AJ114" s="1" t="s">
        <v>183</v>
      </c>
      <c r="AK114" s="1" t="s">
        <v>183</v>
      </c>
    </row>
    <row r="115" spans="1:37" x14ac:dyDescent="0.3">
      <c r="A115" s="94">
        <f t="shared" si="2"/>
        <v>114</v>
      </c>
      <c r="B115" s="39" t="str">
        <f t="shared" si="3"/>
        <v>SPS HOMESTEAD RD GOSNELLS</v>
      </c>
      <c r="C115" s="4" t="s">
        <v>1010</v>
      </c>
      <c r="D115" s="4" t="s">
        <v>1011</v>
      </c>
      <c r="E115" s="4" t="s">
        <v>931</v>
      </c>
      <c r="F115" s="4" t="s">
        <v>1012</v>
      </c>
      <c r="G115" s="4" t="s">
        <v>252</v>
      </c>
      <c r="H115" s="4" t="s">
        <v>253</v>
      </c>
      <c r="I115" s="4" t="s">
        <v>2763</v>
      </c>
      <c r="J115" s="4"/>
      <c r="K115" s="4"/>
      <c r="L115" s="4" t="s">
        <v>1013</v>
      </c>
      <c r="M115" s="4" t="s">
        <v>1014</v>
      </c>
      <c r="N115" s="4" t="s">
        <v>1015</v>
      </c>
      <c r="O115" s="4">
        <v>1992</v>
      </c>
      <c r="P115" s="4" t="s">
        <v>1016</v>
      </c>
      <c r="Q115" s="4" t="s">
        <v>612</v>
      </c>
      <c r="R115" s="4" t="s">
        <v>1017</v>
      </c>
      <c r="S115" s="4" t="s">
        <v>571</v>
      </c>
      <c r="T115" s="4" t="s">
        <v>1018</v>
      </c>
      <c r="U115" s="4">
        <v>100</v>
      </c>
      <c r="V115" s="4">
        <v>22</v>
      </c>
      <c r="W115" s="4">
        <v>415</v>
      </c>
      <c r="X115" s="4" t="s">
        <v>222</v>
      </c>
      <c r="Y115" s="4" t="s">
        <v>222</v>
      </c>
      <c r="Z115" s="4" t="s">
        <v>222</v>
      </c>
      <c r="AA115" s="4" t="s">
        <v>222</v>
      </c>
      <c r="AB115" s="4" t="s">
        <v>222</v>
      </c>
      <c r="AC115" s="4" t="s">
        <v>1019</v>
      </c>
      <c r="AD115" s="4" t="s">
        <v>938</v>
      </c>
      <c r="AE115" s="4" t="s">
        <v>183</v>
      </c>
      <c r="AF115" s="4" t="s">
        <v>844</v>
      </c>
      <c r="AG115" s="4"/>
      <c r="AH115" s="1" t="s">
        <v>183</v>
      </c>
      <c r="AI115" s="1" t="s">
        <v>2815</v>
      </c>
      <c r="AJ115" s="1" t="s">
        <v>184</v>
      </c>
      <c r="AK115" s="1" t="s">
        <v>184</v>
      </c>
    </row>
    <row r="116" spans="1:37" x14ac:dyDescent="0.3">
      <c r="A116" s="94">
        <f t="shared" si="2"/>
        <v>115</v>
      </c>
      <c r="B116" s="39" t="str">
        <f t="shared" si="3"/>
        <v>SPS LILAC PL HUNTINGDALE</v>
      </c>
      <c r="C116" s="4" t="s">
        <v>88</v>
      </c>
      <c r="D116" s="4" t="s">
        <v>89</v>
      </c>
      <c r="E116" s="4" t="s">
        <v>858</v>
      </c>
      <c r="F116" s="4" t="s">
        <v>292</v>
      </c>
      <c r="G116" s="4" t="s">
        <v>293</v>
      </c>
      <c r="H116" s="4" t="s">
        <v>253</v>
      </c>
      <c r="I116" s="4" t="s">
        <v>859</v>
      </c>
      <c r="J116" s="4" t="s">
        <v>560</v>
      </c>
      <c r="K116" s="4" t="s">
        <v>608</v>
      </c>
      <c r="L116" s="4" t="s">
        <v>294</v>
      </c>
      <c r="M116" s="4" t="s">
        <v>295</v>
      </c>
      <c r="N116" s="4" t="s">
        <v>296</v>
      </c>
      <c r="O116" s="4">
        <v>2007</v>
      </c>
      <c r="P116" s="4" t="s">
        <v>860</v>
      </c>
      <c r="Q116" s="4" t="s">
        <v>569</v>
      </c>
      <c r="R116" s="4" t="s">
        <v>609</v>
      </c>
      <c r="S116" s="4" t="s">
        <v>222</v>
      </c>
      <c r="T116" s="4" t="s">
        <v>610</v>
      </c>
      <c r="U116" s="4">
        <v>315</v>
      </c>
      <c r="V116" s="4">
        <v>22</v>
      </c>
      <c r="W116" s="4">
        <v>415</v>
      </c>
      <c r="X116" s="4">
        <v>415</v>
      </c>
      <c r="Y116" s="4" t="s">
        <v>222</v>
      </c>
      <c r="Z116" s="4" t="s">
        <v>222</v>
      </c>
      <c r="AA116" s="4" t="s">
        <v>222</v>
      </c>
      <c r="AB116" s="4" t="s">
        <v>222</v>
      </c>
      <c r="AC116" s="4" t="s">
        <v>774</v>
      </c>
      <c r="AD116" s="4"/>
      <c r="AE116" s="4" t="s">
        <v>184</v>
      </c>
      <c r="AF116" s="4" t="s">
        <v>839</v>
      </c>
      <c r="AG116" s="4"/>
      <c r="AH116" s="1" t="s">
        <v>184</v>
      </c>
      <c r="AI116" s="1" t="s">
        <v>2815</v>
      </c>
      <c r="AJ116" s="1" t="s">
        <v>183</v>
      </c>
      <c r="AK116" s="1" t="s">
        <v>184</v>
      </c>
    </row>
    <row r="117" spans="1:37" x14ac:dyDescent="0.3">
      <c r="A117" s="94">
        <f t="shared" si="2"/>
        <v>116</v>
      </c>
      <c r="B117" s="39" t="str">
        <f t="shared" si="3"/>
        <v>SPS JAMES ST GOSNELLS</v>
      </c>
      <c r="C117" s="4" t="s">
        <v>2110</v>
      </c>
      <c r="D117" s="4" t="s">
        <v>2111</v>
      </c>
      <c r="E117" s="4" t="s">
        <v>1497</v>
      </c>
      <c r="F117" s="4" t="s">
        <v>2112</v>
      </c>
      <c r="G117" s="4" t="s">
        <v>252</v>
      </c>
      <c r="H117" s="4" t="s">
        <v>253</v>
      </c>
      <c r="I117" s="4" t="s">
        <v>2978</v>
      </c>
      <c r="J117" s="4"/>
      <c r="K117" s="4"/>
      <c r="L117" s="4" t="s">
        <v>2113</v>
      </c>
      <c r="M117" s="4" t="s">
        <v>2114</v>
      </c>
      <c r="N117" s="4" t="s">
        <v>238</v>
      </c>
      <c r="O117" s="4">
        <v>1998</v>
      </c>
      <c r="P117" s="4"/>
      <c r="Q117" s="4" t="s">
        <v>631</v>
      </c>
      <c r="R117" s="4" t="s">
        <v>2115</v>
      </c>
      <c r="S117" s="4" t="s">
        <v>571</v>
      </c>
      <c r="T117" s="4" t="s">
        <v>2116</v>
      </c>
      <c r="U117" s="4">
        <v>200</v>
      </c>
      <c r="V117" s="4" t="s">
        <v>222</v>
      </c>
      <c r="W117" s="4">
        <v>415</v>
      </c>
      <c r="X117" s="4" t="s">
        <v>222</v>
      </c>
      <c r="Y117" s="4" t="s">
        <v>222</v>
      </c>
      <c r="Z117" s="4" t="s">
        <v>222</v>
      </c>
      <c r="AA117" s="4" t="s">
        <v>222</v>
      </c>
      <c r="AB117" s="4" t="s">
        <v>222</v>
      </c>
      <c r="AC117" s="4" t="s">
        <v>2117</v>
      </c>
      <c r="AD117" s="4" t="s">
        <v>938</v>
      </c>
      <c r="AE117" s="4" t="s">
        <v>183</v>
      </c>
      <c r="AF117" s="4" t="s">
        <v>836</v>
      </c>
      <c r="AG117" s="4"/>
      <c r="AH117" s="1" t="s">
        <v>183</v>
      </c>
      <c r="AI117" s="1" t="s">
        <v>2815</v>
      </c>
      <c r="AJ117" s="1" t="s">
        <v>184</v>
      </c>
      <c r="AK117" s="1" t="s">
        <v>184</v>
      </c>
    </row>
    <row r="118" spans="1:37" x14ac:dyDescent="0.3">
      <c r="A118" s="94">
        <f t="shared" si="2"/>
        <v>117</v>
      </c>
      <c r="B118" s="39" t="str">
        <f t="shared" si="3"/>
        <v>SPS MILLS RD GOSNELLS</v>
      </c>
      <c r="C118" s="4" t="s">
        <v>2317</v>
      </c>
      <c r="D118" s="4" t="s">
        <v>2318</v>
      </c>
      <c r="E118" s="4" t="s">
        <v>1497</v>
      </c>
      <c r="F118" s="4" t="s">
        <v>2319</v>
      </c>
      <c r="G118" s="4" t="s">
        <v>2320</v>
      </c>
      <c r="H118" s="4" t="s">
        <v>253</v>
      </c>
      <c r="I118" s="4" t="s">
        <v>3002</v>
      </c>
      <c r="J118" s="4"/>
      <c r="K118" s="4"/>
      <c r="L118" s="4" t="s">
        <v>2321</v>
      </c>
      <c r="M118" s="4" t="s">
        <v>2322</v>
      </c>
      <c r="N118" s="4" t="s">
        <v>360</v>
      </c>
      <c r="O118" s="4">
        <v>1982</v>
      </c>
      <c r="P118" s="4"/>
      <c r="Q118" s="4" t="s">
        <v>222</v>
      </c>
      <c r="R118" s="4" t="s">
        <v>2323</v>
      </c>
      <c r="S118" s="4" t="s">
        <v>602</v>
      </c>
      <c r="T118" s="4" t="s">
        <v>2324</v>
      </c>
      <c r="U118" s="4">
        <v>25</v>
      </c>
      <c r="V118" s="4">
        <v>22</v>
      </c>
      <c r="W118" s="4">
        <v>440</v>
      </c>
      <c r="X118" s="4" t="s">
        <v>222</v>
      </c>
      <c r="Y118" s="4" t="s">
        <v>222</v>
      </c>
      <c r="Z118" s="4" t="s">
        <v>222</v>
      </c>
      <c r="AA118" s="4" t="s">
        <v>222</v>
      </c>
      <c r="AB118" s="4" t="s">
        <v>222</v>
      </c>
      <c r="AC118" s="4" t="s">
        <v>2325</v>
      </c>
      <c r="AD118" s="4" t="s">
        <v>938</v>
      </c>
      <c r="AE118" s="4" t="s">
        <v>183</v>
      </c>
      <c r="AF118" s="4" t="s">
        <v>836</v>
      </c>
      <c r="AG118" s="4"/>
      <c r="AH118" s="1" t="s">
        <v>183</v>
      </c>
      <c r="AI118" s="1" t="s">
        <v>2819</v>
      </c>
      <c r="AJ118" s="1" t="s">
        <v>184</v>
      </c>
      <c r="AK118" s="1" t="s">
        <v>183</v>
      </c>
    </row>
    <row r="119" spans="1:37" x14ac:dyDescent="0.3">
      <c r="A119" s="94">
        <f t="shared" si="2"/>
        <v>118</v>
      </c>
      <c r="B119" s="39" t="str">
        <f t="shared" si="3"/>
        <v>SPS ALLOA ST MADDINGTON</v>
      </c>
      <c r="C119" s="4" t="s">
        <v>1525</v>
      </c>
      <c r="D119" s="4" t="s">
        <v>1526</v>
      </c>
      <c r="E119" s="4" t="s">
        <v>1497</v>
      </c>
      <c r="F119" s="4" t="s">
        <v>1527</v>
      </c>
      <c r="G119" s="4" t="s">
        <v>447</v>
      </c>
      <c r="H119" s="4" t="s">
        <v>448</v>
      </c>
      <c r="I119" s="4" t="s">
        <v>2910</v>
      </c>
      <c r="J119" s="4"/>
      <c r="K119" s="4"/>
      <c r="L119" s="4" t="s">
        <v>1528</v>
      </c>
      <c r="M119" s="4" t="s">
        <v>1529</v>
      </c>
      <c r="N119" s="4" t="s">
        <v>279</v>
      </c>
      <c r="O119" s="4">
        <v>1968</v>
      </c>
      <c r="P119" s="4"/>
      <c r="Q119" s="4" t="s">
        <v>631</v>
      </c>
      <c r="R119" s="4" t="s">
        <v>1530</v>
      </c>
      <c r="S119" s="4" t="s">
        <v>571</v>
      </c>
      <c r="T119" s="4" t="s">
        <v>1531</v>
      </c>
      <c r="U119" s="4">
        <v>200</v>
      </c>
      <c r="V119" s="4" t="s">
        <v>222</v>
      </c>
      <c r="W119" s="4" t="s">
        <v>222</v>
      </c>
      <c r="X119" s="4" t="s">
        <v>222</v>
      </c>
      <c r="Y119" s="4" t="s">
        <v>222</v>
      </c>
      <c r="Z119" s="4" t="s">
        <v>222</v>
      </c>
      <c r="AA119" s="4" t="s">
        <v>222</v>
      </c>
      <c r="AB119" s="4" t="s">
        <v>222</v>
      </c>
      <c r="AC119" s="4" t="s">
        <v>1532</v>
      </c>
      <c r="AD119" s="4" t="s">
        <v>938</v>
      </c>
      <c r="AE119" s="4" t="s">
        <v>183</v>
      </c>
      <c r="AF119" s="4" t="s">
        <v>839</v>
      </c>
      <c r="AG119" s="4"/>
      <c r="AH119" s="1" t="s">
        <v>183</v>
      </c>
      <c r="AI119" s="1" t="s">
        <v>2815</v>
      </c>
      <c r="AJ119" s="1" t="s">
        <v>184</v>
      </c>
      <c r="AK119" s="1" t="s">
        <v>184</v>
      </c>
    </row>
    <row r="120" spans="1:37" x14ac:dyDescent="0.3">
      <c r="A120" s="94">
        <f t="shared" si="2"/>
        <v>119</v>
      </c>
      <c r="B120" s="39" t="str">
        <f t="shared" si="3"/>
        <v>SPS HELM ST MADDINGTON</v>
      </c>
      <c r="C120" s="4" t="s">
        <v>150</v>
      </c>
      <c r="D120" s="4" t="s">
        <v>151</v>
      </c>
      <c r="E120" s="4" t="s">
        <v>858</v>
      </c>
      <c r="F120" s="4" t="s">
        <v>446</v>
      </c>
      <c r="G120" s="4" t="s">
        <v>447</v>
      </c>
      <c r="H120" s="4" t="s">
        <v>448</v>
      </c>
      <c r="I120" s="4" t="s">
        <v>906</v>
      </c>
      <c r="J120" s="4" t="s">
        <v>560</v>
      </c>
      <c r="K120" s="4" t="s">
        <v>713</v>
      </c>
      <c r="L120" s="4" t="s">
        <v>449</v>
      </c>
      <c r="M120" s="4" t="s">
        <v>450</v>
      </c>
      <c r="N120" s="4" t="s">
        <v>296</v>
      </c>
      <c r="O120" s="4">
        <v>1974</v>
      </c>
      <c r="P120" s="4" t="s">
        <v>868</v>
      </c>
      <c r="Q120" s="4" t="s">
        <v>222</v>
      </c>
      <c r="R120" s="4" t="s">
        <v>714</v>
      </c>
      <c r="S120" s="4" t="s">
        <v>571</v>
      </c>
      <c r="T120" s="4" t="s">
        <v>715</v>
      </c>
      <c r="U120" s="4" t="s">
        <v>566</v>
      </c>
      <c r="V120" s="4" t="s">
        <v>222</v>
      </c>
      <c r="W120" s="4" t="s">
        <v>222</v>
      </c>
      <c r="X120" s="4" t="s">
        <v>222</v>
      </c>
      <c r="Y120" s="4" t="s">
        <v>222</v>
      </c>
      <c r="Z120" s="4" t="s">
        <v>222</v>
      </c>
      <c r="AA120" s="4" t="s">
        <v>222</v>
      </c>
      <c r="AB120" s="4" t="s">
        <v>222</v>
      </c>
      <c r="AC120" s="4" t="s">
        <v>805</v>
      </c>
      <c r="AD120" s="4"/>
      <c r="AE120" s="4" t="s">
        <v>183</v>
      </c>
      <c r="AF120" s="4" t="s">
        <v>836</v>
      </c>
      <c r="AG120" s="4"/>
      <c r="AH120" s="1" t="s">
        <v>183</v>
      </c>
      <c r="AI120" s="1" t="s">
        <v>2819</v>
      </c>
      <c r="AJ120" s="1" t="s">
        <v>183</v>
      </c>
      <c r="AK120" s="1" t="s">
        <v>183</v>
      </c>
    </row>
    <row r="121" spans="1:37" x14ac:dyDescent="0.3">
      <c r="A121" s="94">
        <f t="shared" si="2"/>
        <v>120</v>
      </c>
      <c r="B121" s="39" t="str">
        <f t="shared" si="3"/>
        <v>SPS HERBERT ST MADDINGTON</v>
      </c>
      <c r="C121" s="4" t="s">
        <v>2069</v>
      </c>
      <c r="D121" s="4" t="s">
        <v>2070</v>
      </c>
      <c r="E121" s="4" t="s">
        <v>1497</v>
      </c>
      <c r="F121" s="4" t="s">
        <v>2071</v>
      </c>
      <c r="G121" s="4" t="s">
        <v>447</v>
      </c>
      <c r="H121" s="4" t="s">
        <v>448</v>
      </c>
      <c r="I121" s="4" t="s">
        <v>2973</v>
      </c>
      <c r="J121" s="4"/>
      <c r="K121" s="4"/>
      <c r="L121" s="4" t="s">
        <v>2072</v>
      </c>
      <c r="M121" s="4" t="s">
        <v>2073</v>
      </c>
      <c r="N121" s="4" t="s">
        <v>296</v>
      </c>
      <c r="O121" s="4">
        <v>1980</v>
      </c>
      <c r="P121" s="4"/>
      <c r="Q121" s="4" t="s">
        <v>222</v>
      </c>
      <c r="R121" s="4" t="s">
        <v>2074</v>
      </c>
      <c r="S121" s="4" t="s">
        <v>222</v>
      </c>
      <c r="T121" s="4" t="s">
        <v>2075</v>
      </c>
      <c r="U121" s="4" t="s">
        <v>566</v>
      </c>
      <c r="V121" s="4" t="s">
        <v>222</v>
      </c>
      <c r="W121" s="4" t="s">
        <v>222</v>
      </c>
      <c r="X121" s="4" t="s">
        <v>222</v>
      </c>
      <c r="Y121" s="4" t="s">
        <v>222</v>
      </c>
      <c r="Z121" s="4" t="s">
        <v>222</v>
      </c>
      <c r="AA121" s="4" t="s">
        <v>222</v>
      </c>
      <c r="AB121" s="4" t="s">
        <v>222</v>
      </c>
      <c r="AC121" s="4" t="s">
        <v>2076</v>
      </c>
      <c r="AD121" s="4" t="s">
        <v>938</v>
      </c>
      <c r="AE121" s="4" t="s">
        <v>183</v>
      </c>
      <c r="AF121" s="4" t="s">
        <v>844</v>
      </c>
      <c r="AG121" s="4"/>
      <c r="AH121" s="1" t="s">
        <v>183</v>
      </c>
      <c r="AI121" s="1" t="s">
        <v>2819</v>
      </c>
      <c r="AJ121" s="1" t="s">
        <v>183</v>
      </c>
      <c r="AK121" s="1" t="s">
        <v>183</v>
      </c>
    </row>
    <row r="122" spans="1:37" x14ac:dyDescent="0.3">
      <c r="A122" s="94">
        <f t="shared" si="2"/>
        <v>121</v>
      </c>
      <c r="B122" s="39" t="str">
        <f t="shared" si="3"/>
        <v>SPS MALCOLM RD MADDINGTON</v>
      </c>
      <c r="C122" s="4" t="s">
        <v>2268</v>
      </c>
      <c r="D122" s="4" t="s">
        <v>2269</v>
      </c>
      <c r="E122" s="4" t="s">
        <v>1497</v>
      </c>
      <c r="F122" s="4" t="s">
        <v>2270</v>
      </c>
      <c r="G122" s="4" t="s">
        <v>447</v>
      </c>
      <c r="H122" s="4" t="s">
        <v>448</v>
      </c>
      <c r="I122" s="4" t="s">
        <v>2996</v>
      </c>
      <c r="J122" s="4"/>
      <c r="K122" s="4"/>
      <c r="L122" s="4" t="s">
        <v>2271</v>
      </c>
      <c r="M122" s="4" t="s">
        <v>2272</v>
      </c>
      <c r="N122" s="4" t="s">
        <v>1069</v>
      </c>
      <c r="O122" s="4">
        <v>1984</v>
      </c>
      <c r="P122" s="4"/>
      <c r="Q122" s="4" t="s">
        <v>612</v>
      </c>
      <c r="R122" s="4" t="s">
        <v>2273</v>
      </c>
      <c r="S122" s="4" t="s">
        <v>602</v>
      </c>
      <c r="T122" s="4" t="s">
        <v>2274</v>
      </c>
      <c r="U122" s="4" t="s">
        <v>566</v>
      </c>
      <c r="V122" s="4" t="s">
        <v>222</v>
      </c>
      <c r="W122" s="4" t="s">
        <v>222</v>
      </c>
      <c r="X122" s="4" t="s">
        <v>222</v>
      </c>
      <c r="Y122" s="4" t="s">
        <v>222</v>
      </c>
      <c r="Z122" s="4" t="s">
        <v>222</v>
      </c>
      <c r="AA122" s="4" t="s">
        <v>222</v>
      </c>
      <c r="AB122" s="4" t="s">
        <v>222</v>
      </c>
      <c r="AC122" s="4" t="s">
        <v>2275</v>
      </c>
      <c r="AD122" s="4" t="s">
        <v>938</v>
      </c>
      <c r="AE122" s="4" t="s">
        <v>183</v>
      </c>
      <c r="AF122" s="4" t="s">
        <v>844</v>
      </c>
      <c r="AG122" s="4"/>
      <c r="AH122" s="1" t="s">
        <v>183</v>
      </c>
      <c r="AI122" s="1" t="s">
        <v>2819</v>
      </c>
      <c r="AJ122" s="1" t="s">
        <v>183</v>
      </c>
      <c r="AK122" s="1" t="s">
        <v>183</v>
      </c>
    </row>
    <row r="123" spans="1:37" x14ac:dyDescent="0.3">
      <c r="A123" s="94">
        <f t="shared" si="2"/>
        <v>122</v>
      </c>
      <c r="B123" s="39" t="str">
        <f t="shared" si="3"/>
        <v>SPS CONNEMARA DR THORNLIE</v>
      </c>
      <c r="C123" s="4" t="s">
        <v>1769</v>
      </c>
      <c r="D123" s="4" t="s">
        <v>1770</v>
      </c>
      <c r="E123" s="4" t="s">
        <v>1497</v>
      </c>
      <c r="F123" s="4" t="s">
        <v>1771</v>
      </c>
      <c r="G123" s="4" t="s">
        <v>1772</v>
      </c>
      <c r="H123" s="4" t="s">
        <v>1773</v>
      </c>
      <c r="I123" s="4" t="s">
        <v>2938</v>
      </c>
      <c r="J123" s="4"/>
      <c r="K123" s="4"/>
      <c r="L123" s="4" t="s">
        <v>1774</v>
      </c>
      <c r="M123" s="4" t="s">
        <v>1775</v>
      </c>
      <c r="N123" s="4" t="s">
        <v>301</v>
      </c>
      <c r="O123" s="4">
        <v>1973</v>
      </c>
      <c r="P123" s="4"/>
      <c r="Q123" s="4" t="s">
        <v>222</v>
      </c>
      <c r="R123" s="4" t="s">
        <v>1776</v>
      </c>
      <c r="S123" s="4" t="s">
        <v>571</v>
      </c>
      <c r="T123" s="4" t="s">
        <v>1777</v>
      </c>
      <c r="U123" s="4" t="s">
        <v>566</v>
      </c>
      <c r="V123" s="4" t="s">
        <v>222</v>
      </c>
      <c r="W123" s="4" t="s">
        <v>222</v>
      </c>
      <c r="X123" s="4" t="s">
        <v>222</v>
      </c>
      <c r="Y123" s="4" t="s">
        <v>222</v>
      </c>
      <c r="Z123" s="4" t="s">
        <v>222</v>
      </c>
      <c r="AA123" s="4" t="s">
        <v>222</v>
      </c>
      <c r="AB123" s="4" t="s">
        <v>222</v>
      </c>
      <c r="AC123" s="4" t="s">
        <v>1778</v>
      </c>
      <c r="AD123" s="4" t="s">
        <v>938</v>
      </c>
      <c r="AE123" s="4" t="s">
        <v>183</v>
      </c>
      <c r="AF123" s="4" t="s">
        <v>836</v>
      </c>
      <c r="AG123" s="4"/>
      <c r="AH123" s="1" t="s">
        <v>183</v>
      </c>
      <c r="AI123" s="1" t="s">
        <v>2819</v>
      </c>
      <c r="AJ123" s="1" t="s">
        <v>184</v>
      </c>
      <c r="AK123" s="1" t="s">
        <v>183</v>
      </c>
    </row>
    <row r="124" spans="1:37" x14ac:dyDescent="0.3">
      <c r="A124" s="94">
        <f t="shared" si="2"/>
        <v>123</v>
      </c>
      <c r="B124" s="39" t="str">
        <f t="shared" si="3"/>
        <v>SPS CULLIGAN RD THORNLIE</v>
      </c>
      <c r="C124" s="4" t="s">
        <v>1803</v>
      </c>
      <c r="D124" s="4" t="s">
        <v>1804</v>
      </c>
      <c r="E124" s="4" t="s">
        <v>1497</v>
      </c>
      <c r="F124" s="4" t="s">
        <v>1805</v>
      </c>
      <c r="G124" s="4" t="s">
        <v>1772</v>
      </c>
      <c r="H124" s="4" t="s">
        <v>1773</v>
      </c>
      <c r="I124" s="4" t="s">
        <v>2942</v>
      </c>
      <c r="J124" s="4"/>
      <c r="K124" s="4"/>
      <c r="L124" s="4" t="s">
        <v>1806</v>
      </c>
      <c r="M124" s="4" t="s">
        <v>1807</v>
      </c>
      <c r="N124" s="4" t="s">
        <v>301</v>
      </c>
      <c r="O124" s="4">
        <v>1980</v>
      </c>
      <c r="P124" s="4"/>
      <c r="Q124" s="4" t="s">
        <v>222</v>
      </c>
      <c r="R124" s="4" t="s">
        <v>1808</v>
      </c>
      <c r="S124" s="4" t="s">
        <v>602</v>
      </c>
      <c r="T124" s="4" t="s">
        <v>1809</v>
      </c>
      <c r="U124" s="4" t="s">
        <v>566</v>
      </c>
      <c r="V124" s="4" t="s">
        <v>222</v>
      </c>
      <c r="W124" s="4" t="s">
        <v>222</v>
      </c>
      <c r="X124" s="4" t="s">
        <v>222</v>
      </c>
      <c r="Y124" s="4" t="s">
        <v>222</v>
      </c>
      <c r="Z124" s="4" t="s">
        <v>222</v>
      </c>
      <c r="AA124" s="4" t="s">
        <v>222</v>
      </c>
      <c r="AB124" s="4" t="s">
        <v>222</v>
      </c>
      <c r="AC124" s="4" t="s">
        <v>1810</v>
      </c>
      <c r="AD124" s="4" t="s">
        <v>938</v>
      </c>
      <c r="AE124" s="4" t="s">
        <v>183</v>
      </c>
      <c r="AF124" s="4" t="s">
        <v>836</v>
      </c>
      <c r="AG124" s="4"/>
      <c r="AH124" s="1" t="s">
        <v>183</v>
      </c>
      <c r="AI124" s="1" t="s">
        <v>2819</v>
      </c>
      <c r="AJ124" s="1" t="s">
        <v>183</v>
      </c>
      <c r="AK124" s="1" t="s">
        <v>183</v>
      </c>
    </row>
    <row r="125" spans="1:37" x14ac:dyDescent="0.3">
      <c r="A125" s="94">
        <f t="shared" si="2"/>
        <v>124</v>
      </c>
      <c r="B125" s="39" t="str">
        <f t="shared" si="3"/>
        <v>SPS LYREBIRD WY THORNLIE</v>
      </c>
      <c r="C125" s="4" t="s">
        <v>2260</v>
      </c>
      <c r="D125" s="4" t="s">
        <v>2261</v>
      </c>
      <c r="E125" s="4" t="s">
        <v>1497</v>
      </c>
      <c r="F125" s="4" t="s">
        <v>2262</v>
      </c>
      <c r="G125" s="4" t="s">
        <v>1772</v>
      </c>
      <c r="H125" s="4" t="s">
        <v>1773</v>
      </c>
      <c r="I125" s="4" t="s">
        <v>2995</v>
      </c>
      <c r="J125" s="4"/>
      <c r="K125" s="4"/>
      <c r="L125" s="4" t="s">
        <v>2263</v>
      </c>
      <c r="M125" s="4" t="s">
        <v>2264</v>
      </c>
      <c r="N125" s="4" t="s">
        <v>256</v>
      </c>
      <c r="O125" s="4">
        <v>1973</v>
      </c>
      <c r="P125" s="4"/>
      <c r="Q125" s="4" t="s">
        <v>222</v>
      </c>
      <c r="R125" s="4" t="s">
        <v>2265</v>
      </c>
      <c r="S125" s="4" t="s">
        <v>222</v>
      </c>
      <c r="T125" s="4" t="s">
        <v>2266</v>
      </c>
      <c r="U125" s="4" t="s">
        <v>566</v>
      </c>
      <c r="V125" s="4" t="s">
        <v>222</v>
      </c>
      <c r="W125" s="4" t="s">
        <v>222</v>
      </c>
      <c r="X125" s="4" t="s">
        <v>222</v>
      </c>
      <c r="Y125" s="4" t="s">
        <v>222</v>
      </c>
      <c r="Z125" s="4" t="s">
        <v>222</v>
      </c>
      <c r="AA125" s="4" t="s">
        <v>222</v>
      </c>
      <c r="AB125" s="4" t="s">
        <v>222</v>
      </c>
      <c r="AC125" s="4" t="s">
        <v>2267</v>
      </c>
      <c r="AD125" s="4" t="s">
        <v>938</v>
      </c>
      <c r="AE125" s="4" t="s">
        <v>183</v>
      </c>
      <c r="AF125" s="4" t="s">
        <v>844</v>
      </c>
      <c r="AG125" s="4"/>
      <c r="AH125" s="1" t="s">
        <v>184</v>
      </c>
      <c r="AI125" s="1" t="s">
        <v>2819</v>
      </c>
      <c r="AJ125" s="1" t="s">
        <v>183</v>
      </c>
      <c r="AK125" s="1" t="s">
        <v>183</v>
      </c>
    </row>
    <row r="126" spans="1:37" x14ac:dyDescent="0.3">
      <c r="A126" s="94">
        <f t="shared" si="2"/>
        <v>125</v>
      </c>
      <c r="B126" s="39" t="str">
        <f t="shared" si="3"/>
        <v>SPS FERN RD WILSON</v>
      </c>
      <c r="C126" s="4" t="s">
        <v>1923</v>
      </c>
      <c r="D126" s="4" t="s">
        <v>1924</v>
      </c>
      <c r="E126" s="4" t="s">
        <v>1497</v>
      </c>
      <c r="F126" s="4" t="s">
        <v>1925</v>
      </c>
      <c r="G126" s="4" t="s">
        <v>1926</v>
      </c>
      <c r="H126" s="4" t="s">
        <v>276</v>
      </c>
      <c r="I126" s="4" t="s">
        <v>2956</v>
      </c>
      <c r="J126" s="4"/>
      <c r="K126" s="4"/>
      <c r="L126" s="4" t="s">
        <v>1927</v>
      </c>
      <c r="M126" s="4" t="s">
        <v>1928</v>
      </c>
      <c r="N126" s="4" t="s">
        <v>1436</v>
      </c>
      <c r="O126" s="4">
        <v>1984</v>
      </c>
      <c r="P126" s="4"/>
      <c r="Q126" s="4" t="s">
        <v>612</v>
      </c>
      <c r="R126" s="4" t="s">
        <v>1929</v>
      </c>
      <c r="S126" s="4" t="s">
        <v>571</v>
      </c>
      <c r="T126" s="4" t="s">
        <v>1930</v>
      </c>
      <c r="U126" s="4" t="s">
        <v>566</v>
      </c>
      <c r="V126" s="4" t="s">
        <v>222</v>
      </c>
      <c r="W126" s="4" t="s">
        <v>222</v>
      </c>
      <c r="X126" s="4" t="s">
        <v>222</v>
      </c>
      <c r="Y126" s="4" t="s">
        <v>222</v>
      </c>
      <c r="Z126" s="4" t="s">
        <v>222</v>
      </c>
      <c r="AA126" s="4" t="s">
        <v>222</v>
      </c>
      <c r="AB126" s="4" t="s">
        <v>222</v>
      </c>
      <c r="AC126" s="4" t="s">
        <v>1931</v>
      </c>
      <c r="AD126" s="4" t="s">
        <v>938</v>
      </c>
      <c r="AE126" s="4" t="s">
        <v>183</v>
      </c>
      <c r="AF126" s="4" t="s">
        <v>836</v>
      </c>
      <c r="AG126" s="4"/>
      <c r="AH126" s="1" t="s">
        <v>183</v>
      </c>
      <c r="AI126" s="1" t="s">
        <v>2819</v>
      </c>
      <c r="AJ126" s="1" t="s">
        <v>183</v>
      </c>
      <c r="AK126" s="1" t="s">
        <v>183</v>
      </c>
    </row>
    <row r="127" spans="1:37" x14ac:dyDescent="0.3">
      <c r="A127" s="94">
        <f t="shared" si="2"/>
        <v>126</v>
      </c>
      <c r="B127" s="39" t="str">
        <f t="shared" si="3"/>
        <v>SPS GAYHURST RD KENWICK</v>
      </c>
      <c r="C127" s="4" t="s">
        <v>1975</v>
      </c>
      <c r="D127" s="4" t="s">
        <v>1976</v>
      </c>
      <c r="E127" s="4" t="s">
        <v>1497</v>
      </c>
      <c r="F127" s="4" t="s">
        <v>1977</v>
      </c>
      <c r="G127" s="4" t="s">
        <v>398</v>
      </c>
      <c r="H127" s="4" t="s">
        <v>276</v>
      </c>
      <c r="I127" s="4" t="s">
        <v>2962</v>
      </c>
      <c r="J127" s="4"/>
      <c r="K127" s="4"/>
      <c r="L127" s="4" t="s">
        <v>1978</v>
      </c>
      <c r="M127" s="4" t="s">
        <v>1979</v>
      </c>
      <c r="N127" s="4" t="s">
        <v>1069</v>
      </c>
      <c r="O127" s="4">
        <v>1975</v>
      </c>
      <c r="P127" s="4"/>
      <c r="Q127" s="4" t="s">
        <v>222</v>
      </c>
      <c r="R127" s="4" t="s">
        <v>1980</v>
      </c>
      <c r="S127" s="4" t="s">
        <v>222</v>
      </c>
      <c r="T127" s="4" t="s">
        <v>1981</v>
      </c>
      <c r="U127" s="4" t="s">
        <v>566</v>
      </c>
      <c r="V127" s="4" t="s">
        <v>222</v>
      </c>
      <c r="W127" s="4" t="s">
        <v>222</v>
      </c>
      <c r="X127" s="4" t="s">
        <v>222</v>
      </c>
      <c r="Y127" s="4" t="s">
        <v>222</v>
      </c>
      <c r="Z127" s="4" t="s">
        <v>222</v>
      </c>
      <c r="AA127" s="4" t="s">
        <v>222</v>
      </c>
      <c r="AB127" s="4" t="s">
        <v>222</v>
      </c>
      <c r="AC127" s="4" t="s">
        <v>1982</v>
      </c>
      <c r="AD127" s="4" t="s">
        <v>938</v>
      </c>
      <c r="AE127" s="4" t="s">
        <v>183</v>
      </c>
      <c r="AF127" s="4" t="s">
        <v>849</v>
      </c>
      <c r="AG127" s="4"/>
      <c r="AH127" s="1" t="s">
        <v>184</v>
      </c>
      <c r="AI127" s="1" t="s">
        <v>2815</v>
      </c>
      <c r="AJ127" s="1" t="s">
        <v>183</v>
      </c>
      <c r="AK127" s="1" t="s">
        <v>184</v>
      </c>
    </row>
    <row r="128" spans="1:37" x14ac:dyDescent="0.3">
      <c r="A128" s="94">
        <f t="shared" si="2"/>
        <v>127</v>
      </c>
      <c r="B128" s="39" t="str">
        <f t="shared" si="3"/>
        <v>SPS ROYAL ST KENWICK</v>
      </c>
      <c r="C128" s="4" t="s">
        <v>130</v>
      </c>
      <c r="D128" s="4" t="s">
        <v>131</v>
      </c>
      <c r="E128" s="4" t="s">
        <v>858</v>
      </c>
      <c r="F128" s="4" t="s">
        <v>397</v>
      </c>
      <c r="G128" s="4" t="s">
        <v>398</v>
      </c>
      <c r="H128" s="4" t="s">
        <v>276</v>
      </c>
      <c r="I128" s="4" t="s">
        <v>891</v>
      </c>
      <c r="J128" s="4" t="s">
        <v>560</v>
      </c>
      <c r="K128" s="4" t="s">
        <v>679</v>
      </c>
      <c r="L128" s="4" t="s">
        <v>399</v>
      </c>
      <c r="M128" s="4" t="s">
        <v>400</v>
      </c>
      <c r="N128" s="4" t="s">
        <v>360</v>
      </c>
      <c r="O128" s="4">
        <v>1980</v>
      </c>
      <c r="P128" s="4" t="s">
        <v>855</v>
      </c>
      <c r="Q128" s="4" t="s">
        <v>612</v>
      </c>
      <c r="R128" s="4" t="s">
        <v>680</v>
      </c>
      <c r="S128" s="4" t="s">
        <v>571</v>
      </c>
      <c r="T128" s="4" t="s">
        <v>681</v>
      </c>
      <c r="U128" s="4">
        <v>63</v>
      </c>
      <c r="V128" s="4" t="s">
        <v>222</v>
      </c>
      <c r="W128" s="4" t="s">
        <v>222</v>
      </c>
      <c r="X128" s="4" t="s">
        <v>222</v>
      </c>
      <c r="Y128" s="4" t="s">
        <v>222</v>
      </c>
      <c r="Z128" s="4" t="s">
        <v>222</v>
      </c>
      <c r="AA128" s="4" t="s">
        <v>222</v>
      </c>
      <c r="AB128" s="4" t="s">
        <v>222</v>
      </c>
      <c r="AC128" s="4" t="s">
        <v>795</v>
      </c>
      <c r="AD128" s="4"/>
      <c r="AE128" s="4" t="s">
        <v>183</v>
      </c>
      <c r="AF128" s="4" t="s">
        <v>849</v>
      </c>
      <c r="AG128" s="4"/>
      <c r="AH128" s="1" t="s">
        <v>183</v>
      </c>
      <c r="AI128" s="1" t="s">
        <v>2815</v>
      </c>
      <c r="AJ128" s="1" t="s">
        <v>184</v>
      </c>
      <c r="AK128" s="1" t="s">
        <v>184</v>
      </c>
    </row>
    <row r="129" spans="1:37" x14ac:dyDescent="0.3">
      <c r="A129" s="94">
        <f t="shared" si="2"/>
        <v>128</v>
      </c>
      <c r="B129" s="39" t="str">
        <f t="shared" si="3"/>
        <v>SPS ST JOHN RD WATTLE GROVE</v>
      </c>
      <c r="C129" s="4" t="s">
        <v>114</v>
      </c>
      <c r="D129" s="4" t="s">
        <v>115</v>
      </c>
      <c r="E129" s="4" t="s">
        <v>858</v>
      </c>
      <c r="F129" s="4" t="s">
        <v>361</v>
      </c>
      <c r="G129" s="4" t="s">
        <v>362</v>
      </c>
      <c r="H129" s="4" t="s">
        <v>276</v>
      </c>
      <c r="I129" s="4" t="s">
        <v>879</v>
      </c>
      <c r="J129" s="4" t="s">
        <v>560</v>
      </c>
      <c r="K129" s="4" t="s">
        <v>654</v>
      </c>
      <c r="L129" s="4" t="s">
        <v>363</v>
      </c>
      <c r="M129" s="4" t="s">
        <v>364</v>
      </c>
      <c r="N129" s="4" t="s">
        <v>256</v>
      </c>
      <c r="O129" s="4">
        <v>1980</v>
      </c>
      <c r="P129" s="4" t="s">
        <v>855</v>
      </c>
      <c r="Q129" s="4" t="s">
        <v>612</v>
      </c>
      <c r="R129" s="4" t="s">
        <v>655</v>
      </c>
      <c r="S129" s="4" t="s">
        <v>571</v>
      </c>
      <c r="T129" s="4" t="s">
        <v>656</v>
      </c>
      <c r="U129" s="4" t="s">
        <v>566</v>
      </c>
      <c r="V129" s="4" t="s">
        <v>222</v>
      </c>
      <c r="W129" s="4" t="s">
        <v>222</v>
      </c>
      <c r="X129" s="4" t="s">
        <v>222</v>
      </c>
      <c r="Y129" s="4" t="s">
        <v>222</v>
      </c>
      <c r="Z129" s="4" t="s">
        <v>222</v>
      </c>
      <c r="AA129" s="4" t="s">
        <v>222</v>
      </c>
      <c r="AB129" s="4" t="s">
        <v>222</v>
      </c>
      <c r="AC129" s="4" t="s">
        <v>787</v>
      </c>
      <c r="AD129" s="4"/>
      <c r="AE129" s="4" t="s">
        <v>183</v>
      </c>
      <c r="AF129" s="4" t="s">
        <v>836</v>
      </c>
      <c r="AG129" s="4"/>
      <c r="AH129" s="1" t="s">
        <v>183</v>
      </c>
      <c r="AI129" s="1" t="s">
        <v>2819</v>
      </c>
      <c r="AJ129" s="1" t="s">
        <v>183</v>
      </c>
      <c r="AK129" s="1" t="s">
        <v>183</v>
      </c>
    </row>
    <row r="130" spans="1:37" x14ac:dyDescent="0.3">
      <c r="A130" s="94">
        <f t="shared" ref="A130:A193" si="4">VLOOKUP(B130,AuditNum,2,FALSE)</f>
        <v>129</v>
      </c>
      <c r="B130" s="39" t="str">
        <f t="shared" ref="B130:B193" si="5">D130</f>
        <v>SPS LAKE ST CANNINGTON</v>
      </c>
      <c r="C130" s="4" t="s">
        <v>2210</v>
      </c>
      <c r="D130" s="4" t="s">
        <v>2211</v>
      </c>
      <c r="E130" s="4" t="s">
        <v>1497</v>
      </c>
      <c r="F130" s="4" t="s">
        <v>2212</v>
      </c>
      <c r="G130" s="4" t="s">
        <v>275</v>
      </c>
      <c r="H130" s="4" t="s">
        <v>276</v>
      </c>
      <c r="I130" s="4" t="s">
        <v>2989</v>
      </c>
      <c r="J130" s="4"/>
      <c r="K130" s="4"/>
      <c r="L130" s="4" t="s">
        <v>2213</v>
      </c>
      <c r="M130" s="4" t="s">
        <v>2214</v>
      </c>
      <c r="N130" s="4" t="s">
        <v>1037</v>
      </c>
      <c r="O130" s="4">
        <v>1992</v>
      </c>
      <c r="P130" s="4"/>
      <c r="Q130" s="4" t="s">
        <v>612</v>
      </c>
      <c r="R130" s="4" t="s">
        <v>2215</v>
      </c>
      <c r="S130" s="4" t="s">
        <v>571</v>
      </c>
      <c r="T130" s="4" t="s">
        <v>2216</v>
      </c>
      <c r="U130" s="4" t="s">
        <v>566</v>
      </c>
      <c r="V130" s="4" t="s">
        <v>222</v>
      </c>
      <c r="W130" s="4">
        <v>415</v>
      </c>
      <c r="X130" s="4" t="s">
        <v>222</v>
      </c>
      <c r="Y130" s="4" t="s">
        <v>222</v>
      </c>
      <c r="Z130" s="4" t="s">
        <v>222</v>
      </c>
      <c r="AA130" s="4" t="s">
        <v>222</v>
      </c>
      <c r="AB130" s="4" t="s">
        <v>222</v>
      </c>
      <c r="AC130" s="4" t="s">
        <v>2217</v>
      </c>
      <c r="AD130" s="4" t="s">
        <v>938</v>
      </c>
      <c r="AE130" s="4" t="s">
        <v>183</v>
      </c>
      <c r="AF130" s="4" t="s">
        <v>844</v>
      </c>
      <c r="AG130" s="4"/>
      <c r="AH130" s="1" t="s">
        <v>183</v>
      </c>
      <c r="AI130" s="1" t="s">
        <v>2815</v>
      </c>
      <c r="AJ130" s="1" t="s">
        <v>184</v>
      </c>
      <c r="AK130" s="1" t="s">
        <v>184</v>
      </c>
    </row>
    <row r="131" spans="1:37" x14ac:dyDescent="0.3">
      <c r="A131" s="94">
        <f t="shared" si="4"/>
        <v>130</v>
      </c>
      <c r="B131" s="39" t="str">
        <f t="shared" si="5"/>
        <v>SPS LUNAR WY BECKENHAM</v>
      </c>
      <c r="C131" s="4" t="s">
        <v>2242</v>
      </c>
      <c r="D131" s="4" t="s">
        <v>2243</v>
      </c>
      <c r="E131" s="4" t="s">
        <v>1497</v>
      </c>
      <c r="F131" s="4" t="s">
        <v>2244</v>
      </c>
      <c r="G131" s="4" t="s">
        <v>2245</v>
      </c>
      <c r="H131" s="4" t="s">
        <v>276</v>
      </c>
      <c r="I131" s="4" t="s">
        <v>2993</v>
      </c>
      <c r="J131" s="4"/>
      <c r="K131" s="4"/>
      <c r="L131" s="4" t="s">
        <v>2246</v>
      </c>
      <c r="M131" s="4" t="s">
        <v>2247</v>
      </c>
      <c r="N131" s="4" t="s">
        <v>1069</v>
      </c>
      <c r="O131" s="4">
        <v>1972</v>
      </c>
      <c r="P131" s="4"/>
      <c r="Q131" s="4" t="s">
        <v>222</v>
      </c>
      <c r="R131" s="4" t="s">
        <v>2248</v>
      </c>
      <c r="S131" s="4" t="s">
        <v>222</v>
      </c>
      <c r="T131" s="4" t="s">
        <v>2249</v>
      </c>
      <c r="U131" s="4" t="s">
        <v>566</v>
      </c>
      <c r="V131" s="4" t="s">
        <v>222</v>
      </c>
      <c r="W131" s="4" t="s">
        <v>222</v>
      </c>
      <c r="X131" s="4" t="s">
        <v>222</v>
      </c>
      <c r="Y131" s="4" t="s">
        <v>222</v>
      </c>
      <c r="Z131" s="4" t="s">
        <v>222</v>
      </c>
      <c r="AA131" s="4" t="s">
        <v>222</v>
      </c>
      <c r="AB131" s="4" t="s">
        <v>222</v>
      </c>
      <c r="AC131" s="4" t="s">
        <v>2250</v>
      </c>
      <c r="AD131" s="4" t="s">
        <v>938</v>
      </c>
      <c r="AE131" s="4" t="s">
        <v>183</v>
      </c>
      <c r="AF131" s="4" t="s">
        <v>844</v>
      </c>
      <c r="AG131" s="4"/>
      <c r="AH131" s="1" t="s">
        <v>183</v>
      </c>
      <c r="AI131" s="1" t="s">
        <v>2819</v>
      </c>
      <c r="AJ131" s="1" t="s">
        <v>184</v>
      </c>
      <c r="AK131" s="1" t="s">
        <v>183</v>
      </c>
    </row>
    <row r="132" spans="1:37" x14ac:dyDescent="0.3">
      <c r="A132" s="94">
        <f t="shared" si="4"/>
        <v>131</v>
      </c>
      <c r="B132" s="39" t="str">
        <f t="shared" si="5"/>
        <v>SPS LUYER AV EAST CANNINGTON</v>
      </c>
      <c r="C132" s="4" t="s">
        <v>2251</v>
      </c>
      <c r="D132" s="4" t="s">
        <v>2252</v>
      </c>
      <c r="E132" s="4" t="s">
        <v>1497</v>
      </c>
      <c r="F132" s="4" t="s">
        <v>2253</v>
      </c>
      <c r="G132" s="4" t="s">
        <v>2254</v>
      </c>
      <c r="H132" s="4" t="s">
        <v>276</v>
      </c>
      <c r="I132" s="4" t="s">
        <v>2994</v>
      </c>
      <c r="J132" s="4"/>
      <c r="K132" s="4"/>
      <c r="L132" s="4" t="s">
        <v>2255</v>
      </c>
      <c r="M132" s="4" t="s">
        <v>2256</v>
      </c>
      <c r="N132" s="4" t="s">
        <v>273</v>
      </c>
      <c r="O132" s="4">
        <v>1976</v>
      </c>
      <c r="P132" s="4"/>
      <c r="Q132" s="4" t="s">
        <v>222</v>
      </c>
      <c r="R132" s="4" t="s">
        <v>2257</v>
      </c>
      <c r="S132" s="4" t="s">
        <v>571</v>
      </c>
      <c r="T132" s="4" t="s">
        <v>2258</v>
      </c>
      <c r="U132" s="4" t="s">
        <v>566</v>
      </c>
      <c r="V132" s="4" t="s">
        <v>222</v>
      </c>
      <c r="W132" s="4" t="s">
        <v>222</v>
      </c>
      <c r="X132" s="4" t="s">
        <v>222</v>
      </c>
      <c r="Y132" s="4" t="s">
        <v>222</v>
      </c>
      <c r="Z132" s="4" t="s">
        <v>222</v>
      </c>
      <c r="AA132" s="4" t="s">
        <v>222</v>
      </c>
      <c r="AB132" s="4" t="s">
        <v>222</v>
      </c>
      <c r="AC132" s="4" t="s">
        <v>2259</v>
      </c>
      <c r="AD132" s="4" t="s">
        <v>938</v>
      </c>
      <c r="AE132" s="4" t="s">
        <v>183</v>
      </c>
      <c r="AF132" s="4" t="s">
        <v>836</v>
      </c>
      <c r="AG132" s="4"/>
      <c r="AH132" s="1" t="s">
        <v>183</v>
      </c>
      <c r="AI132" s="1" t="s">
        <v>2819</v>
      </c>
      <c r="AJ132" s="1" t="s">
        <v>184</v>
      </c>
      <c r="AK132" s="1" t="s">
        <v>183</v>
      </c>
    </row>
    <row r="133" spans="1:37" x14ac:dyDescent="0.3">
      <c r="A133" s="94">
        <f t="shared" si="4"/>
        <v>132</v>
      </c>
      <c r="B133" s="39" t="str">
        <f t="shared" si="5"/>
        <v>SPS PACKER ST BECKENHAM</v>
      </c>
      <c r="C133" s="4" t="s">
        <v>2354</v>
      </c>
      <c r="D133" s="4" t="s">
        <v>2355</v>
      </c>
      <c r="E133" s="4" t="s">
        <v>1497</v>
      </c>
      <c r="F133" s="4" t="s">
        <v>2356</v>
      </c>
      <c r="G133" s="4" t="s">
        <v>2245</v>
      </c>
      <c r="H133" s="4" t="s">
        <v>276</v>
      </c>
      <c r="I133" s="4" t="s">
        <v>3006</v>
      </c>
      <c r="J133" s="4"/>
      <c r="K133" s="4"/>
      <c r="L133" s="4" t="s">
        <v>2357</v>
      </c>
      <c r="M133" s="4" t="s">
        <v>2358</v>
      </c>
      <c r="N133" s="4" t="s">
        <v>1244</v>
      </c>
      <c r="O133" s="4">
        <v>1998</v>
      </c>
      <c r="P133" s="4"/>
      <c r="Q133" s="4" t="s">
        <v>631</v>
      </c>
      <c r="R133" s="4" t="s">
        <v>2359</v>
      </c>
      <c r="S133" s="4" t="s">
        <v>571</v>
      </c>
      <c r="T133" s="4" t="s">
        <v>2360</v>
      </c>
      <c r="U133" s="4">
        <v>200</v>
      </c>
      <c r="V133" s="4" t="s">
        <v>222</v>
      </c>
      <c r="W133" s="4">
        <v>415</v>
      </c>
      <c r="X133" s="4" t="s">
        <v>222</v>
      </c>
      <c r="Y133" s="4" t="s">
        <v>222</v>
      </c>
      <c r="Z133" s="4" t="s">
        <v>222</v>
      </c>
      <c r="AA133" s="4" t="s">
        <v>222</v>
      </c>
      <c r="AB133" s="4" t="s">
        <v>222</v>
      </c>
      <c r="AC133" s="4" t="s">
        <v>2361</v>
      </c>
      <c r="AD133" s="4" t="s">
        <v>938</v>
      </c>
      <c r="AE133" s="4" t="s">
        <v>183</v>
      </c>
      <c r="AF133" s="4" t="s">
        <v>836</v>
      </c>
      <c r="AG133" s="4"/>
      <c r="AH133" s="1" t="s">
        <v>183</v>
      </c>
      <c r="AI133" s="1" t="s">
        <v>1750</v>
      </c>
      <c r="AJ133" s="1" t="s">
        <v>183</v>
      </c>
      <c r="AK133" s="1" t="s">
        <v>184</v>
      </c>
    </row>
    <row r="134" spans="1:37" x14ac:dyDescent="0.3">
      <c r="A134" s="94">
        <f t="shared" si="4"/>
        <v>133</v>
      </c>
      <c r="B134" s="39" t="str">
        <f t="shared" si="5"/>
        <v>SPS PARKHILL WY WILSON</v>
      </c>
      <c r="C134" s="4" t="s">
        <v>2378</v>
      </c>
      <c r="D134" s="4" t="s">
        <v>2379</v>
      </c>
      <c r="E134" s="4" t="s">
        <v>1497</v>
      </c>
      <c r="F134" s="4" t="s">
        <v>2380</v>
      </c>
      <c r="G134" s="4" t="s">
        <v>1926</v>
      </c>
      <c r="H134" s="4" t="s">
        <v>276</v>
      </c>
      <c r="I134" s="4" t="s">
        <v>3009</v>
      </c>
      <c r="J134" s="4"/>
      <c r="K134" s="4"/>
      <c r="L134" s="4" t="s">
        <v>2381</v>
      </c>
      <c r="M134" s="4" t="s">
        <v>2382</v>
      </c>
      <c r="N134" s="4" t="s">
        <v>514</v>
      </c>
      <c r="O134" s="4">
        <v>2008</v>
      </c>
      <c r="P134" s="4"/>
      <c r="Q134" s="4" t="s">
        <v>569</v>
      </c>
      <c r="R134" s="4" t="s">
        <v>2383</v>
      </c>
      <c r="S134" s="4" t="s">
        <v>2384</v>
      </c>
      <c r="T134" s="4" t="s">
        <v>2385</v>
      </c>
      <c r="U134" s="4">
        <v>160</v>
      </c>
      <c r="V134" s="4">
        <v>22</v>
      </c>
      <c r="W134" s="4">
        <v>433</v>
      </c>
      <c r="X134" s="4" t="s">
        <v>222</v>
      </c>
      <c r="Y134" s="4" t="s">
        <v>222</v>
      </c>
      <c r="Z134" s="4">
        <v>10</v>
      </c>
      <c r="AA134" s="4" t="s">
        <v>222</v>
      </c>
      <c r="AB134" s="4" t="s">
        <v>222</v>
      </c>
      <c r="AC134" s="4" t="s">
        <v>2386</v>
      </c>
      <c r="AD134" s="4" t="s">
        <v>938</v>
      </c>
      <c r="AE134" s="4" t="s">
        <v>184</v>
      </c>
      <c r="AF134" s="4" t="s">
        <v>839</v>
      </c>
      <c r="AG134" s="4"/>
      <c r="AH134" s="1" t="s">
        <v>183</v>
      </c>
      <c r="AI134" s="1" t="s">
        <v>2819</v>
      </c>
      <c r="AJ134" s="1" t="s">
        <v>183</v>
      </c>
      <c r="AK134" s="1" t="s">
        <v>183</v>
      </c>
    </row>
    <row r="135" spans="1:37" x14ac:dyDescent="0.3">
      <c r="A135" s="94">
        <f t="shared" si="4"/>
        <v>134</v>
      </c>
      <c r="B135" s="39" t="str">
        <f t="shared" si="5"/>
        <v>SPS RICHMOND ST CANNINGTON</v>
      </c>
      <c r="C135" s="4" t="s">
        <v>82</v>
      </c>
      <c r="D135" s="4" t="s">
        <v>83</v>
      </c>
      <c r="E135" s="4" t="s">
        <v>831</v>
      </c>
      <c r="F135" s="4" t="s">
        <v>274</v>
      </c>
      <c r="G135" s="4" t="s">
        <v>275</v>
      </c>
      <c r="H135" s="4" t="s">
        <v>276</v>
      </c>
      <c r="I135" s="4" t="s">
        <v>852</v>
      </c>
      <c r="J135" s="4" t="s">
        <v>560</v>
      </c>
      <c r="K135" s="4" t="s">
        <v>594</v>
      </c>
      <c r="L135" s="4" t="s">
        <v>277</v>
      </c>
      <c r="M135" s="4" t="s">
        <v>278</v>
      </c>
      <c r="N135" s="4" t="s">
        <v>279</v>
      </c>
      <c r="O135" s="4">
        <v>2003</v>
      </c>
      <c r="P135" s="4" t="s">
        <v>853</v>
      </c>
      <c r="Q135" s="4" t="s">
        <v>569</v>
      </c>
      <c r="R135" s="4" t="s">
        <v>597</v>
      </c>
      <c r="S135" s="4" t="s">
        <v>571</v>
      </c>
      <c r="T135" s="4" t="s">
        <v>598</v>
      </c>
      <c r="U135" s="4">
        <v>630</v>
      </c>
      <c r="V135" s="4">
        <v>22</v>
      </c>
      <c r="W135" s="4">
        <v>433</v>
      </c>
      <c r="X135" s="4">
        <v>500</v>
      </c>
      <c r="Y135" s="4">
        <v>800</v>
      </c>
      <c r="Z135" s="4">
        <v>25</v>
      </c>
      <c r="AA135" s="4" t="s">
        <v>222</v>
      </c>
      <c r="AB135" s="4" t="s">
        <v>222</v>
      </c>
      <c r="AC135" s="4" t="s">
        <v>771</v>
      </c>
      <c r="AD135" s="4"/>
      <c r="AE135" s="4" t="s">
        <v>184</v>
      </c>
      <c r="AF135" s="4" t="s">
        <v>849</v>
      </c>
      <c r="AG135" s="4"/>
      <c r="AH135" s="1" t="s">
        <v>183</v>
      </c>
      <c r="AI135" s="1" t="s">
        <v>2815</v>
      </c>
      <c r="AJ135" s="1" t="s">
        <v>183</v>
      </c>
      <c r="AK135" s="1" t="s">
        <v>184</v>
      </c>
    </row>
    <row r="136" spans="1:37" x14ac:dyDescent="0.3">
      <c r="A136" s="94">
        <f t="shared" si="4"/>
        <v>135</v>
      </c>
      <c r="B136" s="39" t="str">
        <f t="shared" si="5"/>
        <v>SPS ROCHESTER AV BECKENHAM</v>
      </c>
      <c r="C136" s="4" t="s">
        <v>2497</v>
      </c>
      <c r="D136" s="4" t="s">
        <v>2498</v>
      </c>
      <c r="E136" s="4" t="s">
        <v>1497</v>
      </c>
      <c r="F136" s="4" t="s">
        <v>2499</v>
      </c>
      <c r="G136" s="4" t="s">
        <v>2245</v>
      </c>
      <c r="H136" s="4" t="s">
        <v>276</v>
      </c>
      <c r="I136" s="4" t="s">
        <v>3025</v>
      </c>
      <c r="J136" s="4"/>
      <c r="K136" s="4"/>
      <c r="L136" s="4" t="s">
        <v>2500</v>
      </c>
      <c r="M136" s="4" t="s">
        <v>2501</v>
      </c>
      <c r="N136" s="4" t="s">
        <v>1059</v>
      </c>
      <c r="O136" s="4">
        <v>1991</v>
      </c>
      <c r="P136" s="4"/>
      <c r="Q136" s="4" t="s">
        <v>222</v>
      </c>
      <c r="R136" s="4" t="s">
        <v>2502</v>
      </c>
      <c r="S136" s="4" t="s">
        <v>222</v>
      </c>
      <c r="T136" s="4" t="s">
        <v>2503</v>
      </c>
      <c r="U136" s="4" t="s">
        <v>566</v>
      </c>
      <c r="V136" s="4" t="s">
        <v>222</v>
      </c>
      <c r="W136" s="4" t="s">
        <v>222</v>
      </c>
      <c r="X136" s="4" t="s">
        <v>222</v>
      </c>
      <c r="Y136" s="4" t="s">
        <v>222</v>
      </c>
      <c r="Z136" s="4" t="s">
        <v>222</v>
      </c>
      <c r="AA136" s="4" t="s">
        <v>222</v>
      </c>
      <c r="AB136" s="4" t="s">
        <v>222</v>
      </c>
      <c r="AC136" s="4" t="s">
        <v>2504</v>
      </c>
      <c r="AD136" s="4" t="s">
        <v>938</v>
      </c>
      <c r="AE136" s="4" t="s">
        <v>183</v>
      </c>
      <c r="AF136" s="4" t="s">
        <v>836</v>
      </c>
      <c r="AG136" s="4"/>
      <c r="AH136" s="1" t="s">
        <v>183</v>
      </c>
      <c r="AI136" s="1" t="s">
        <v>2815</v>
      </c>
      <c r="AJ136" s="1" t="s">
        <v>184</v>
      </c>
      <c r="AK136" s="1" t="s">
        <v>184</v>
      </c>
    </row>
    <row r="137" spans="1:37" x14ac:dyDescent="0.3">
      <c r="A137" s="94">
        <f t="shared" si="4"/>
        <v>136</v>
      </c>
      <c r="B137" s="39" t="str">
        <f t="shared" si="5"/>
        <v>SPS SHEFFIELD RD NTH WATTLE GROVE</v>
      </c>
      <c r="C137" s="4" t="s">
        <v>2538</v>
      </c>
      <c r="D137" s="4" t="s">
        <v>2539</v>
      </c>
      <c r="E137" s="4" t="s">
        <v>1497</v>
      </c>
      <c r="F137" s="4" t="s">
        <v>2540</v>
      </c>
      <c r="G137" s="4" t="s">
        <v>362</v>
      </c>
      <c r="H137" s="4" t="s">
        <v>276</v>
      </c>
      <c r="I137" s="4" t="s">
        <v>3030</v>
      </c>
      <c r="J137" s="4"/>
      <c r="K137" s="4"/>
      <c r="L137" s="4" t="s">
        <v>2541</v>
      </c>
      <c r="M137" s="4" t="s">
        <v>2542</v>
      </c>
      <c r="N137" s="4" t="s">
        <v>1380</v>
      </c>
      <c r="O137" s="4">
        <v>2005</v>
      </c>
      <c r="P137" s="4"/>
      <c r="Q137" s="4" t="s">
        <v>631</v>
      </c>
      <c r="R137" s="4" t="s">
        <v>2543</v>
      </c>
      <c r="S137" s="4" t="s">
        <v>571</v>
      </c>
      <c r="T137" s="4" t="s">
        <v>2544</v>
      </c>
      <c r="U137" s="4">
        <v>200</v>
      </c>
      <c r="V137" s="4" t="s">
        <v>222</v>
      </c>
      <c r="W137" s="4">
        <v>415</v>
      </c>
      <c r="X137" s="4" t="s">
        <v>222</v>
      </c>
      <c r="Y137" s="4" t="s">
        <v>222</v>
      </c>
      <c r="Z137" s="4" t="s">
        <v>222</v>
      </c>
      <c r="AA137" s="4" t="s">
        <v>222</v>
      </c>
      <c r="AB137" s="4" t="s">
        <v>222</v>
      </c>
      <c r="AC137" s="4" t="s">
        <v>2545</v>
      </c>
      <c r="AD137" s="4" t="s">
        <v>938</v>
      </c>
      <c r="AE137" s="4" t="s">
        <v>183</v>
      </c>
      <c r="AF137" s="4" t="s">
        <v>839</v>
      </c>
      <c r="AG137" s="4"/>
      <c r="AH137" s="1" t="s">
        <v>183</v>
      </c>
      <c r="AI137" s="1" t="s">
        <v>1750</v>
      </c>
      <c r="AJ137" s="1" t="s">
        <v>183</v>
      </c>
      <c r="AK137" s="1" t="s">
        <v>184</v>
      </c>
    </row>
    <row r="138" spans="1:37" x14ac:dyDescent="0.3">
      <c r="A138" s="94">
        <f t="shared" si="4"/>
        <v>137</v>
      </c>
      <c r="B138" s="39" t="str">
        <f t="shared" si="5"/>
        <v>SPS SHEFFIELD RD STH WATTLE GROVE</v>
      </c>
      <c r="C138" s="4" t="s">
        <v>2546</v>
      </c>
      <c r="D138" s="4" t="s">
        <v>2547</v>
      </c>
      <c r="E138" s="4" t="s">
        <v>1497</v>
      </c>
      <c r="F138" s="4" t="s">
        <v>2548</v>
      </c>
      <c r="G138" s="4" t="s">
        <v>362</v>
      </c>
      <c r="H138" s="4" t="s">
        <v>276</v>
      </c>
      <c r="I138" s="4" t="s">
        <v>3031</v>
      </c>
      <c r="J138" s="4"/>
      <c r="K138" s="4"/>
      <c r="L138" s="4" t="s">
        <v>2549</v>
      </c>
      <c r="M138" s="4" t="s">
        <v>2550</v>
      </c>
      <c r="N138" s="4" t="s">
        <v>232</v>
      </c>
      <c r="O138" s="4">
        <v>2001</v>
      </c>
      <c r="P138" s="4"/>
      <c r="Q138" s="4" t="s">
        <v>631</v>
      </c>
      <c r="R138" s="4" t="s">
        <v>2551</v>
      </c>
      <c r="S138" s="4" t="s">
        <v>571</v>
      </c>
      <c r="T138" s="4" t="s">
        <v>2552</v>
      </c>
      <c r="U138" s="4" t="s">
        <v>566</v>
      </c>
      <c r="V138" s="4" t="s">
        <v>222</v>
      </c>
      <c r="W138" s="4" t="s">
        <v>222</v>
      </c>
      <c r="X138" s="4" t="s">
        <v>222</v>
      </c>
      <c r="Y138" s="4" t="s">
        <v>222</v>
      </c>
      <c r="Z138" s="4" t="s">
        <v>222</v>
      </c>
      <c r="AA138" s="4" t="s">
        <v>222</v>
      </c>
      <c r="AB138" s="4" t="s">
        <v>222</v>
      </c>
      <c r="AC138" s="4" t="s">
        <v>2553</v>
      </c>
      <c r="AD138" s="4" t="s">
        <v>938</v>
      </c>
      <c r="AE138" s="4" t="s">
        <v>183</v>
      </c>
      <c r="AF138" s="4" t="s">
        <v>844</v>
      </c>
      <c r="AG138" s="4"/>
      <c r="AH138" s="1" t="s">
        <v>183</v>
      </c>
      <c r="AI138" s="1" t="s">
        <v>2815</v>
      </c>
      <c r="AJ138" s="1" t="s">
        <v>184</v>
      </c>
      <c r="AK138" s="1" t="s">
        <v>184</v>
      </c>
    </row>
    <row r="139" spans="1:37" x14ac:dyDescent="0.3">
      <c r="A139" s="94">
        <f t="shared" si="4"/>
        <v>138</v>
      </c>
      <c r="B139" s="39" t="str">
        <f t="shared" si="5"/>
        <v>SPS WEIR CR BECKENHAM</v>
      </c>
      <c r="C139" s="4" t="s">
        <v>2687</v>
      </c>
      <c r="D139" s="4" t="s">
        <v>2688</v>
      </c>
      <c r="E139" s="4" t="s">
        <v>1497</v>
      </c>
      <c r="F139" s="4" t="s">
        <v>2689</v>
      </c>
      <c r="G139" s="4" t="s">
        <v>2245</v>
      </c>
      <c r="H139" s="4" t="s">
        <v>276</v>
      </c>
      <c r="I139" s="4" t="s">
        <v>3047</v>
      </c>
      <c r="J139" s="4"/>
      <c r="K139" s="4"/>
      <c r="L139" s="4" t="s">
        <v>2690</v>
      </c>
      <c r="M139" s="4" t="s">
        <v>2691</v>
      </c>
      <c r="N139" s="4" t="s">
        <v>296</v>
      </c>
      <c r="O139" s="4">
        <v>1973</v>
      </c>
      <c r="P139" s="4"/>
      <c r="Q139" s="4" t="s">
        <v>222</v>
      </c>
      <c r="R139" s="4" t="s">
        <v>2692</v>
      </c>
      <c r="S139" s="4" t="s">
        <v>571</v>
      </c>
      <c r="T139" s="4" t="s">
        <v>2693</v>
      </c>
      <c r="U139" s="4" t="s">
        <v>222</v>
      </c>
      <c r="V139" s="4" t="s">
        <v>222</v>
      </c>
      <c r="W139" s="4" t="s">
        <v>222</v>
      </c>
      <c r="X139" s="4" t="s">
        <v>222</v>
      </c>
      <c r="Y139" s="4" t="s">
        <v>222</v>
      </c>
      <c r="Z139" s="4" t="s">
        <v>222</v>
      </c>
      <c r="AA139" s="4" t="s">
        <v>222</v>
      </c>
      <c r="AB139" s="4" t="s">
        <v>222</v>
      </c>
      <c r="AC139" s="4" t="s">
        <v>2694</v>
      </c>
      <c r="AD139" s="4" t="s">
        <v>938</v>
      </c>
      <c r="AE139" s="4" t="s">
        <v>183</v>
      </c>
      <c r="AF139" s="4" t="s">
        <v>849</v>
      </c>
      <c r="AG139" s="4"/>
      <c r="AH139" s="1" t="s">
        <v>183</v>
      </c>
      <c r="AI139" s="1" t="s">
        <v>2815</v>
      </c>
      <c r="AJ139" s="1" t="s">
        <v>184</v>
      </c>
      <c r="AK139" s="1" t="s">
        <v>184</v>
      </c>
    </row>
    <row r="140" spans="1:37" x14ac:dyDescent="0.3">
      <c r="A140" s="94">
        <f t="shared" si="4"/>
        <v>139</v>
      </c>
      <c r="B140" s="39" t="str">
        <f t="shared" si="5"/>
        <v>SPS CHISHOLM CR KEWDALE</v>
      </c>
      <c r="C140" s="4" t="s">
        <v>1751</v>
      </c>
      <c r="D140" s="4" t="s">
        <v>1752</v>
      </c>
      <c r="E140" s="4" t="s">
        <v>1497</v>
      </c>
      <c r="F140" s="4" t="s">
        <v>1753</v>
      </c>
      <c r="G140" s="4" t="s">
        <v>1754</v>
      </c>
      <c r="H140" s="4" t="s">
        <v>1755</v>
      </c>
      <c r="I140" s="4" t="s">
        <v>2936</v>
      </c>
      <c r="J140" s="4"/>
      <c r="K140" s="4"/>
      <c r="L140" s="4" t="s">
        <v>1756</v>
      </c>
      <c r="M140" s="4" t="s">
        <v>1757</v>
      </c>
      <c r="N140" s="4" t="s">
        <v>1015</v>
      </c>
      <c r="O140" s="4">
        <v>1992</v>
      </c>
      <c r="P140" s="4"/>
      <c r="Q140" s="4" t="s">
        <v>612</v>
      </c>
      <c r="R140" s="4" t="s">
        <v>1758</v>
      </c>
      <c r="S140" s="4" t="s">
        <v>571</v>
      </c>
      <c r="T140" s="4" t="s">
        <v>1759</v>
      </c>
      <c r="U140" s="4" t="s">
        <v>566</v>
      </c>
      <c r="V140" s="4" t="s">
        <v>222</v>
      </c>
      <c r="W140" s="4">
        <v>415</v>
      </c>
      <c r="X140" s="4" t="s">
        <v>222</v>
      </c>
      <c r="Y140" s="4" t="s">
        <v>222</v>
      </c>
      <c r="Z140" s="4" t="s">
        <v>222</v>
      </c>
      <c r="AA140" s="4" t="s">
        <v>222</v>
      </c>
      <c r="AB140" s="4" t="s">
        <v>222</v>
      </c>
      <c r="AC140" s="4" t="s">
        <v>1760</v>
      </c>
      <c r="AD140" s="4" t="s">
        <v>938</v>
      </c>
      <c r="AE140" s="4" t="s">
        <v>183</v>
      </c>
      <c r="AF140" s="4" t="s">
        <v>849</v>
      </c>
      <c r="AG140" s="4"/>
      <c r="AH140" s="1" t="s">
        <v>183</v>
      </c>
      <c r="AI140" s="1" t="s">
        <v>2815</v>
      </c>
      <c r="AJ140" s="1" t="s">
        <v>184</v>
      </c>
      <c r="AK140" s="1" t="s">
        <v>184</v>
      </c>
    </row>
    <row r="141" spans="1:37" x14ac:dyDescent="0.3">
      <c r="A141" s="94">
        <f t="shared" si="4"/>
        <v>140</v>
      </c>
      <c r="B141" s="39" t="str">
        <f t="shared" si="5"/>
        <v>SPS ABERNETHY RD ASCOT</v>
      </c>
      <c r="C141" s="4" t="s">
        <v>1495</v>
      </c>
      <c r="D141" s="4" t="s">
        <v>1496</v>
      </c>
      <c r="E141" s="4" t="s">
        <v>1497</v>
      </c>
      <c r="F141" s="4" t="s">
        <v>1498</v>
      </c>
      <c r="G141" s="4" t="s">
        <v>1499</v>
      </c>
      <c r="H141" s="4" t="s">
        <v>321</v>
      </c>
      <c r="I141" s="4" t="s">
        <v>2907</v>
      </c>
      <c r="J141" s="4"/>
      <c r="K141" s="4"/>
      <c r="L141" s="4" t="s">
        <v>1500</v>
      </c>
      <c r="M141" s="4" t="s">
        <v>1501</v>
      </c>
      <c r="N141" s="4" t="s">
        <v>351</v>
      </c>
      <c r="O141" s="4">
        <v>1975</v>
      </c>
      <c r="P141" s="4"/>
      <c r="Q141" s="4" t="s">
        <v>222</v>
      </c>
      <c r="R141" s="4" t="s">
        <v>1502</v>
      </c>
      <c r="S141" s="4" t="s">
        <v>222</v>
      </c>
      <c r="T141" s="4" t="s">
        <v>1503</v>
      </c>
      <c r="U141" s="4" t="s">
        <v>222</v>
      </c>
      <c r="V141" s="4" t="s">
        <v>222</v>
      </c>
      <c r="W141" s="4" t="s">
        <v>222</v>
      </c>
      <c r="X141" s="4" t="s">
        <v>222</v>
      </c>
      <c r="Y141" s="4" t="s">
        <v>222</v>
      </c>
      <c r="Z141" s="4" t="s">
        <v>222</v>
      </c>
      <c r="AA141" s="4" t="s">
        <v>222</v>
      </c>
      <c r="AB141" s="4" t="s">
        <v>222</v>
      </c>
      <c r="AC141" s="4" t="s">
        <v>1504</v>
      </c>
      <c r="AD141" s="4" t="s">
        <v>938</v>
      </c>
      <c r="AE141" s="4" t="s">
        <v>183</v>
      </c>
      <c r="AF141" s="4" t="s">
        <v>844</v>
      </c>
      <c r="AG141" s="4"/>
      <c r="AH141" s="1" t="s">
        <v>183</v>
      </c>
      <c r="AI141" s="1" t="s">
        <v>2819</v>
      </c>
      <c r="AJ141" s="1" t="s">
        <v>183</v>
      </c>
      <c r="AK141" s="1" t="s">
        <v>183</v>
      </c>
    </row>
    <row r="142" spans="1:37" x14ac:dyDescent="0.3">
      <c r="A142" s="94">
        <f t="shared" si="4"/>
        <v>141</v>
      </c>
      <c r="B142" s="39" t="str">
        <f t="shared" si="5"/>
        <v>SPS ASCOT PL ASCOT</v>
      </c>
      <c r="C142" s="4" t="s">
        <v>1533</v>
      </c>
      <c r="D142" s="4" t="s">
        <v>1534</v>
      </c>
      <c r="E142" s="4" t="s">
        <v>1497</v>
      </c>
      <c r="F142" s="4" t="s">
        <v>1535</v>
      </c>
      <c r="G142" s="4" t="s">
        <v>1499</v>
      </c>
      <c r="H142" s="4" t="s">
        <v>321</v>
      </c>
      <c r="I142" s="4" t="s">
        <v>2911</v>
      </c>
      <c r="J142" s="4"/>
      <c r="K142" s="4"/>
      <c r="L142" s="4" t="s">
        <v>1536</v>
      </c>
      <c r="M142" s="4" t="s">
        <v>1537</v>
      </c>
      <c r="N142" s="4" t="s">
        <v>1320</v>
      </c>
      <c r="O142" s="4">
        <v>1984</v>
      </c>
      <c r="P142" s="4"/>
      <c r="Q142" s="4" t="s">
        <v>612</v>
      </c>
      <c r="R142" s="4" t="s">
        <v>1538</v>
      </c>
      <c r="S142" s="4" t="s">
        <v>602</v>
      </c>
      <c r="T142" s="4" t="s">
        <v>1539</v>
      </c>
      <c r="U142" s="4" t="s">
        <v>566</v>
      </c>
      <c r="V142" s="4" t="s">
        <v>222</v>
      </c>
      <c r="W142" s="4" t="s">
        <v>222</v>
      </c>
      <c r="X142" s="4" t="s">
        <v>222</v>
      </c>
      <c r="Y142" s="4" t="s">
        <v>222</v>
      </c>
      <c r="Z142" s="4" t="s">
        <v>222</v>
      </c>
      <c r="AA142" s="4" t="s">
        <v>222</v>
      </c>
      <c r="AB142" s="4" t="s">
        <v>222</v>
      </c>
      <c r="AC142" s="4" t="s">
        <v>1540</v>
      </c>
      <c r="AD142" s="4" t="s">
        <v>938</v>
      </c>
      <c r="AE142" s="4" t="s">
        <v>183</v>
      </c>
      <c r="AF142" s="4" t="s">
        <v>836</v>
      </c>
      <c r="AG142" s="4"/>
      <c r="AH142" s="1" t="s">
        <v>183</v>
      </c>
      <c r="AI142" s="1" t="s">
        <v>2819</v>
      </c>
      <c r="AJ142" s="1" t="s">
        <v>183</v>
      </c>
      <c r="AK142" s="1" t="s">
        <v>183</v>
      </c>
    </row>
    <row r="143" spans="1:37" x14ac:dyDescent="0.3">
      <c r="A143" s="94">
        <f t="shared" si="4"/>
        <v>142</v>
      </c>
      <c r="B143" s="39" t="str">
        <f t="shared" si="5"/>
        <v>SPS COOLGARDIE AV ASCOT</v>
      </c>
      <c r="C143" s="4" t="s">
        <v>1779</v>
      </c>
      <c r="D143" s="4" t="s">
        <v>1780</v>
      </c>
      <c r="E143" s="4" t="s">
        <v>1497</v>
      </c>
      <c r="F143" s="4" t="s">
        <v>1781</v>
      </c>
      <c r="G143" s="4" t="s">
        <v>1499</v>
      </c>
      <c r="H143" s="4" t="s">
        <v>321</v>
      </c>
      <c r="I143" s="4" t="s">
        <v>2939</v>
      </c>
      <c r="J143" s="4"/>
      <c r="K143" s="4"/>
      <c r="L143" s="4" t="s">
        <v>1782</v>
      </c>
      <c r="M143" s="4" t="s">
        <v>1783</v>
      </c>
      <c r="N143" s="4" t="s">
        <v>1015</v>
      </c>
      <c r="O143" s="4">
        <v>1985</v>
      </c>
      <c r="P143" s="4"/>
      <c r="Q143" s="4" t="s">
        <v>612</v>
      </c>
      <c r="R143" s="4" t="s">
        <v>1784</v>
      </c>
      <c r="S143" s="4" t="s">
        <v>222</v>
      </c>
      <c r="T143" s="4" t="s">
        <v>1785</v>
      </c>
      <c r="U143" s="4" t="s">
        <v>222</v>
      </c>
      <c r="V143" s="4" t="s">
        <v>222</v>
      </c>
      <c r="W143" s="4" t="s">
        <v>222</v>
      </c>
      <c r="X143" s="4">
        <v>415</v>
      </c>
      <c r="Y143" s="4" t="s">
        <v>222</v>
      </c>
      <c r="Z143" s="4" t="s">
        <v>222</v>
      </c>
      <c r="AA143" s="4" t="s">
        <v>222</v>
      </c>
      <c r="AB143" s="4" t="s">
        <v>222</v>
      </c>
      <c r="AC143" s="4" t="s">
        <v>1786</v>
      </c>
      <c r="AD143" s="4" t="s">
        <v>938</v>
      </c>
      <c r="AE143" s="4" t="s">
        <v>183</v>
      </c>
      <c r="AF143" s="4" t="s">
        <v>844</v>
      </c>
      <c r="AG143" s="4"/>
      <c r="AH143" s="1" t="s">
        <v>184</v>
      </c>
      <c r="AI143" s="1" t="s">
        <v>2815</v>
      </c>
      <c r="AJ143" s="1" t="s">
        <v>184</v>
      </c>
      <c r="AK143" s="1" t="s">
        <v>184</v>
      </c>
    </row>
    <row r="144" spans="1:37" x14ac:dyDescent="0.3">
      <c r="A144" s="94">
        <f t="shared" si="4"/>
        <v>16</v>
      </c>
      <c r="B144" s="39" t="str">
        <f t="shared" si="5"/>
        <v>SPS FRANCISCO ST BELMONT</v>
      </c>
      <c r="C144" s="4" t="s">
        <v>98</v>
      </c>
      <c r="D144" s="4" t="s">
        <v>99</v>
      </c>
      <c r="E144" s="4" t="s">
        <v>858</v>
      </c>
      <c r="F144" s="4" t="s">
        <v>319</v>
      </c>
      <c r="G144" s="4" t="s">
        <v>320</v>
      </c>
      <c r="H144" s="4" t="s">
        <v>321</v>
      </c>
      <c r="I144" s="4" t="s">
        <v>867</v>
      </c>
      <c r="J144" s="4" t="s">
        <v>560</v>
      </c>
      <c r="K144" s="4" t="s">
        <v>627</v>
      </c>
      <c r="L144" s="4" t="s">
        <v>322</v>
      </c>
      <c r="M144" s="4" t="s">
        <v>323</v>
      </c>
      <c r="N144" s="4" t="s">
        <v>232</v>
      </c>
      <c r="O144" s="4">
        <v>2002</v>
      </c>
      <c r="P144" s="4" t="s">
        <v>868</v>
      </c>
      <c r="Q144" s="4" t="s">
        <v>222</v>
      </c>
      <c r="R144" s="4" t="s">
        <v>628</v>
      </c>
      <c r="S144" s="4" t="s">
        <v>222</v>
      </c>
      <c r="T144" s="4" t="s">
        <v>629</v>
      </c>
      <c r="U144" s="4" t="s">
        <v>566</v>
      </c>
      <c r="V144" s="4" t="s">
        <v>222</v>
      </c>
      <c r="W144" s="4" t="s">
        <v>222</v>
      </c>
      <c r="X144" s="4" t="s">
        <v>222</v>
      </c>
      <c r="Y144" s="4" t="s">
        <v>222</v>
      </c>
      <c r="Z144" s="4" t="s">
        <v>222</v>
      </c>
      <c r="AA144" s="4" t="s">
        <v>222</v>
      </c>
      <c r="AB144" s="4" t="s">
        <v>222</v>
      </c>
      <c r="AC144" s="4" t="s">
        <v>779</v>
      </c>
      <c r="AD144" s="4"/>
      <c r="AE144" s="4" t="s">
        <v>184</v>
      </c>
      <c r="AF144" s="4" t="s">
        <v>836</v>
      </c>
      <c r="AG144" s="4"/>
      <c r="AH144" s="1" t="s">
        <v>183</v>
      </c>
      <c r="AI144" s="1" t="s">
        <v>1750</v>
      </c>
      <c r="AJ144" s="1" t="s">
        <v>184</v>
      </c>
      <c r="AK144" s="1" t="s">
        <v>184</v>
      </c>
    </row>
    <row r="145" spans="1:37" x14ac:dyDescent="0.3">
      <c r="A145" s="94">
        <f t="shared" si="4"/>
        <v>18</v>
      </c>
      <c r="B145" s="39" t="str">
        <f t="shared" si="5"/>
        <v>SPS HARDEY RD BELMONT</v>
      </c>
      <c r="C145" s="4" t="s">
        <v>110</v>
      </c>
      <c r="D145" s="4" t="s">
        <v>111</v>
      </c>
      <c r="E145" s="4" t="s">
        <v>858</v>
      </c>
      <c r="F145" s="4" t="s">
        <v>352</v>
      </c>
      <c r="G145" s="4" t="s">
        <v>320</v>
      </c>
      <c r="H145" s="4" t="s">
        <v>321</v>
      </c>
      <c r="I145" s="4" t="s">
        <v>877</v>
      </c>
      <c r="J145" s="4" t="s">
        <v>560</v>
      </c>
      <c r="K145" s="4" t="s">
        <v>647</v>
      </c>
      <c r="L145" s="4" t="s">
        <v>353</v>
      </c>
      <c r="M145" s="4" t="s">
        <v>354</v>
      </c>
      <c r="N145" s="4" t="s">
        <v>296</v>
      </c>
      <c r="O145" s="4">
        <v>2002</v>
      </c>
      <c r="P145" s="4" t="s">
        <v>855</v>
      </c>
      <c r="Q145" s="4" t="s">
        <v>648</v>
      </c>
      <c r="R145" s="4" t="s">
        <v>649</v>
      </c>
      <c r="S145" s="4" t="s">
        <v>650</v>
      </c>
      <c r="T145" s="4" t="s">
        <v>651</v>
      </c>
      <c r="U145" s="4">
        <v>3150</v>
      </c>
      <c r="V145" s="4">
        <v>22</v>
      </c>
      <c r="W145" s="4">
        <v>690</v>
      </c>
      <c r="X145" s="4">
        <v>690</v>
      </c>
      <c r="Y145" s="4">
        <v>3000</v>
      </c>
      <c r="Z145" s="4">
        <v>80</v>
      </c>
      <c r="AA145" s="4" t="s">
        <v>652</v>
      </c>
      <c r="AB145" s="4" t="s">
        <v>222</v>
      </c>
      <c r="AC145" s="4" t="s">
        <v>785</v>
      </c>
      <c r="AD145" s="4"/>
      <c r="AE145" s="4" t="s">
        <v>183</v>
      </c>
      <c r="AF145" s="4" t="s">
        <v>836</v>
      </c>
      <c r="AG145" s="4"/>
      <c r="AH145" s="1" t="s">
        <v>183</v>
      </c>
      <c r="AI145" s="1" t="s">
        <v>1750</v>
      </c>
      <c r="AJ145" s="1" t="s">
        <v>183</v>
      </c>
      <c r="AK145" s="1" t="s">
        <v>184</v>
      </c>
    </row>
    <row r="146" spans="1:37" x14ac:dyDescent="0.3">
      <c r="A146" s="94">
        <f t="shared" si="4"/>
        <v>145</v>
      </c>
      <c r="B146" s="39" t="str">
        <f t="shared" si="5"/>
        <v>SPS STONEHAM ST ASCOT</v>
      </c>
      <c r="C146" s="4" t="s">
        <v>2571</v>
      </c>
      <c r="D146" s="4" t="s">
        <v>2572</v>
      </c>
      <c r="E146" s="4" t="s">
        <v>1497</v>
      </c>
      <c r="F146" s="4" t="s">
        <v>2573</v>
      </c>
      <c r="G146" s="4" t="s">
        <v>1499</v>
      </c>
      <c r="H146" s="4" t="s">
        <v>321</v>
      </c>
      <c r="I146" s="4" t="s">
        <v>3034</v>
      </c>
      <c r="J146" s="4"/>
      <c r="K146" s="4"/>
      <c r="L146" s="4" t="s">
        <v>2574</v>
      </c>
      <c r="M146" s="4" t="s">
        <v>2575</v>
      </c>
      <c r="N146" s="4" t="s">
        <v>1059</v>
      </c>
      <c r="O146" s="4">
        <v>1987</v>
      </c>
      <c r="P146" s="4"/>
      <c r="Q146" s="4" t="s">
        <v>631</v>
      </c>
      <c r="R146" s="4" t="s">
        <v>2576</v>
      </c>
      <c r="S146" s="4" t="s">
        <v>571</v>
      </c>
      <c r="T146" s="4" t="s">
        <v>2577</v>
      </c>
      <c r="U146" s="4" t="s">
        <v>566</v>
      </c>
      <c r="V146" s="4" t="s">
        <v>222</v>
      </c>
      <c r="W146" s="4">
        <v>440</v>
      </c>
      <c r="X146" s="4">
        <v>440</v>
      </c>
      <c r="Y146" s="4" t="s">
        <v>222</v>
      </c>
      <c r="Z146" s="4" t="s">
        <v>222</v>
      </c>
      <c r="AA146" s="4" t="s">
        <v>222</v>
      </c>
      <c r="AB146" s="4" t="s">
        <v>222</v>
      </c>
      <c r="AC146" s="4" t="s">
        <v>2578</v>
      </c>
      <c r="AD146" s="4" t="s">
        <v>938</v>
      </c>
      <c r="AE146" s="4" t="s">
        <v>183</v>
      </c>
      <c r="AF146" s="4" t="s">
        <v>844</v>
      </c>
      <c r="AG146" s="4"/>
      <c r="AH146" s="1" t="s">
        <v>183</v>
      </c>
      <c r="AI146" s="1" t="s">
        <v>2819</v>
      </c>
      <c r="AJ146" s="1" t="s">
        <v>183</v>
      </c>
      <c r="AK146" s="1" t="s">
        <v>183</v>
      </c>
    </row>
    <row r="147" spans="1:37" x14ac:dyDescent="0.3">
      <c r="A147" s="94">
        <f t="shared" si="4"/>
        <v>19</v>
      </c>
      <c r="B147" s="39" t="str">
        <f t="shared" si="5"/>
        <v>SPS PALMERSTON ST ST JAMES</v>
      </c>
      <c r="C147" s="4" t="s">
        <v>116</v>
      </c>
      <c r="D147" s="4" t="s">
        <v>117</v>
      </c>
      <c r="E147" s="4" t="s">
        <v>858</v>
      </c>
      <c r="F147" s="4" t="s">
        <v>365</v>
      </c>
      <c r="G147" s="4" t="s">
        <v>366</v>
      </c>
      <c r="H147" s="4" t="s">
        <v>367</v>
      </c>
      <c r="I147" s="4" t="s">
        <v>880</v>
      </c>
      <c r="J147" s="4" t="s">
        <v>560</v>
      </c>
      <c r="K147" s="4" t="s">
        <v>657</v>
      </c>
      <c r="L147" s="4" t="s">
        <v>368</v>
      </c>
      <c r="M147" s="4" t="s">
        <v>369</v>
      </c>
      <c r="N147" s="4" t="s">
        <v>256</v>
      </c>
      <c r="O147" s="4">
        <v>2007</v>
      </c>
      <c r="P147" s="4" t="s">
        <v>881</v>
      </c>
      <c r="Q147" s="4" t="s">
        <v>631</v>
      </c>
      <c r="R147" s="4" t="s">
        <v>658</v>
      </c>
      <c r="S147" s="4" t="s">
        <v>659</v>
      </c>
      <c r="T147" s="4" t="s">
        <v>660</v>
      </c>
      <c r="U147" s="4" t="s">
        <v>566</v>
      </c>
      <c r="V147" s="4" t="s">
        <v>222</v>
      </c>
      <c r="W147" s="4">
        <v>415</v>
      </c>
      <c r="X147" s="4" t="s">
        <v>222</v>
      </c>
      <c r="Y147" s="4" t="s">
        <v>222</v>
      </c>
      <c r="Z147" s="4" t="s">
        <v>222</v>
      </c>
      <c r="AA147" s="4" t="s">
        <v>222</v>
      </c>
      <c r="AB147" s="4" t="s">
        <v>222</v>
      </c>
      <c r="AC147" s="4" t="s">
        <v>788</v>
      </c>
      <c r="AD147" s="4"/>
      <c r="AE147" s="4" t="s">
        <v>183</v>
      </c>
      <c r="AF147" s="4" t="s">
        <v>839</v>
      </c>
      <c r="AG147" s="4"/>
      <c r="AH147" s="1" t="s">
        <v>183</v>
      </c>
      <c r="AI147" s="1" t="s">
        <v>2815</v>
      </c>
      <c r="AJ147" s="1" t="s">
        <v>184</v>
      </c>
      <c r="AK147" s="1" t="s">
        <v>184</v>
      </c>
    </row>
    <row r="148" spans="1:37" x14ac:dyDescent="0.3">
      <c r="A148" s="94">
        <f t="shared" si="4"/>
        <v>147</v>
      </c>
      <c r="B148" s="39" t="str">
        <f t="shared" si="5"/>
        <v>SPS ARMAGH ST VICTORIA PARK</v>
      </c>
      <c r="C148" s="4" t="s">
        <v>70</v>
      </c>
      <c r="D148" s="4" t="s">
        <v>71</v>
      </c>
      <c r="E148" s="4" t="s">
        <v>831</v>
      </c>
      <c r="F148" s="4" t="s">
        <v>239</v>
      </c>
      <c r="G148" s="4" t="s">
        <v>240</v>
      </c>
      <c r="H148" s="4" t="s">
        <v>241</v>
      </c>
      <c r="I148" s="4" t="s">
        <v>837</v>
      </c>
      <c r="J148" s="4" t="s">
        <v>560</v>
      </c>
      <c r="K148" s="4" t="s">
        <v>573</v>
      </c>
      <c r="L148" s="4" t="s">
        <v>242</v>
      </c>
      <c r="M148" s="4" t="s">
        <v>243</v>
      </c>
      <c r="N148" s="4" t="s">
        <v>244</v>
      </c>
      <c r="O148" s="4">
        <v>2008</v>
      </c>
      <c r="P148" s="4" t="s">
        <v>838</v>
      </c>
      <c r="Q148" s="4" t="s">
        <v>574</v>
      </c>
      <c r="R148" s="4" t="s">
        <v>575</v>
      </c>
      <c r="S148" s="4" t="s">
        <v>576</v>
      </c>
      <c r="T148" s="4" t="s">
        <v>577</v>
      </c>
      <c r="U148" s="4">
        <v>1000</v>
      </c>
      <c r="V148" s="4">
        <v>22</v>
      </c>
      <c r="W148" s="4">
        <v>433</v>
      </c>
      <c r="X148" s="4">
        <v>415</v>
      </c>
      <c r="Y148" s="4">
        <v>1600</v>
      </c>
      <c r="Z148" s="4">
        <v>50</v>
      </c>
      <c r="AA148" s="4" t="s">
        <v>222</v>
      </c>
      <c r="AB148" s="4" t="s">
        <v>222</v>
      </c>
      <c r="AC148" s="4" t="s">
        <v>765</v>
      </c>
      <c r="AD148" s="4"/>
      <c r="AE148" s="4" t="s">
        <v>184</v>
      </c>
      <c r="AF148" s="4" t="s">
        <v>839</v>
      </c>
      <c r="AG148" s="4"/>
      <c r="AH148" s="1" t="s">
        <v>183</v>
      </c>
      <c r="AI148" s="1" t="s">
        <v>2815</v>
      </c>
      <c r="AJ148" s="1" t="s">
        <v>184</v>
      </c>
      <c r="AK148" s="1" t="s">
        <v>184</v>
      </c>
    </row>
    <row r="149" spans="1:37" x14ac:dyDescent="0.3">
      <c r="A149" s="94">
        <f t="shared" si="4"/>
        <v>20</v>
      </c>
      <c r="B149" s="39" t="str">
        <f t="shared" si="5"/>
        <v>SPS HORDERN ST VICTORIA PARK</v>
      </c>
      <c r="C149" s="4" t="s">
        <v>178</v>
      </c>
      <c r="D149" s="4" t="s">
        <v>179</v>
      </c>
      <c r="E149" s="4" t="s">
        <v>858</v>
      </c>
      <c r="F149" s="4" t="s">
        <v>511</v>
      </c>
      <c r="G149" s="4" t="s">
        <v>240</v>
      </c>
      <c r="H149" s="4" t="s">
        <v>241</v>
      </c>
      <c r="I149" s="4" t="s">
        <v>925</v>
      </c>
      <c r="J149" s="4" t="s">
        <v>560</v>
      </c>
      <c r="K149" s="4" t="s">
        <v>753</v>
      </c>
      <c r="L149" s="4" t="s">
        <v>512</v>
      </c>
      <c r="M149" s="4" t="s">
        <v>513</v>
      </c>
      <c r="N149" s="4" t="s">
        <v>514</v>
      </c>
      <c r="O149" s="4">
        <v>2008</v>
      </c>
      <c r="P149" s="4" t="s">
        <v>926</v>
      </c>
      <c r="Q149" s="4" t="s">
        <v>754</v>
      </c>
      <c r="R149" s="4" t="s">
        <v>755</v>
      </c>
      <c r="S149" s="4" t="s">
        <v>756</v>
      </c>
      <c r="T149" s="4" t="s">
        <v>757</v>
      </c>
      <c r="U149" s="4">
        <v>1000</v>
      </c>
      <c r="V149" s="4">
        <v>22</v>
      </c>
      <c r="W149" s="4">
        <v>433</v>
      </c>
      <c r="X149" s="4">
        <v>415</v>
      </c>
      <c r="Y149" s="4">
        <v>1600</v>
      </c>
      <c r="Z149" s="4">
        <v>50</v>
      </c>
      <c r="AA149" s="4" t="s">
        <v>222</v>
      </c>
      <c r="AB149" s="4" t="s">
        <v>222</v>
      </c>
      <c r="AC149" s="4" t="s">
        <v>222</v>
      </c>
      <c r="AD149" s="4"/>
      <c r="AE149" s="4" t="s">
        <v>184</v>
      </c>
      <c r="AF149" s="4" t="s">
        <v>839</v>
      </c>
      <c r="AG149" s="4"/>
      <c r="AH149" s="1" t="s">
        <v>183</v>
      </c>
      <c r="AI149" s="1" t="s">
        <v>2815</v>
      </c>
      <c r="AJ149" s="1" t="s">
        <v>183</v>
      </c>
      <c r="AK149" s="1" t="s">
        <v>184</v>
      </c>
    </row>
    <row r="150" spans="1:37" x14ac:dyDescent="0.3">
      <c r="A150" s="94">
        <f t="shared" si="4"/>
        <v>149</v>
      </c>
      <c r="B150" s="39" t="str">
        <f t="shared" si="5"/>
        <v>SPS HARRIS RD MALAGA</v>
      </c>
      <c r="C150" s="4" t="s">
        <v>2053</v>
      </c>
      <c r="D150" s="4" t="s">
        <v>2054</v>
      </c>
      <c r="E150" s="4" t="s">
        <v>1497</v>
      </c>
      <c r="F150" s="4" t="s">
        <v>2055</v>
      </c>
      <c r="G150" s="4" t="s">
        <v>1188</v>
      </c>
      <c r="H150" s="4" t="s">
        <v>1189</v>
      </c>
      <c r="I150" s="4" t="s">
        <v>2971</v>
      </c>
      <c r="J150" s="4"/>
      <c r="K150" s="4"/>
      <c r="L150" s="4" t="s">
        <v>2056</v>
      </c>
      <c r="M150" s="4" t="s">
        <v>2057</v>
      </c>
      <c r="N150" s="4" t="s">
        <v>360</v>
      </c>
      <c r="O150" s="4">
        <v>1982</v>
      </c>
      <c r="P150" s="4"/>
      <c r="Q150" s="4" t="s">
        <v>631</v>
      </c>
      <c r="R150" s="4" t="s">
        <v>2058</v>
      </c>
      <c r="S150" s="4" t="s">
        <v>571</v>
      </c>
      <c r="T150" s="4" t="s">
        <v>2059</v>
      </c>
      <c r="U150" s="4">
        <v>200</v>
      </c>
      <c r="V150" s="4" t="s">
        <v>222</v>
      </c>
      <c r="W150" s="4" t="s">
        <v>222</v>
      </c>
      <c r="X150" s="4" t="s">
        <v>222</v>
      </c>
      <c r="Y150" s="4" t="s">
        <v>222</v>
      </c>
      <c r="Z150" s="4" t="s">
        <v>222</v>
      </c>
      <c r="AA150" s="4" t="s">
        <v>222</v>
      </c>
      <c r="AB150" s="4" t="s">
        <v>222</v>
      </c>
      <c r="AC150" s="4" t="s">
        <v>2060</v>
      </c>
      <c r="AD150" s="4" t="s">
        <v>950</v>
      </c>
      <c r="AE150" s="4" t="s">
        <v>183</v>
      </c>
      <c r="AF150" s="4" t="s">
        <v>849</v>
      </c>
      <c r="AG150" s="4"/>
      <c r="AH150" s="1" t="s">
        <v>183</v>
      </c>
      <c r="AI150" s="1" t="s">
        <v>2815</v>
      </c>
      <c r="AJ150" s="1" t="s">
        <v>183</v>
      </c>
      <c r="AK150" s="1" t="s">
        <v>184</v>
      </c>
    </row>
    <row r="151" spans="1:37" x14ac:dyDescent="0.3">
      <c r="A151" s="94">
        <f t="shared" si="4"/>
        <v>150</v>
      </c>
      <c r="B151" s="39" t="str">
        <f t="shared" si="5"/>
        <v>SPS VICTORIA RD WEST MALAGA</v>
      </c>
      <c r="C151" s="4" t="s">
        <v>1185</v>
      </c>
      <c r="D151" s="4" t="s">
        <v>1186</v>
      </c>
      <c r="E151" s="4" t="s">
        <v>1106</v>
      </c>
      <c r="F151" s="4" t="s">
        <v>1187</v>
      </c>
      <c r="G151" s="4" t="s">
        <v>1188</v>
      </c>
      <c r="H151" s="4" t="s">
        <v>1189</v>
      </c>
      <c r="I151" s="4" t="s">
        <v>2779</v>
      </c>
      <c r="J151" s="4"/>
      <c r="K151" s="4"/>
      <c r="L151" s="4" t="s">
        <v>1190</v>
      </c>
      <c r="M151" s="4" t="s">
        <v>1191</v>
      </c>
      <c r="N151" s="4" t="s">
        <v>307</v>
      </c>
      <c r="O151" s="4">
        <v>1993</v>
      </c>
      <c r="P151" s="4" t="s">
        <v>222</v>
      </c>
      <c r="Q151" s="4" t="s">
        <v>222</v>
      </c>
      <c r="R151" s="4" t="s">
        <v>1192</v>
      </c>
      <c r="S151" s="4" t="s">
        <v>222</v>
      </c>
      <c r="T151" s="4" t="s">
        <v>1193</v>
      </c>
      <c r="U151" s="4">
        <v>200</v>
      </c>
      <c r="V151" s="4">
        <v>22</v>
      </c>
      <c r="W151" s="4">
        <v>440</v>
      </c>
      <c r="X151" s="4" t="s">
        <v>222</v>
      </c>
      <c r="Y151" s="4" t="s">
        <v>222</v>
      </c>
      <c r="Z151" s="4" t="s">
        <v>222</v>
      </c>
      <c r="AA151" s="4" t="s">
        <v>222</v>
      </c>
      <c r="AB151" s="4" t="s">
        <v>222</v>
      </c>
      <c r="AC151" s="4" t="s">
        <v>1194</v>
      </c>
      <c r="AD151" s="4" t="s">
        <v>950</v>
      </c>
      <c r="AE151" s="4" t="s">
        <v>183</v>
      </c>
      <c r="AF151" s="4" t="s">
        <v>849</v>
      </c>
      <c r="AG151" s="4"/>
      <c r="AH151" s="1" t="s">
        <v>183</v>
      </c>
      <c r="AI151" s="1" t="s">
        <v>2819</v>
      </c>
      <c r="AJ151" s="1" t="s">
        <v>184</v>
      </c>
      <c r="AK151" s="1" t="s">
        <v>183</v>
      </c>
    </row>
    <row r="152" spans="1:37" x14ac:dyDescent="0.3">
      <c r="A152" s="94">
        <f t="shared" si="4"/>
        <v>151</v>
      </c>
      <c r="B152" s="39" t="str">
        <f t="shared" si="5"/>
        <v>SPS CHENIN LANE THE VINES</v>
      </c>
      <c r="C152" s="4" t="s">
        <v>1740</v>
      </c>
      <c r="D152" s="4" t="s">
        <v>1741</v>
      </c>
      <c r="E152" s="4" t="s">
        <v>1497</v>
      </c>
      <c r="F152" s="4" t="s">
        <v>1742</v>
      </c>
      <c r="G152" s="4" t="s">
        <v>1743</v>
      </c>
      <c r="H152" s="4" t="s">
        <v>1744</v>
      </c>
      <c r="I152" s="4" t="s">
        <v>2935</v>
      </c>
      <c r="J152" s="4"/>
      <c r="K152" s="4"/>
      <c r="L152" s="4" t="s">
        <v>1745</v>
      </c>
      <c r="M152" s="4" t="s">
        <v>1746</v>
      </c>
      <c r="N152" s="4" t="s">
        <v>1015</v>
      </c>
      <c r="O152" s="4">
        <v>1999</v>
      </c>
      <c r="P152" s="4"/>
      <c r="Q152" s="4" t="s">
        <v>222</v>
      </c>
      <c r="R152" s="4" t="s">
        <v>1747</v>
      </c>
      <c r="S152" s="4" t="s">
        <v>571</v>
      </c>
      <c r="T152" s="4" t="s">
        <v>1748</v>
      </c>
      <c r="U152" s="4" t="s">
        <v>566</v>
      </c>
      <c r="V152" s="4" t="s">
        <v>222</v>
      </c>
      <c r="W152" s="4" t="s">
        <v>222</v>
      </c>
      <c r="X152" s="4" t="s">
        <v>222</v>
      </c>
      <c r="Y152" s="4" t="s">
        <v>222</v>
      </c>
      <c r="Z152" s="4" t="s">
        <v>222</v>
      </c>
      <c r="AA152" s="4" t="s">
        <v>222</v>
      </c>
      <c r="AB152" s="4" t="s">
        <v>222</v>
      </c>
      <c r="AC152" s="4" t="s">
        <v>1749</v>
      </c>
      <c r="AD152" s="4" t="s">
        <v>950</v>
      </c>
      <c r="AE152" s="4" t="s">
        <v>183</v>
      </c>
      <c r="AF152" s="4" t="s">
        <v>1750</v>
      </c>
      <c r="AG152" s="4"/>
      <c r="AH152" s="1" t="s">
        <v>183</v>
      </c>
      <c r="AI152" s="1" t="s">
        <v>2815</v>
      </c>
      <c r="AJ152" s="1" t="s">
        <v>183</v>
      </c>
      <c r="AK152" s="1" t="s">
        <v>184</v>
      </c>
    </row>
    <row r="153" spans="1:37" x14ac:dyDescent="0.3">
      <c r="A153" s="94">
        <f t="shared" si="4"/>
        <v>152</v>
      </c>
      <c r="B153" s="39" t="str">
        <f t="shared" si="5"/>
        <v>SPS ROXBURGHE DR THE VINES</v>
      </c>
      <c r="C153" s="4" t="s">
        <v>2514</v>
      </c>
      <c r="D153" s="4" t="s">
        <v>2515</v>
      </c>
      <c r="E153" s="4" t="s">
        <v>1497</v>
      </c>
      <c r="F153" s="4" t="s">
        <v>2516</v>
      </c>
      <c r="G153" s="4" t="s">
        <v>1743</v>
      </c>
      <c r="H153" s="4" t="s">
        <v>1744</v>
      </c>
      <c r="I153" s="4" t="s">
        <v>3027</v>
      </c>
      <c r="J153" s="4"/>
      <c r="K153" s="4"/>
      <c r="L153" s="4" t="s">
        <v>2517</v>
      </c>
      <c r="M153" s="4" t="s">
        <v>2518</v>
      </c>
      <c r="N153" s="4" t="s">
        <v>1844</v>
      </c>
      <c r="O153" s="4">
        <v>2007</v>
      </c>
      <c r="P153" s="4"/>
      <c r="Q153" s="4" t="s">
        <v>631</v>
      </c>
      <c r="R153" s="4" t="s">
        <v>2519</v>
      </c>
      <c r="S153" s="4" t="s">
        <v>571</v>
      </c>
      <c r="T153" s="4" t="s">
        <v>2520</v>
      </c>
      <c r="U153" s="4" t="s">
        <v>566</v>
      </c>
      <c r="V153" s="4" t="s">
        <v>222</v>
      </c>
      <c r="W153" s="4">
        <v>415</v>
      </c>
      <c r="X153" s="4" t="s">
        <v>222</v>
      </c>
      <c r="Y153" s="4" t="s">
        <v>222</v>
      </c>
      <c r="Z153" s="4" t="s">
        <v>222</v>
      </c>
      <c r="AA153" s="4" t="s">
        <v>222</v>
      </c>
      <c r="AB153" s="4" t="s">
        <v>222</v>
      </c>
      <c r="AC153" s="4" t="s">
        <v>2521</v>
      </c>
      <c r="AD153" s="4" t="s">
        <v>950</v>
      </c>
      <c r="AE153" s="4" t="s">
        <v>184</v>
      </c>
      <c r="AF153" s="4" t="s">
        <v>844</v>
      </c>
      <c r="AG153" s="4"/>
      <c r="AH153" s="1" t="s">
        <v>183</v>
      </c>
      <c r="AI153" s="1" t="s">
        <v>2819</v>
      </c>
      <c r="AJ153" s="1" t="s">
        <v>183</v>
      </c>
      <c r="AK153" s="1" t="s">
        <v>183</v>
      </c>
    </row>
    <row r="154" spans="1:37" x14ac:dyDescent="0.3">
      <c r="A154" s="94">
        <f t="shared" si="4"/>
        <v>153</v>
      </c>
      <c r="B154" s="39" t="str">
        <f t="shared" si="5"/>
        <v>SPS BARRAMBIE WY WHITEMAN</v>
      </c>
      <c r="C154" s="4" t="s">
        <v>106</v>
      </c>
      <c r="D154" s="4" t="s">
        <v>107</v>
      </c>
      <c r="E154" s="4" t="s">
        <v>831</v>
      </c>
      <c r="F154" s="4" t="s">
        <v>340</v>
      </c>
      <c r="G154" s="4" t="s">
        <v>341</v>
      </c>
      <c r="H154" s="4" t="s">
        <v>342</v>
      </c>
      <c r="I154" s="4" t="s">
        <v>874</v>
      </c>
      <c r="J154" s="4" t="s">
        <v>560</v>
      </c>
      <c r="K154" s="4" t="s">
        <v>641</v>
      </c>
      <c r="L154" s="4" t="s">
        <v>343</v>
      </c>
      <c r="M154" s="4" t="s">
        <v>344</v>
      </c>
      <c r="N154" s="4" t="s">
        <v>345</v>
      </c>
      <c r="O154" s="4">
        <v>1998</v>
      </c>
      <c r="P154" s="4" t="s">
        <v>875</v>
      </c>
      <c r="Q154" s="4" t="s">
        <v>569</v>
      </c>
      <c r="R154" s="4" t="s">
        <v>642</v>
      </c>
      <c r="S154" s="4" t="s">
        <v>571</v>
      </c>
      <c r="T154" s="4" t="s">
        <v>643</v>
      </c>
      <c r="U154" s="4">
        <v>315</v>
      </c>
      <c r="V154" s="4">
        <v>22</v>
      </c>
      <c r="W154" s="4">
        <v>415</v>
      </c>
      <c r="X154" s="4" t="s">
        <v>222</v>
      </c>
      <c r="Y154" s="4" t="s">
        <v>222</v>
      </c>
      <c r="Z154" s="4" t="s">
        <v>222</v>
      </c>
      <c r="AA154" s="4" t="s">
        <v>222</v>
      </c>
      <c r="AB154" s="4" t="s">
        <v>222</v>
      </c>
      <c r="AC154" s="4" t="s">
        <v>783</v>
      </c>
      <c r="AD154" s="4"/>
      <c r="AE154" s="4" t="s">
        <v>184</v>
      </c>
      <c r="AF154" s="4" t="s">
        <v>844</v>
      </c>
      <c r="AG154" s="4"/>
      <c r="AH154" s="1" t="s">
        <v>183</v>
      </c>
      <c r="AI154" s="1" t="s">
        <v>2819</v>
      </c>
      <c r="AJ154" s="1" t="s">
        <v>183</v>
      </c>
      <c r="AK154" s="1" t="s">
        <v>183</v>
      </c>
    </row>
    <row r="155" spans="1:37" x14ac:dyDescent="0.3">
      <c r="A155" s="94">
        <f t="shared" si="4"/>
        <v>154</v>
      </c>
      <c r="B155" s="39" t="str">
        <f t="shared" si="5"/>
        <v>SPS SUMMERLAKES PDE BALLAJURA</v>
      </c>
      <c r="C155" s="4" t="s">
        <v>2579</v>
      </c>
      <c r="D155" s="4" t="s">
        <v>2580</v>
      </c>
      <c r="E155" s="4" t="s">
        <v>1497</v>
      </c>
      <c r="F155" s="4" t="s">
        <v>2581</v>
      </c>
      <c r="G155" s="4" t="s">
        <v>2582</v>
      </c>
      <c r="H155" s="4" t="s">
        <v>2583</v>
      </c>
      <c r="I155" s="4" t="s">
        <v>3035</v>
      </c>
      <c r="J155" s="4"/>
      <c r="K155" s="4"/>
      <c r="L155" s="4" t="s">
        <v>2584</v>
      </c>
      <c r="M155" s="4" t="s">
        <v>2585</v>
      </c>
      <c r="N155" s="4" t="s">
        <v>2350</v>
      </c>
      <c r="O155" s="4">
        <v>1987</v>
      </c>
      <c r="P155" s="4"/>
      <c r="Q155" s="4" t="s">
        <v>222</v>
      </c>
      <c r="R155" s="4" t="s">
        <v>2586</v>
      </c>
      <c r="S155" s="4" t="s">
        <v>222</v>
      </c>
      <c r="T155" s="4" t="s">
        <v>2587</v>
      </c>
      <c r="U155" s="4" t="s">
        <v>566</v>
      </c>
      <c r="V155" s="4" t="s">
        <v>222</v>
      </c>
      <c r="W155" s="4" t="s">
        <v>222</v>
      </c>
      <c r="X155" s="4" t="s">
        <v>222</v>
      </c>
      <c r="Y155" s="4" t="s">
        <v>222</v>
      </c>
      <c r="Z155" s="4" t="s">
        <v>222</v>
      </c>
      <c r="AA155" s="4" t="s">
        <v>222</v>
      </c>
      <c r="AB155" s="4" t="s">
        <v>222</v>
      </c>
      <c r="AC155" s="4" t="s">
        <v>2588</v>
      </c>
      <c r="AD155" s="4" t="s">
        <v>950</v>
      </c>
      <c r="AE155" s="4" t="s">
        <v>183</v>
      </c>
      <c r="AF155" s="4" t="s">
        <v>844</v>
      </c>
      <c r="AG155" s="4"/>
      <c r="AH155" s="1" t="s">
        <v>183</v>
      </c>
      <c r="AI155" s="1" t="s">
        <v>2815</v>
      </c>
      <c r="AJ155" s="1" t="s">
        <v>184</v>
      </c>
      <c r="AK155" s="1" t="s">
        <v>184</v>
      </c>
    </row>
    <row r="156" spans="1:37" x14ac:dyDescent="0.3">
      <c r="A156" s="94">
        <f t="shared" si="4"/>
        <v>155</v>
      </c>
      <c r="B156" s="39" t="str">
        <f t="shared" si="5"/>
        <v>SPS ARITI AV WANNEROO</v>
      </c>
      <c r="C156" s="4" t="s">
        <v>118</v>
      </c>
      <c r="D156" s="4" t="s">
        <v>119</v>
      </c>
      <c r="E156" s="4" t="s">
        <v>858</v>
      </c>
      <c r="F156" s="4" t="s">
        <v>370</v>
      </c>
      <c r="G156" s="4" t="s">
        <v>223</v>
      </c>
      <c r="H156" s="4" t="s">
        <v>371</v>
      </c>
      <c r="I156" s="4" t="s">
        <v>882</v>
      </c>
      <c r="J156" s="4" t="s">
        <v>560</v>
      </c>
      <c r="K156" s="4" t="s">
        <v>661</v>
      </c>
      <c r="L156" s="4" t="s">
        <v>372</v>
      </c>
      <c r="M156" s="4" t="s">
        <v>373</v>
      </c>
      <c r="N156" s="4" t="s">
        <v>351</v>
      </c>
      <c r="O156" s="4">
        <v>1974</v>
      </c>
      <c r="P156" s="4" t="s">
        <v>223</v>
      </c>
      <c r="Q156" s="4" t="s">
        <v>612</v>
      </c>
      <c r="R156" s="4" t="s">
        <v>662</v>
      </c>
      <c r="S156" s="4" t="s">
        <v>571</v>
      </c>
      <c r="T156" s="4" t="s">
        <v>663</v>
      </c>
      <c r="U156" s="4" t="s">
        <v>566</v>
      </c>
      <c r="V156" s="4" t="s">
        <v>222</v>
      </c>
      <c r="W156" s="4" t="s">
        <v>222</v>
      </c>
      <c r="X156" s="4" t="s">
        <v>222</v>
      </c>
      <c r="Y156" s="4" t="s">
        <v>222</v>
      </c>
      <c r="Z156" s="4" t="s">
        <v>222</v>
      </c>
      <c r="AA156" s="4" t="s">
        <v>222</v>
      </c>
      <c r="AB156" s="4" t="s">
        <v>222</v>
      </c>
      <c r="AC156" s="4" t="s">
        <v>789</v>
      </c>
      <c r="AD156" s="4"/>
      <c r="AE156" s="4" t="s">
        <v>183</v>
      </c>
      <c r="AF156" s="4" t="s">
        <v>844</v>
      </c>
      <c r="AG156" s="4"/>
      <c r="AH156" s="1" t="s">
        <v>183</v>
      </c>
      <c r="AI156" s="1" t="s">
        <v>2819</v>
      </c>
      <c r="AJ156" s="1" t="s">
        <v>183</v>
      </c>
      <c r="AK156" s="1" t="s">
        <v>183</v>
      </c>
    </row>
    <row r="157" spans="1:37" x14ac:dyDescent="0.3">
      <c r="A157" s="94">
        <f t="shared" si="4"/>
        <v>156</v>
      </c>
      <c r="B157" s="39" t="str">
        <f t="shared" si="5"/>
        <v>SPS DRIVER RD DARCH</v>
      </c>
      <c r="C157" s="4" t="s">
        <v>1249</v>
      </c>
      <c r="D157" s="4" t="s">
        <v>1250</v>
      </c>
      <c r="E157" s="4" t="s">
        <v>1106</v>
      </c>
      <c r="F157" s="4" t="s">
        <v>1251</v>
      </c>
      <c r="G157" s="4" t="s">
        <v>1252</v>
      </c>
      <c r="H157" s="4" t="s">
        <v>371</v>
      </c>
      <c r="I157" s="4" t="s">
        <v>2785</v>
      </c>
      <c r="J157" s="4"/>
      <c r="K157" s="4"/>
      <c r="L157" s="4" t="s">
        <v>1253</v>
      </c>
      <c r="M157" s="4" t="s">
        <v>1254</v>
      </c>
      <c r="N157" s="4" t="s">
        <v>478</v>
      </c>
      <c r="O157" s="4">
        <v>2003</v>
      </c>
      <c r="P157" s="4" t="s">
        <v>222</v>
      </c>
      <c r="Q157" s="4" t="s">
        <v>631</v>
      </c>
      <c r="R157" s="4" t="s">
        <v>1255</v>
      </c>
      <c r="S157" s="4" t="s">
        <v>571</v>
      </c>
      <c r="T157" s="4" t="s">
        <v>1256</v>
      </c>
      <c r="U157" s="4">
        <v>630</v>
      </c>
      <c r="V157" s="4">
        <v>22</v>
      </c>
      <c r="W157" s="4">
        <v>415</v>
      </c>
      <c r="X157" s="4" t="s">
        <v>222</v>
      </c>
      <c r="Y157" s="4" t="s">
        <v>222</v>
      </c>
      <c r="Z157" s="4" t="s">
        <v>222</v>
      </c>
      <c r="AA157" s="4" t="s">
        <v>222</v>
      </c>
      <c r="AB157" s="4" t="s">
        <v>222</v>
      </c>
      <c r="AC157" s="4" t="s">
        <v>1257</v>
      </c>
      <c r="AD157" s="4" t="s">
        <v>950</v>
      </c>
      <c r="AE157" s="4" t="s">
        <v>184</v>
      </c>
      <c r="AF157" s="4" t="s">
        <v>839</v>
      </c>
      <c r="AG157" s="4"/>
      <c r="AH157" s="1" t="s">
        <v>183</v>
      </c>
      <c r="AI157" s="1" t="s">
        <v>2815</v>
      </c>
      <c r="AJ157" s="1" t="s">
        <v>184</v>
      </c>
      <c r="AK157" s="1" t="s">
        <v>184</v>
      </c>
    </row>
    <row r="158" spans="1:37" x14ac:dyDescent="0.3">
      <c r="A158" s="94">
        <f t="shared" si="4"/>
        <v>157</v>
      </c>
      <c r="B158" s="39" t="str">
        <f t="shared" si="5"/>
        <v>SPS ROGERS WY LANDSDALE</v>
      </c>
      <c r="C158" s="4" t="s">
        <v>1307</v>
      </c>
      <c r="D158" s="4" t="s">
        <v>1308</v>
      </c>
      <c r="E158" s="4" t="s">
        <v>1106</v>
      </c>
      <c r="F158" s="4" t="s">
        <v>1309</v>
      </c>
      <c r="G158" s="4" t="s">
        <v>1208</v>
      </c>
      <c r="H158" s="4" t="s">
        <v>371</v>
      </c>
      <c r="I158" s="4" t="s">
        <v>2791</v>
      </c>
      <c r="J158" s="4"/>
      <c r="K158" s="4"/>
      <c r="L158" s="4" t="s">
        <v>1310</v>
      </c>
      <c r="M158" s="4" t="s">
        <v>1311</v>
      </c>
      <c r="N158" s="4" t="s">
        <v>279</v>
      </c>
      <c r="O158" s="4">
        <v>1978</v>
      </c>
      <c r="P158" s="4" t="s">
        <v>1284</v>
      </c>
      <c r="Q158" s="4" t="s">
        <v>222</v>
      </c>
      <c r="R158" s="4" t="s">
        <v>1312</v>
      </c>
      <c r="S158" s="4" t="s">
        <v>571</v>
      </c>
      <c r="T158" s="4" t="s">
        <v>1313</v>
      </c>
      <c r="U158" s="4" t="s">
        <v>566</v>
      </c>
      <c r="V158" s="4" t="s">
        <v>222</v>
      </c>
      <c r="W158" s="4" t="s">
        <v>222</v>
      </c>
      <c r="X158" s="4" t="s">
        <v>222</v>
      </c>
      <c r="Y158" s="4" t="s">
        <v>222</v>
      </c>
      <c r="Z158" s="4" t="s">
        <v>222</v>
      </c>
      <c r="AA158" s="4" t="s">
        <v>222</v>
      </c>
      <c r="AB158" s="4" t="s">
        <v>222</v>
      </c>
      <c r="AC158" s="4" t="s">
        <v>1314</v>
      </c>
      <c r="AD158" s="4" t="s">
        <v>950</v>
      </c>
      <c r="AE158" s="4" t="s">
        <v>183</v>
      </c>
      <c r="AF158" s="4" t="s">
        <v>836</v>
      </c>
      <c r="AG158" s="4"/>
      <c r="AH158" s="1" t="s">
        <v>183</v>
      </c>
      <c r="AI158" s="1" t="s">
        <v>2815</v>
      </c>
      <c r="AJ158" s="1" t="s">
        <v>184</v>
      </c>
      <c r="AK158" s="1" t="s">
        <v>184</v>
      </c>
    </row>
    <row r="159" spans="1:37" x14ac:dyDescent="0.3">
      <c r="A159" s="94">
        <f t="shared" si="4"/>
        <v>158</v>
      </c>
      <c r="B159" s="39" t="str">
        <f t="shared" si="5"/>
        <v>SPS SCENIC DR WANNEROO</v>
      </c>
      <c r="C159" s="4" t="s">
        <v>164</v>
      </c>
      <c r="D159" s="4" t="s">
        <v>165</v>
      </c>
      <c r="E159" s="4" t="s">
        <v>858</v>
      </c>
      <c r="F159" s="4" t="s">
        <v>479</v>
      </c>
      <c r="G159" s="4" t="s">
        <v>223</v>
      </c>
      <c r="H159" s="4" t="s">
        <v>371</v>
      </c>
      <c r="I159" s="4" t="s">
        <v>914</v>
      </c>
      <c r="J159" s="4" t="s">
        <v>560</v>
      </c>
      <c r="K159" s="4" t="s">
        <v>733</v>
      </c>
      <c r="L159" s="4" t="s">
        <v>480</v>
      </c>
      <c r="M159" s="4" t="s">
        <v>481</v>
      </c>
      <c r="N159" s="4" t="s">
        <v>232</v>
      </c>
      <c r="O159" s="4">
        <v>2001</v>
      </c>
      <c r="P159" s="4" t="s">
        <v>226</v>
      </c>
      <c r="Q159" s="4" t="s">
        <v>631</v>
      </c>
      <c r="R159" s="4" t="s">
        <v>734</v>
      </c>
      <c r="S159" s="4" t="s">
        <v>571</v>
      </c>
      <c r="T159" s="4" t="s">
        <v>735</v>
      </c>
      <c r="U159" s="4">
        <v>200</v>
      </c>
      <c r="V159" s="4" t="s">
        <v>222</v>
      </c>
      <c r="W159" s="4">
        <v>415</v>
      </c>
      <c r="X159" s="4" t="s">
        <v>222</v>
      </c>
      <c r="Y159" s="4" t="s">
        <v>222</v>
      </c>
      <c r="Z159" s="4" t="s">
        <v>222</v>
      </c>
      <c r="AA159" s="4" t="s">
        <v>222</v>
      </c>
      <c r="AB159" s="4" t="s">
        <v>222</v>
      </c>
      <c r="AC159" s="4" t="s">
        <v>812</v>
      </c>
      <c r="AD159" s="4"/>
      <c r="AE159" s="4" t="s">
        <v>184</v>
      </c>
      <c r="AF159" s="4" t="s">
        <v>839</v>
      </c>
      <c r="AG159" s="4"/>
      <c r="AH159" s="1" t="s">
        <v>183</v>
      </c>
      <c r="AI159" s="1" t="s">
        <v>2815</v>
      </c>
      <c r="AJ159" s="1" t="s">
        <v>184</v>
      </c>
      <c r="AK159" s="1" t="s">
        <v>184</v>
      </c>
    </row>
    <row r="160" spans="1:37" x14ac:dyDescent="0.3">
      <c r="A160" s="94">
        <f t="shared" si="4"/>
        <v>159</v>
      </c>
      <c r="B160" s="39" t="str">
        <f t="shared" si="5"/>
        <v>SPS WARRADALE TCE LANDSDALE</v>
      </c>
      <c r="C160" s="4" t="s">
        <v>1205</v>
      </c>
      <c r="D160" s="4" t="s">
        <v>1206</v>
      </c>
      <c r="E160" s="4" t="s">
        <v>1106</v>
      </c>
      <c r="F160" s="4" t="s">
        <v>1207</v>
      </c>
      <c r="G160" s="4" t="s">
        <v>1208</v>
      </c>
      <c r="H160" s="4" t="s">
        <v>371</v>
      </c>
      <c r="I160" s="4" t="s">
        <v>2781</v>
      </c>
      <c r="J160" s="4"/>
      <c r="K160" s="4"/>
      <c r="L160" s="4" t="s">
        <v>1209</v>
      </c>
      <c r="M160" s="4" t="s">
        <v>1210</v>
      </c>
      <c r="N160" s="4" t="s">
        <v>474</v>
      </c>
      <c r="O160" s="4">
        <v>1995</v>
      </c>
      <c r="P160" s="4" t="s">
        <v>1211</v>
      </c>
      <c r="Q160" s="4" t="s">
        <v>612</v>
      </c>
      <c r="R160" s="4" t="s">
        <v>1212</v>
      </c>
      <c r="S160" s="4" t="s">
        <v>571</v>
      </c>
      <c r="T160" s="4" t="s">
        <v>1213</v>
      </c>
      <c r="U160" s="4" t="s">
        <v>566</v>
      </c>
      <c r="V160" s="4" t="s">
        <v>222</v>
      </c>
      <c r="W160" s="4">
        <v>415</v>
      </c>
      <c r="X160" s="4" t="s">
        <v>222</v>
      </c>
      <c r="Y160" s="4" t="s">
        <v>222</v>
      </c>
      <c r="Z160" s="4" t="s">
        <v>222</v>
      </c>
      <c r="AA160" s="4" t="s">
        <v>222</v>
      </c>
      <c r="AB160" s="4" t="s">
        <v>222</v>
      </c>
      <c r="AC160" s="4" t="s">
        <v>1214</v>
      </c>
      <c r="AD160" s="4" t="s">
        <v>950</v>
      </c>
      <c r="AE160" s="4" t="s">
        <v>183</v>
      </c>
      <c r="AF160" s="4" t="s">
        <v>839</v>
      </c>
      <c r="AG160" s="4"/>
      <c r="AH160" s="1" t="s">
        <v>183</v>
      </c>
      <c r="AI160" s="1" t="s">
        <v>2815</v>
      </c>
      <c r="AJ160" s="1" t="s">
        <v>183</v>
      </c>
      <c r="AK160" s="1" t="s">
        <v>184</v>
      </c>
    </row>
    <row r="161" spans="1:37" x14ac:dyDescent="0.3">
      <c r="A161" s="94">
        <f t="shared" si="4"/>
        <v>160</v>
      </c>
      <c r="B161" s="39" t="str">
        <f t="shared" si="5"/>
        <v>SPS GREENPARK RD ALEXANDER HEIGHTS</v>
      </c>
      <c r="C161" s="4" t="s">
        <v>96</v>
      </c>
      <c r="D161" s="4" t="s">
        <v>97</v>
      </c>
      <c r="E161" s="4" t="s">
        <v>858</v>
      </c>
      <c r="F161" s="4" t="s">
        <v>313</v>
      </c>
      <c r="G161" s="4" t="s">
        <v>314</v>
      </c>
      <c r="H161" s="4" t="s">
        <v>315</v>
      </c>
      <c r="I161" s="4" t="s">
        <v>865</v>
      </c>
      <c r="J161" s="4" t="s">
        <v>560</v>
      </c>
      <c r="K161" s="4" t="s">
        <v>624</v>
      </c>
      <c r="L161" s="4" t="s">
        <v>316</v>
      </c>
      <c r="M161" s="4" t="s">
        <v>317</v>
      </c>
      <c r="N161" s="4" t="s">
        <v>318</v>
      </c>
      <c r="O161" s="4" t="s">
        <v>222</v>
      </c>
      <c r="P161" s="4" t="s">
        <v>866</v>
      </c>
      <c r="Q161" s="4" t="s">
        <v>569</v>
      </c>
      <c r="R161" s="4" t="s">
        <v>625</v>
      </c>
      <c r="S161" s="4" t="s">
        <v>222</v>
      </c>
      <c r="T161" s="4" t="s">
        <v>626</v>
      </c>
      <c r="U161" s="4">
        <v>315</v>
      </c>
      <c r="V161" s="4" t="s">
        <v>222</v>
      </c>
      <c r="W161" s="4" t="s">
        <v>222</v>
      </c>
      <c r="X161" s="4" t="s">
        <v>222</v>
      </c>
      <c r="Y161" s="4" t="s">
        <v>222</v>
      </c>
      <c r="Z161" s="4" t="s">
        <v>222</v>
      </c>
      <c r="AA161" s="4" t="s">
        <v>222</v>
      </c>
      <c r="AB161" s="4" t="s">
        <v>222</v>
      </c>
      <c r="AC161" s="4" t="s">
        <v>778</v>
      </c>
      <c r="AD161" s="4"/>
      <c r="AE161" s="4" t="s">
        <v>183</v>
      </c>
      <c r="AF161" s="4" t="s">
        <v>836</v>
      </c>
      <c r="AG161" s="4"/>
      <c r="AH161" s="1" t="s">
        <v>183</v>
      </c>
      <c r="AI161" s="1" t="s">
        <v>2819</v>
      </c>
      <c r="AJ161" s="1" t="s">
        <v>184</v>
      </c>
      <c r="AK161" s="1" t="s">
        <v>183</v>
      </c>
    </row>
    <row r="162" spans="1:37" x14ac:dyDescent="0.3">
      <c r="A162" s="94">
        <f t="shared" si="4"/>
        <v>161</v>
      </c>
      <c r="B162" s="39" t="str">
        <f t="shared" si="5"/>
        <v>SPS RENDELL WY KOONDOOLA</v>
      </c>
      <c r="C162" s="4" t="s">
        <v>2454</v>
      </c>
      <c r="D162" s="4" t="s">
        <v>2455</v>
      </c>
      <c r="E162" s="4" t="s">
        <v>1497</v>
      </c>
      <c r="F162" s="4" t="s">
        <v>2456</v>
      </c>
      <c r="G162" s="4" t="s">
        <v>2457</v>
      </c>
      <c r="H162" s="4" t="s">
        <v>315</v>
      </c>
      <c r="I162" s="4" t="s">
        <v>3020</v>
      </c>
      <c r="J162" s="4"/>
      <c r="K162" s="4"/>
      <c r="L162" s="4" t="s">
        <v>2458</v>
      </c>
      <c r="M162" s="4" t="s">
        <v>2459</v>
      </c>
      <c r="N162" s="4" t="s">
        <v>1059</v>
      </c>
      <c r="O162" s="4">
        <v>1975</v>
      </c>
      <c r="P162" s="4"/>
      <c r="Q162" s="4" t="s">
        <v>222</v>
      </c>
      <c r="R162" s="4" t="s">
        <v>2460</v>
      </c>
      <c r="S162" s="4" t="s">
        <v>571</v>
      </c>
      <c r="T162" s="4" t="s">
        <v>2461</v>
      </c>
      <c r="U162" s="4" t="s">
        <v>566</v>
      </c>
      <c r="V162" s="4" t="s">
        <v>222</v>
      </c>
      <c r="W162" s="4" t="s">
        <v>222</v>
      </c>
      <c r="X162" s="4" t="s">
        <v>222</v>
      </c>
      <c r="Y162" s="4" t="s">
        <v>222</v>
      </c>
      <c r="Z162" s="4" t="s">
        <v>222</v>
      </c>
      <c r="AA162" s="4" t="s">
        <v>222</v>
      </c>
      <c r="AB162" s="4" t="s">
        <v>222</v>
      </c>
      <c r="AC162" s="4" t="s">
        <v>2462</v>
      </c>
      <c r="AD162" s="4" t="s">
        <v>950</v>
      </c>
      <c r="AE162" s="4" t="s">
        <v>183</v>
      </c>
      <c r="AF162" s="4" t="s">
        <v>849</v>
      </c>
      <c r="AG162" s="4"/>
      <c r="AH162" s="1" t="s">
        <v>183</v>
      </c>
      <c r="AI162" s="1" t="s">
        <v>2815</v>
      </c>
      <c r="AJ162" s="1" t="s">
        <v>184</v>
      </c>
      <c r="AK162" s="1" t="s">
        <v>184</v>
      </c>
    </row>
    <row r="163" spans="1:37" x14ac:dyDescent="0.3">
      <c r="A163" s="94">
        <f t="shared" si="4"/>
        <v>162</v>
      </c>
      <c r="B163" s="39" t="str">
        <f t="shared" si="5"/>
        <v>SPS BENARA RD EAST BEECHBORO</v>
      </c>
      <c r="C163" s="4" t="s">
        <v>124</v>
      </c>
      <c r="D163" s="4" t="s">
        <v>125</v>
      </c>
      <c r="E163" s="4" t="s">
        <v>858</v>
      </c>
      <c r="F163" s="4" t="s">
        <v>385</v>
      </c>
      <c r="G163" s="4" t="s">
        <v>386</v>
      </c>
      <c r="H163" s="4" t="s">
        <v>387</v>
      </c>
      <c r="I163" s="4" t="s">
        <v>886</v>
      </c>
      <c r="J163" s="4" t="s">
        <v>560</v>
      </c>
      <c r="K163" s="4" t="s">
        <v>670</v>
      </c>
      <c r="L163" s="4" t="s">
        <v>388</v>
      </c>
      <c r="M163" s="4" t="s">
        <v>389</v>
      </c>
      <c r="N163" s="4" t="s">
        <v>301</v>
      </c>
      <c r="O163" s="4">
        <v>1971</v>
      </c>
      <c r="P163" s="4" t="s">
        <v>887</v>
      </c>
      <c r="Q163" s="4" t="s">
        <v>631</v>
      </c>
      <c r="R163" s="4" t="s">
        <v>671</v>
      </c>
      <c r="S163" s="4" t="s">
        <v>571</v>
      </c>
      <c r="T163" s="4" t="s">
        <v>672</v>
      </c>
      <c r="U163" s="4">
        <v>300</v>
      </c>
      <c r="V163" s="4">
        <v>22</v>
      </c>
      <c r="W163" s="4">
        <v>440</v>
      </c>
      <c r="X163" s="4" t="s">
        <v>222</v>
      </c>
      <c r="Y163" s="4">
        <v>400</v>
      </c>
      <c r="Z163" s="4">
        <v>14</v>
      </c>
      <c r="AA163" s="4" t="s">
        <v>222</v>
      </c>
      <c r="AB163" s="4" t="s">
        <v>222</v>
      </c>
      <c r="AC163" s="4" t="s">
        <v>792</v>
      </c>
      <c r="AD163" s="4"/>
      <c r="AE163" s="4" t="s">
        <v>184</v>
      </c>
      <c r="AF163" s="4" t="s">
        <v>849</v>
      </c>
      <c r="AG163" s="4"/>
      <c r="AH163" s="1" t="s">
        <v>183</v>
      </c>
      <c r="AI163" s="1" t="s">
        <v>2815</v>
      </c>
      <c r="AJ163" s="1" t="s">
        <v>183</v>
      </c>
      <c r="AK163" s="1" t="s">
        <v>184</v>
      </c>
    </row>
    <row r="164" spans="1:37" x14ac:dyDescent="0.3">
      <c r="A164" s="94">
        <f t="shared" si="4"/>
        <v>163</v>
      </c>
      <c r="B164" s="39" t="str">
        <f t="shared" si="5"/>
        <v>SPS BEECHBORO RD MORLEY</v>
      </c>
      <c r="C164" s="4" t="s">
        <v>1411</v>
      </c>
      <c r="D164" s="4" t="s">
        <v>1412</v>
      </c>
      <c r="E164" s="4" t="s">
        <v>1106</v>
      </c>
      <c r="F164" s="4" t="s">
        <v>1413</v>
      </c>
      <c r="G164" s="4" t="s">
        <v>1414</v>
      </c>
      <c r="H164" s="4" t="s">
        <v>1415</v>
      </c>
      <c r="I164" s="4" t="s">
        <v>2802</v>
      </c>
      <c r="J164" s="4"/>
      <c r="K164" s="4"/>
      <c r="L164" s="4" t="s">
        <v>1416</v>
      </c>
      <c r="M164" s="4" t="s">
        <v>1417</v>
      </c>
      <c r="N164" s="4" t="s">
        <v>285</v>
      </c>
      <c r="O164" s="4">
        <v>1981</v>
      </c>
      <c r="P164" s="4" t="s">
        <v>1390</v>
      </c>
      <c r="Q164" s="4" t="s">
        <v>612</v>
      </c>
      <c r="R164" s="4" t="s">
        <v>1418</v>
      </c>
      <c r="S164" s="4" t="s">
        <v>571</v>
      </c>
      <c r="T164" s="4" t="s">
        <v>1419</v>
      </c>
      <c r="U164" s="4" t="s">
        <v>566</v>
      </c>
      <c r="V164" s="4" t="s">
        <v>222</v>
      </c>
      <c r="W164" s="4" t="s">
        <v>222</v>
      </c>
      <c r="X164" s="4" t="s">
        <v>222</v>
      </c>
      <c r="Y164" s="4" t="s">
        <v>222</v>
      </c>
      <c r="Z164" s="4" t="s">
        <v>222</v>
      </c>
      <c r="AA164" s="4" t="s">
        <v>222</v>
      </c>
      <c r="AB164" s="4" t="s">
        <v>222</v>
      </c>
      <c r="AC164" s="4" t="s">
        <v>1420</v>
      </c>
      <c r="AD164" s="4" t="s">
        <v>950</v>
      </c>
      <c r="AE164" s="4" t="s">
        <v>183</v>
      </c>
      <c r="AF164" s="4" t="s">
        <v>849</v>
      </c>
      <c r="AG164" s="4"/>
      <c r="AH164" s="1" t="s">
        <v>183</v>
      </c>
      <c r="AI164" s="1" t="s">
        <v>2815</v>
      </c>
      <c r="AJ164" s="1" t="s">
        <v>183</v>
      </c>
      <c r="AK164" s="1" t="s">
        <v>184</v>
      </c>
    </row>
    <row r="165" spans="1:37" x14ac:dyDescent="0.3">
      <c r="A165" s="94">
        <f t="shared" si="4"/>
        <v>164</v>
      </c>
      <c r="B165" s="39" t="str">
        <f t="shared" si="5"/>
        <v>SPS DOG SWAMP YOKINE</v>
      </c>
      <c r="C165" s="4" t="s">
        <v>148</v>
      </c>
      <c r="D165" s="4" t="s">
        <v>149</v>
      </c>
      <c r="E165" s="4" t="s">
        <v>858</v>
      </c>
      <c r="F165" s="4" t="s">
        <v>440</v>
      </c>
      <c r="G165" s="4" t="s">
        <v>441</v>
      </c>
      <c r="H165" s="4" t="s">
        <v>442</v>
      </c>
      <c r="I165" s="4" t="s">
        <v>904</v>
      </c>
      <c r="J165" s="4" t="s">
        <v>560</v>
      </c>
      <c r="K165" s="4" t="s">
        <v>710</v>
      </c>
      <c r="L165" s="4" t="s">
        <v>443</v>
      </c>
      <c r="M165" s="4" t="s">
        <v>444</v>
      </c>
      <c r="N165" s="4" t="s">
        <v>445</v>
      </c>
      <c r="O165" s="4">
        <v>2000</v>
      </c>
      <c r="P165" s="4" t="s">
        <v>905</v>
      </c>
      <c r="Q165" s="4" t="s">
        <v>569</v>
      </c>
      <c r="R165" s="4" t="s">
        <v>711</v>
      </c>
      <c r="S165" s="4" t="s">
        <v>222</v>
      </c>
      <c r="T165" s="4" t="s">
        <v>712</v>
      </c>
      <c r="U165" s="4">
        <v>315</v>
      </c>
      <c r="V165" s="4" t="s">
        <v>222</v>
      </c>
      <c r="W165" s="4" t="s">
        <v>222</v>
      </c>
      <c r="X165" s="4" t="s">
        <v>222</v>
      </c>
      <c r="Y165" s="4" t="s">
        <v>222</v>
      </c>
      <c r="Z165" s="4" t="s">
        <v>222</v>
      </c>
      <c r="AA165" s="4" t="s">
        <v>222</v>
      </c>
      <c r="AB165" s="4" t="s">
        <v>222</v>
      </c>
      <c r="AC165" s="4" t="s">
        <v>804</v>
      </c>
      <c r="AD165" s="4"/>
      <c r="AE165" s="4" t="s">
        <v>183</v>
      </c>
      <c r="AF165" s="4" t="s">
        <v>849</v>
      </c>
      <c r="AG165" s="4"/>
      <c r="AH165" s="1" t="s">
        <v>183</v>
      </c>
      <c r="AI165" s="1" t="s">
        <v>2815</v>
      </c>
      <c r="AJ165" s="1" t="s">
        <v>184</v>
      </c>
      <c r="AK165" s="1" t="s">
        <v>184</v>
      </c>
    </row>
    <row r="166" spans="1:37" x14ac:dyDescent="0.3">
      <c r="A166" s="94">
        <f t="shared" si="4"/>
        <v>165</v>
      </c>
      <c r="B166" s="39" t="str">
        <f t="shared" si="5"/>
        <v>SPS WORDSWORTH AV YOKINE</v>
      </c>
      <c r="C166" s="4" t="s">
        <v>1403</v>
      </c>
      <c r="D166" s="4" t="s">
        <v>1404</v>
      </c>
      <c r="E166" s="4" t="s">
        <v>1106</v>
      </c>
      <c r="F166" s="4" t="s">
        <v>1405</v>
      </c>
      <c r="G166" s="4" t="s">
        <v>441</v>
      </c>
      <c r="H166" s="4" t="s">
        <v>442</v>
      </c>
      <c r="I166" s="4" t="s">
        <v>2801</v>
      </c>
      <c r="J166" s="4"/>
      <c r="K166" s="4"/>
      <c r="L166" s="4" t="s">
        <v>1406</v>
      </c>
      <c r="M166" s="4" t="s">
        <v>1407</v>
      </c>
      <c r="N166" s="4" t="s">
        <v>1244</v>
      </c>
      <c r="O166" s="4">
        <v>1998</v>
      </c>
      <c r="P166" s="4" t="s">
        <v>222</v>
      </c>
      <c r="Q166" s="4" t="s">
        <v>631</v>
      </c>
      <c r="R166" s="4" t="s">
        <v>1408</v>
      </c>
      <c r="S166" s="4" t="s">
        <v>571</v>
      </c>
      <c r="T166" s="4" t="s">
        <v>1409</v>
      </c>
      <c r="U166" s="4">
        <v>300</v>
      </c>
      <c r="V166" s="4" t="s">
        <v>222</v>
      </c>
      <c r="W166" s="4" t="s">
        <v>222</v>
      </c>
      <c r="X166" s="4" t="s">
        <v>222</v>
      </c>
      <c r="Y166" s="4" t="s">
        <v>222</v>
      </c>
      <c r="Z166" s="4" t="s">
        <v>222</v>
      </c>
      <c r="AA166" s="4" t="s">
        <v>222</v>
      </c>
      <c r="AB166" s="4" t="s">
        <v>222</v>
      </c>
      <c r="AC166" s="4" t="s">
        <v>1410</v>
      </c>
      <c r="AD166" s="4" t="s">
        <v>950</v>
      </c>
      <c r="AE166" s="4" t="s">
        <v>183</v>
      </c>
      <c r="AF166" s="4" t="s">
        <v>849</v>
      </c>
      <c r="AG166" s="4"/>
      <c r="AH166" s="1" t="s">
        <v>183</v>
      </c>
      <c r="AI166" s="1" t="s">
        <v>2815</v>
      </c>
      <c r="AJ166" s="1" t="s">
        <v>183</v>
      </c>
      <c r="AK166" s="1" t="s">
        <v>184</v>
      </c>
    </row>
    <row r="167" spans="1:37" x14ac:dyDescent="0.3">
      <c r="A167" s="94">
        <f t="shared" si="4"/>
        <v>166</v>
      </c>
      <c r="B167" s="39" t="str">
        <f t="shared" si="5"/>
        <v>SPS CRESSWELL RD DIANELLA</v>
      </c>
      <c r="C167" s="4" t="s">
        <v>68</v>
      </c>
      <c r="D167" s="4" t="s">
        <v>69</v>
      </c>
      <c r="E167" s="4" t="s">
        <v>831</v>
      </c>
      <c r="F167" s="4" t="s">
        <v>233</v>
      </c>
      <c r="G167" s="4" t="s">
        <v>234</v>
      </c>
      <c r="H167" s="4" t="s">
        <v>235</v>
      </c>
      <c r="I167" s="4" t="s">
        <v>834</v>
      </c>
      <c r="J167" s="4" t="s">
        <v>560</v>
      </c>
      <c r="K167" s="4" t="s">
        <v>568</v>
      </c>
      <c r="L167" s="4" t="s">
        <v>236</v>
      </c>
      <c r="M167" s="4" t="s">
        <v>237</v>
      </c>
      <c r="N167" s="4" t="s">
        <v>238</v>
      </c>
      <c r="O167" s="4">
        <v>2004</v>
      </c>
      <c r="P167" s="4" t="s">
        <v>835</v>
      </c>
      <c r="Q167" s="4" t="s">
        <v>569</v>
      </c>
      <c r="R167" s="4" t="s">
        <v>570</v>
      </c>
      <c r="S167" s="4" t="s">
        <v>571</v>
      </c>
      <c r="T167" s="4" t="s">
        <v>572</v>
      </c>
      <c r="U167" s="4">
        <v>630</v>
      </c>
      <c r="V167" s="4">
        <v>11</v>
      </c>
      <c r="W167" s="4">
        <v>440</v>
      </c>
      <c r="X167" s="4">
        <v>415</v>
      </c>
      <c r="Y167" s="4">
        <v>2400</v>
      </c>
      <c r="Z167" s="4">
        <v>50</v>
      </c>
      <c r="AA167" s="4" t="s">
        <v>222</v>
      </c>
      <c r="AB167" s="4" t="s">
        <v>222</v>
      </c>
      <c r="AC167" s="4" t="s">
        <v>764</v>
      </c>
      <c r="AD167" s="4"/>
      <c r="AE167" s="4" t="s">
        <v>184</v>
      </c>
      <c r="AF167" s="4" t="s">
        <v>836</v>
      </c>
      <c r="AG167" s="4"/>
      <c r="AH167" s="1" t="s">
        <v>183</v>
      </c>
      <c r="AI167" s="1" t="s">
        <v>2815</v>
      </c>
      <c r="AJ167" s="1" t="s">
        <v>183</v>
      </c>
      <c r="AK167" s="1" t="s">
        <v>184</v>
      </c>
    </row>
    <row r="168" spans="1:37" x14ac:dyDescent="0.3">
      <c r="A168" s="94">
        <f t="shared" si="4"/>
        <v>167</v>
      </c>
      <c r="B168" s="39" t="str">
        <f t="shared" si="5"/>
        <v>SPS CROYDON ST DIANELLA</v>
      </c>
      <c r="C168" s="4" t="s">
        <v>1459</v>
      </c>
      <c r="D168" s="4" t="s">
        <v>1460</v>
      </c>
      <c r="E168" s="4" t="s">
        <v>1106</v>
      </c>
      <c r="F168" s="4" t="s">
        <v>1461</v>
      </c>
      <c r="G168" s="4" t="s">
        <v>234</v>
      </c>
      <c r="H168" s="4" t="s">
        <v>235</v>
      </c>
      <c r="I168" s="4" t="s">
        <v>2807</v>
      </c>
      <c r="J168" s="4"/>
      <c r="K168" s="4"/>
      <c r="L168" s="4" t="s">
        <v>1462</v>
      </c>
      <c r="M168" s="4" t="s">
        <v>1463</v>
      </c>
      <c r="N168" s="4" t="s">
        <v>1320</v>
      </c>
      <c r="O168" s="4">
        <v>1983</v>
      </c>
      <c r="P168" s="4" t="s">
        <v>222</v>
      </c>
      <c r="Q168" s="4" t="s">
        <v>631</v>
      </c>
      <c r="R168" s="4" t="s">
        <v>1464</v>
      </c>
      <c r="S168" s="4" t="s">
        <v>571</v>
      </c>
      <c r="T168" s="4" t="s">
        <v>1465</v>
      </c>
      <c r="U168" s="4" t="s">
        <v>566</v>
      </c>
      <c r="V168" s="4" t="s">
        <v>222</v>
      </c>
      <c r="W168" s="4" t="s">
        <v>222</v>
      </c>
      <c r="X168" s="4">
        <v>415</v>
      </c>
      <c r="Y168" s="4" t="s">
        <v>222</v>
      </c>
      <c r="Z168" s="4" t="s">
        <v>222</v>
      </c>
      <c r="AA168" s="4" t="s">
        <v>222</v>
      </c>
      <c r="AB168" s="4" t="s">
        <v>222</v>
      </c>
      <c r="AC168" s="4" t="s">
        <v>1466</v>
      </c>
      <c r="AD168" s="4" t="s">
        <v>950</v>
      </c>
      <c r="AE168" s="4" t="s">
        <v>183</v>
      </c>
      <c r="AF168" s="4" t="s">
        <v>836</v>
      </c>
      <c r="AG168" s="4"/>
      <c r="AH168" s="1" t="s">
        <v>183</v>
      </c>
      <c r="AI168" s="1" t="s">
        <v>2815</v>
      </c>
      <c r="AJ168" s="1" t="s">
        <v>183</v>
      </c>
      <c r="AK168" s="1" t="s">
        <v>184</v>
      </c>
    </row>
    <row r="169" spans="1:37" x14ac:dyDescent="0.3">
      <c r="A169" s="94">
        <f t="shared" si="4"/>
        <v>168</v>
      </c>
      <c r="B169" s="39" t="str">
        <f t="shared" si="5"/>
        <v>SPS DUBS CL FORRESTFIELD</v>
      </c>
      <c r="C169" s="4" t="s">
        <v>1237</v>
      </c>
      <c r="D169" s="4" t="s">
        <v>1238</v>
      </c>
      <c r="E169" s="4" t="s">
        <v>1106</v>
      </c>
      <c r="F169" s="4" t="s">
        <v>1239</v>
      </c>
      <c r="G169" s="4" t="s">
        <v>1240</v>
      </c>
      <c r="H169" s="4" t="s">
        <v>1241</v>
      </c>
      <c r="I169" s="4" t="s">
        <v>2784</v>
      </c>
      <c r="J169" s="4"/>
      <c r="K169" s="4"/>
      <c r="L169" s="4" t="s">
        <v>1242</v>
      </c>
      <c r="M169" s="4" t="s">
        <v>1243</v>
      </c>
      <c r="N169" s="4" t="s">
        <v>1244</v>
      </c>
      <c r="O169" s="4">
        <v>1998</v>
      </c>
      <c r="P169" s="4" t="s">
        <v>1245</v>
      </c>
      <c r="Q169" s="4" t="s">
        <v>631</v>
      </c>
      <c r="R169" s="4" t="s">
        <v>1246</v>
      </c>
      <c r="S169" s="4" t="s">
        <v>571</v>
      </c>
      <c r="T169" s="4" t="s">
        <v>1247</v>
      </c>
      <c r="U169" s="4">
        <v>100</v>
      </c>
      <c r="V169" s="4" t="s">
        <v>222</v>
      </c>
      <c r="W169" s="4">
        <v>415</v>
      </c>
      <c r="X169" s="4" t="s">
        <v>222</v>
      </c>
      <c r="Y169" s="4" t="s">
        <v>222</v>
      </c>
      <c r="Z169" s="4" t="s">
        <v>222</v>
      </c>
      <c r="AA169" s="4" t="s">
        <v>222</v>
      </c>
      <c r="AB169" s="4" t="s">
        <v>222</v>
      </c>
      <c r="AC169" s="4" t="s">
        <v>1248</v>
      </c>
      <c r="AD169" s="4" t="s">
        <v>938</v>
      </c>
      <c r="AE169" s="4" t="s">
        <v>183</v>
      </c>
      <c r="AF169" s="4" t="s">
        <v>849</v>
      </c>
      <c r="AG169" s="4"/>
      <c r="AH169" s="1" t="s">
        <v>183</v>
      </c>
      <c r="AI169" s="1" t="s">
        <v>2815</v>
      </c>
      <c r="AJ169" s="1" t="s">
        <v>184</v>
      </c>
      <c r="AK169" s="1" t="s">
        <v>184</v>
      </c>
    </row>
    <row r="170" spans="1:37" x14ac:dyDescent="0.3">
      <c r="A170" s="94">
        <f t="shared" si="4"/>
        <v>169</v>
      </c>
      <c r="B170" s="39" t="str">
        <f t="shared" si="5"/>
        <v>SPS WITTENOOM RD HIGH WYCOMBE</v>
      </c>
      <c r="C170" s="4" t="s">
        <v>122</v>
      </c>
      <c r="D170" s="4" t="s">
        <v>123</v>
      </c>
      <c r="E170" s="4" t="s">
        <v>858</v>
      </c>
      <c r="F170" s="4" t="s">
        <v>380</v>
      </c>
      <c r="G170" s="4" t="s">
        <v>381</v>
      </c>
      <c r="H170" s="4" t="s">
        <v>382</v>
      </c>
      <c r="I170" s="4" t="s">
        <v>884</v>
      </c>
      <c r="J170" s="4" t="s">
        <v>560</v>
      </c>
      <c r="K170" s="4" t="s">
        <v>667</v>
      </c>
      <c r="L170" s="4" t="s">
        <v>383</v>
      </c>
      <c r="M170" s="4" t="s">
        <v>384</v>
      </c>
      <c r="N170" s="4" t="s">
        <v>360</v>
      </c>
      <c r="O170" s="4">
        <v>1984</v>
      </c>
      <c r="P170" s="4" t="s">
        <v>885</v>
      </c>
      <c r="Q170" s="4" t="s">
        <v>612</v>
      </c>
      <c r="R170" s="4" t="s">
        <v>668</v>
      </c>
      <c r="S170" s="4" t="s">
        <v>602</v>
      </c>
      <c r="T170" s="4" t="s">
        <v>669</v>
      </c>
      <c r="U170" s="4" t="s">
        <v>566</v>
      </c>
      <c r="V170" s="4" t="s">
        <v>222</v>
      </c>
      <c r="W170" s="4" t="s">
        <v>222</v>
      </c>
      <c r="X170" s="4" t="s">
        <v>222</v>
      </c>
      <c r="Y170" s="4" t="s">
        <v>222</v>
      </c>
      <c r="Z170" s="4" t="s">
        <v>222</v>
      </c>
      <c r="AA170" s="4" t="s">
        <v>222</v>
      </c>
      <c r="AB170" s="4" t="s">
        <v>222</v>
      </c>
      <c r="AC170" s="4" t="s">
        <v>791</v>
      </c>
      <c r="AD170" s="4"/>
      <c r="AE170" s="4" t="s">
        <v>183</v>
      </c>
      <c r="AF170" s="4" t="s">
        <v>844</v>
      </c>
      <c r="AG170" s="4"/>
      <c r="AH170" s="1" t="s">
        <v>183</v>
      </c>
      <c r="AI170" s="1" t="s">
        <v>2819</v>
      </c>
      <c r="AJ170" s="1" t="s">
        <v>183</v>
      </c>
      <c r="AK170" s="1" t="s">
        <v>184</v>
      </c>
    </row>
    <row r="171" spans="1:37" x14ac:dyDescent="0.3">
      <c r="A171" s="94">
        <f t="shared" si="4"/>
        <v>170</v>
      </c>
      <c r="B171" s="39" t="str">
        <f t="shared" si="5"/>
        <v>SPS WORRELL AV HIGH WYCOMBE</v>
      </c>
      <c r="C171" s="4" t="s">
        <v>2736</v>
      </c>
      <c r="D171" s="4" t="s">
        <v>2737</v>
      </c>
      <c r="E171" s="4" t="s">
        <v>1497</v>
      </c>
      <c r="F171" s="4" t="s">
        <v>2738</v>
      </c>
      <c r="G171" s="4" t="s">
        <v>381</v>
      </c>
      <c r="H171" s="4" t="s">
        <v>382</v>
      </c>
      <c r="I171" s="4" t="s">
        <v>3053</v>
      </c>
      <c r="J171" s="4"/>
      <c r="K171" s="4"/>
      <c r="L171" s="4" t="s">
        <v>2739</v>
      </c>
      <c r="M171" s="4" t="s">
        <v>2740</v>
      </c>
      <c r="N171" s="4" t="s">
        <v>360</v>
      </c>
      <c r="O171" s="4">
        <v>1991</v>
      </c>
      <c r="P171" s="4"/>
      <c r="Q171" s="4" t="s">
        <v>612</v>
      </c>
      <c r="R171" s="4" t="s">
        <v>2741</v>
      </c>
      <c r="S171" s="4" t="s">
        <v>571</v>
      </c>
      <c r="T171" s="4" t="s">
        <v>2742</v>
      </c>
      <c r="U171" s="4" t="s">
        <v>566</v>
      </c>
      <c r="V171" s="4" t="s">
        <v>222</v>
      </c>
      <c r="W171" s="4">
        <v>415</v>
      </c>
      <c r="X171" s="4" t="s">
        <v>222</v>
      </c>
      <c r="Y171" s="4" t="s">
        <v>222</v>
      </c>
      <c r="Z171" s="4" t="s">
        <v>222</v>
      </c>
      <c r="AA171" s="4" t="s">
        <v>222</v>
      </c>
      <c r="AB171" s="4" t="s">
        <v>222</v>
      </c>
      <c r="AC171" s="4" t="s">
        <v>2743</v>
      </c>
      <c r="AD171" s="4" t="s">
        <v>938</v>
      </c>
      <c r="AE171" s="4" t="s">
        <v>183</v>
      </c>
      <c r="AF171" s="4" t="s">
        <v>849</v>
      </c>
      <c r="AG171" s="4"/>
      <c r="AH171" s="1" t="s">
        <v>183</v>
      </c>
      <c r="AI171" s="1" t="s">
        <v>2819</v>
      </c>
      <c r="AJ171" s="1" t="s">
        <v>183</v>
      </c>
      <c r="AK171" s="1" t="s">
        <v>183</v>
      </c>
    </row>
    <row r="172" spans="1:37" x14ac:dyDescent="0.3">
      <c r="A172" s="94">
        <f t="shared" si="4"/>
        <v>171</v>
      </c>
      <c r="B172" s="39" t="str">
        <f t="shared" si="5"/>
        <v>SPS DE GREY RTT JANE BROOK</v>
      </c>
      <c r="C172" s="4" t="s">
        <v>1821</v>
      </c>
      <c r="D172" s="4" t="s">
        <v>1822</v>
      </c>
      <c r="E172" s="4" t="s">
        <v>1497</v>
      </c>
      <c r="F172" s="4" t="s">
        <v>1823</v>
      </c>
      <c r="G172" s="4" t="s">
        <v>1824</v>
      </c>
      <c r="H172" s="4" t="s">
        <v>270</v>
      </c>
      <c r="I172" s="4" t="s">
        <v>2944</v>
      </c>
      <c r="J172" s="4"/>
      <c r="K172" s="4"/>
      <c r="L172" s="4" t="s">
        <v>1825</v>
      </c>
      <c r="M172" s="4" t="s">
        <v>1826</v>
      </c>
      <c r="N172" s="4" t="s">
        <v>416</v>
      </c>
      <c r="O172" s="4">
        <v>2001</v>
      </c>
      <c r="P172" s="4"/>
      <c r="Q172" s="4" t="s">
        <v>612</v>
      </c>
      <c r="R172" s="4" t="s">
        <v>1827</v>
      </c>
      <c r="S172" s="4" t="s">
        <v>571</v>
      </c>
      <c r="T172" s="4" t="s">
        <v>1828</v>
      </c>
      <c r="U172" s="4" t="s">
        <v>566</v>
      </c>
      <c r="V172" s="4" t="s">
        <v>222</v>
      </c>
      <c r="W172" s="4">
        <v>415</v>
      </c>
      <c r="X172" s="4" t="s">
        <v>222</v>
      </c>
      <c r="Y172" s="4" t="s">
        <v>222</v>
      </c>
      <c r="Z172" s="4" t="s">
        <v>222</v>
      </c>
      <c r="AA172" s="4" t="s">
        <v>222</v>
      </c>
      <c r="AB172" s="4" t="s">
        <v>222</v>
      </c>
      <c r="AC172" s="4" t="s">
        <v>1829</v>
      </c>
      <c r="AD172" s="4" t="s">
        <v>950</v>
      </c>
      <c r="AE172" s="4" t="s">
        <v>183</v>
      </c>
      <c r="AF172" s="4" t="s">
        <v>836</v>
      </c>
      <c r="AG172" s="4"/>
      <c r="AH172" s="1" t="s">
        <v>183</v>
      </c>
      <c r="AI172" s="1" t="s">
        <v>2815</v>
      </c>
      <c r="AJ172" s="1" t="s">
        <v>184</v>
      </c>
      <c r="AK172" s="1" t="s">
        <v>184</v>
      </c>
    </row>
    <row r="173" spans="1:37" x14ac:dyDescent="0.3">
      <c r="A173" s="94">
        <f t="shared" si="4"/>
        <v>172</v>
      </c>
      <c r="B173" s="39" t="str">
        <f t="shared" si="5"/>
        <v>SPS ELDER WY BELLEVUE</v>
      </c>
      <c r="C173" s="4" t="s">
        <v>1881</v>
      </c>
      <c r="D173" s="4" t="s">
        <v>1882</v>
      </c>
      <c r="E173" s="4" t="s">
        <v>1497</v>
      </c>
      <c r="F173" s="4" t="s">
        <v>1883</v>
      </c>
      <c r="G173" s="4" t="s">
        <v>1884</v>
      </c>
      <c r="H173" s="4" t="s">
        <v>270</v>
      </c>
      <c r="I173" s="4" t="s">
        <v>2951</v>
      </c>
      <c r="J173" s="4"/>
      <c r="K173" s="4"/>
      <c r="L173" s="4" t="s">
        <v>1885</v>
      </c>
      <c r="M173" s="4" t="s">
        <v>1886</v>
      </c>
      <c r="N173" s="4" t="s">
        <v>296</v>
      </c>
      <c r="O173" s="4">
        <v>1978</v>
      </c>
      <c r="P173" s="4"/>
      <c r="Q173" s="4" t="s">
        <v>222</v>
      </c>
      <c r="R173" s="4" t="s">
        <v>1887</v>
      </c>
      <c r="S173" s="4" t="s">
        <v>571</v>
      </c>
      <c r="T173" s="4" t="s">
        <v>1888</v>
      </c>
      <c r="U173" s="4" t="s">
        <v>222</v>
      </c>
      <c r="V173" s="4" t="s">
        <v>222</v>
      </c>
      <c r="W173" s="4" t="s">
        <v>222</v>
      </c>
      <c r="X173" s="4">
        <v>440</v>
      </c>
      <c r="Y173" s="4" t="s">
        <v>222</v>
      </c>
      <c r="Z173" s="4" t="s">
        <v>222</v>
      </c>
      <c r="AA173" s="4" t="s">
        <v>222</v>
      </c>
      <c r="AB173" s="4" t="s">
        <v>222</v>
      </c>
      <c r="AC173" s="4" t="s">
        <v>1889</v>
      </c>
      <c r="AD173" s="4" t="s">
        <v>950</v>
      </c>
      <c r="AE173" s="4" t="s">
        <v>183</v>
      </c>
      <c r="AF173" s="4" t="s">
        <v>836</v>
      </c>
      <c r="AG173" s="4"/>
      <c r="AH173" s="1" t="s">
        <v>183</v>
      </c>
      <c r="AI173" s="1" t="s">
        <v>2815</v>
      </c>
      <c r="AJ173" s="1" t="s">
        <v>184</v>
      </c>
      <c r="AK173" s="1" t="s">
        <v>184</v>
      </c>
    </row>
    <row r="174" spans="1:37" x14ac:dyDescent="0.3">
      <c r="A174" s="94">
        <f t="shared" si="4"/>
        <v>173</v>
      </c>
      <c r="B174" s="39" t="str">
        <f t="shared" si="5"/>
        <v>SPS ELVIRE ST VIVEASH</v>
      </c>
      <c r="C174" s="4" t="s">
        <v>1898</v>
      </c>
      <c r="D174" s="4" t="s">
        <v>1899</v>
      </c>
      <c r="E174" s="4" t="s">
        <v>1497</v>
      </c>
      <c r="F174" s="4" t="s">
        <v>1900</v>
      </c>
      <c r="G174" s="4" t="s">
        <v>1901</v>
      </c>
      <c r="H174" s="4" t="s">
        <v>270</v>
      </c>
      <c r="I174" s="4" t="s">
        <v>2953</v>
      </c>
      <c r="J174" s="4"/>
      <c r="K174" s="4"/>
      <c r="L174" s="4" t="s">
        <v>1902</v>
      </c>
      <c r="M174" s="4" t="s">
        <v>1903</v>
      </c>
      <c r="N174" s="4" t="s">
        <v>1512</v>
      </c>
      <c r="O174" s="4">
        <v>1985</v>
      </c>
      <c r="P174" s="4"/>
      <c r="Q174" s="4" t="s">
        <v>612</v>
      </c>
      <c r="R174" s="4" t="s">
        <v>1904</v>
      </c>
      <c r="S174" s="4" t="s">
        <v>602</v>
      </c>
      <c r="T174" s="4" t="s">
        <v>1905</v>
      </c>
      <c r="U174" s="4" t="s">
        <v>566</v>
      </c>
      <c r="V174" s="4" t="s">
        <v>222</v>
      </c>
      <c r="W174" s="4" t="s">
        <v>222</v>
      </c>
      <c r="X174" s="4" t="s">
        <v>222</v>
      </c>
      <c r="Y174" s="4" t="s">
        <v>222</v>
      </c>
      <c r="Z174" s="4" t="s">
        <v>222</v>
      </c>
      <c r="AA174" s="4" t="s">
        <v>222</v>
      </c>
      <c r="AB174" s="4" t="s">
        <v>222</v>
      </c>
      <c r="AC174" s="4" t="s">
        <v>1906</v>
      </c>
      <c r="AD174" s="4" t="s">
        <v>950</v>
      </c>
      <c r="AE174" s="4" t="s">
        <v>183</v>
      </c>
      <c r="AF174" s="4" t="s">
        <v>844</v>
      </c>
      <c r="AG174" s="4"/>
      <c r="AH174" s="1" t="s">
        <v>183</v>
      </c>
      <c r="AI174" s="1" t="s">
        <v>2819</v>
      </c>
      <c r="AJ174" s="1" t="s">
        <v>183</v>
      </c>
      <c r="AK174" s="1" t="s">
        <v>183</v>
      </c>
    </row>
    <row r="175" spans="1:37" x14ac:dyDescent="0.3">
      <c r="A175" s="94">
        <f t="shared" si="4"/>
        <v>174</v>
      </c>
      <c r="B175" s="39" t="str">
        <f t="shared" si="5"/>
        <v>SPS EVELINE RD MIDDLE SWAN</v>
      </c>
      <c r="C175" s="4" t="s">
        <v>1907</v>
      </c>
      <c r="D175" s="4" t="s">
        <v>1908</v>
      </c>
      <c r="E175" s="4" t="s">
        <v>1497</v>
      </c>
      <c r="F175" s="4" t="s">
        <v>1909</v>
      </c>
      <c r="G175" s="4" t="s">
        <v>1034</v>
      </c>
      <c r="H175" s="4" t="s">
        <v>270</v>
      </c>
      <c r="I175" s="4" t="s">
        <v>2954</v>
      </c>
      <c r="J175" s="4"/>
      <c r="K175" s="4"/>
      <c r="L175" s="4" t="s">
        <v>1910</v>
      </c>
      <c r="M175" s="4" t="s">
        <v>1911</v>
      </c>
      <c r="N175" s="4" t="s">
        <v>1244</v>
      </c>
      <c r="O175" s="4">
        <v>2000</v>
      </c>
      <c r="P175" s="4"/>
      <c r="Q175" s="4" t="s">
        <v>631</v>
      </c>
      <c r="R175" s="4" t="s">
        <v>1912</v>
      </c>
      <c r="S175" s="4" t="s">
        <v>571</v>
      </c>
      <c r="T175" s="4" t="s">
        <v>1913</v>
      </c>
      <c r="U175" s="4" t="s">
        <v>566</v>
      </c>
      <c r="V175" s="4" t="s">
        <v>222</v>
      </c>
      <c r="W175" s="4">
        <v>415</v>
      </c>
      <c r="X175" s="4" t="s">
        <v>222</v>
      </c>
      <c r="Y175" s="4" t="s">
        <v>222</v>
      </c>
      <c r="Z175" s="4" t="s">
        <v>222</v>
      </c>
      <c r="AA175" s="4" t="s">
        <v>222</v>
      </c>
      <c r="AB175" s="4" t="s">
        <v>222</v>
      </c>
      <c r="AC175" s="4" t="s">
        <v>1914</v>
      </c>
      <c r="AD175" s="4" t="s">
        <v>950</v>
      </c>
      <c r="AE175" s="4" t="s">
        <v>183</v>
      </c>
      <c r="AF175" s="4" t="s">
        <v>836</v>
      </c>
      <c r="AG175" s="4"/>
      <c r="AH175" s="1" t="s">
        <v>183</v>
      </c>
      <c r="AI175" s="1" t="s">
        <v>1750</v>
      </c>
      <c r="AJ175" s="1" t="s">
        <v>184</v>
      </c>
      <c r="AK175" s="1" t="s">
        <v>184</v>
      </c>
    </row>
    <row r="176" spans="1:37" x14ac:dyDescent="0.3">
      <c r="A176" s="94">
        <f t="shared" si="4"/>
        <v>175</v>
      </c>
      <c r="B176" s="39" t="str">
        <f t="shared" si="5"/>
        <v>SPS FLORA ST MIDLAND</v>
      </c>
      <c r="C176" s="4" t="s">
        <v>80</v>
      </c>
      <c r="D176" s="4" t="s">
        <v>81</v>
      </c>
      <c r="E176" s="4" t="s">
        <v>831</v>
      </c>
      <c r="F176" s="4" t="s">
        <v>268</v>
      </c>
      <c r="G176" s="4" t="s">
        <v>269</v>
      </c>
      <c r="H176" s="4" t="s">
        <v>270</v>
      </c>
      <c r="I176" s="4" t="s">
        <v>850</v>
      </c>
      <c r="J176" s="4" t="s">
        <v>560</v>
      </c>
      <c r="K176" s="4" t="s">
        <v>594</v>
      </c>
      <c r="L176" s="4" t="s">
        <v>271</v>
      </c>
      <c r="M176" s="4" t="s">
        <v>272</v>
      </c>
      <c r="N176" s="4" t="s">
        <v>273</v>
      </c>
      <c r="O176" s="4">
        <v>1976</v>
      </c>
      <c r="P176" s="4" t="s">
        <v>851</v>
      </c>
      <c r="Q176" s="4" t="s">
        <v>222</v>
      </c>
      <c r="R176" s="4" t="s">
        <v>595</v>
      </c>
      <c r="S176" s="4" t="s">
        <v>596</v>
      </c>
      <c r="T176" s="4" t="s">
        <v>222</v>
      </c>
      <c r="U176" s="4">
        <v>500</v>
      </c>
      <c r="V176" s="4" t="s">
        <v>222</v>
      </c>
      <c r="W176" s="4" t="s">
        <v>222</v>
      </c>
      <c r="X176" s="4" t="s">
        <v>222</v>
      </c>
      <c r="Y176" s="4" t="s">
        <v>222</v>
      </c>
      <c r="Z176" s="4" t="s">
        <v>222</v>
      </c>
      <c r="AA176" s="4" t="s">
        <v>222</v>
      </c>
      <c r="AB176" s="4" t="s">
        <v>222</v>
      </c>
      <c r="AC176" s="4" t="s">
        <v>770</v>
      </c>
      <c r="AD176" s="4"/>
      <c r="AE176" s="4" t="s">
        <v>184</v>
      </c>
      <c r="AF176" s="4" t="s">
        <v>836</v>
      </c>
      <c r="AG176" s="4"/>
      <c r="AH176" s="1" t="s">
        <v>183</v>
      </c>
      <c r="AI176" s="1" t="s">
        <v>2815</v>
      </c>
      <c r="AJ176" s="1" t="s">
        <v>184</v>
      </c>
      <c r="AK176" s="1" t="s">
        <v>184</v>
      </c>
    </row>
    <row r="177" spans="1:37" x14ac:dyDescent="0.3">
      <c r="A177" s="94">
        <f t="shared" si="4"/>
        <v>176</v>
      </c>
      <c r="B177" s="39" t="str">
        <f t="shared" si="5"/>
        <v>SPS HARPER ST WOODBRIDGE</v>
      </c>
      <c r="C177" s="4" t="s">
        <v>2044</v>
      </c>
      <c r="D177" s="4" t="s">
        <v>2045</v>
      </c>
      <c r="E177" s="4" t="s">
        <v>1497</v>
      </c>
      <c r="F177" s="4" t="s">
        <v>2046</v>
      </c>
      <c r="G177" s="4" t="s">
        <v>1478</v>
      </c>
      <c r="H177" s="4" t="s">
        <v>270</v>
      </c>
      <c r="I177" s="4" t="s">
        <v>2970</v>
      </c>
      <c r="J177" s="4"/>
      <c r="K177" s="4"/>
      <c r="L177" s="4" t="s">
        <v>2047</v>
      </c>
      <c r="M177" s="4" t="s">
        <v>2048</v>
      </c>
      <c r="N177" s="4" t="s">
        <v>2049</v>
      </c>
      <c r="O177" s="4">
        <v>1994</v>
      </c>
      <c r="P177" s="4"/>
      <c r="Q177" s="4" t="s">
        <v>612</v>
      </c>
      <c r="R177" s="4" t="s">
        <v>2050</v>
      </c>
      <c r="S177" s="4" t="s">
        <v>571</v>
      </c>
      <c r="T177" s="4" t="s">
        <v>2051</v>
      </c>
      <c r="U177" s="4" t="s">
        <v>566</v>
      </c>
      <c r="V177" s="4" t="s">
        <v>222</v>
      </c>
      <c r="W177" s="4">
        <v>415</v>
      </c>
      <c r="X177" s="4" t="s">
        <v>222</v>
      </c>
      <c r="Y177" s="4" t="s">
        <v>222</v>
      </c>
      <c r="Z177" s="4" t="s">
        <v>222</v>
      </c>
      <c r="AA177" s="4" t="s">
        <v>222</v>
      </c>
      <c r="AB177" s="4" t="s">
        <v>222</v>
      </c>
      <c r="AC177" s="4" t="s">
        <v>2052</v>
      </c>
      <c r="AD177" s="4" t="s">
        <v>950</v>
      </c>
      <c r="AE177" s="4" t="s">
        <v>183</v>
      </c>
      <c r="AF177" s="4" t="s">
        <v>836</v>
      </c>
      <c r="AG177" s="4"/>
      <c r="AH177" s="1" t="s">
        <v>183</v>
      </c>
      <c r="AI177" s="1" t="s">
        <v>2819</v>
      </c>
      <c r="AJ177" s="1" t="s">
        <v>184</v>
      </c>
      <c r="AK177" s="1" t="s">
        <v>183</v>
      </c>
    </row>
    <row r="178" spans="1:37" x14ac:dyDescent="0.3">
      <c r="A178" s="94">
        <f t="shared" si="4"/>
        <v>177</v>
      </c>
      <c r="B178" s="39" t="str">
        <f t="shared" si="5"/>
        <v>SPS LLOYD ST STH MIDDLE SWAN</v>
      </c>
      <c r="C178" s="4" t="s">
        <v>2226</v>
      </c>
      <c r="D178" s="4" t="s">
        <v>2227</v>
      </c>
      <c r="E178" s="4" t="s">
        <v>1497</v>
      </c>
      <c r="F178" s="4" t="s">
        <v>2228</v>
      </c>
      <c r="G178" s="4" t="s">
        <v>1034</v>
      </c>
      <c r="H178" s="4" t="s">
        <v>270</v>
      </c>
      <c r="I178" s="4" t="s">
        <v>2991</v>
      </c>
      <c r="J178" s="4"/>
      <c r="K178" s="4"/>
      <c r="L178" s="4" t="s">
        <v>2229</v>
      </c>
      <c r="M178" s="4" t="s">
        <v>2230</v>
      </c>
      <c r="N178" s="4" t="s">
        <v>1059</v>
      </c>
      <c r="O178" s="4">
        <v>1986</v>
      </c>
      <c r="P178" s="4"/>
      <c r="Q178" s="4" t="s">
        <v>631</v>
      </c>
      <c r="R178" s="4" t="s">
        <v>2231</v>
      </c>
      <c r="S178" s="4" t="s">
        <v>571</v>
      </c>
      <c r="T178" s="4" t="s">
        <v>2232</v>
      </c>
      <c r="U178" s="4" t="s">
        <v>566</v>
      </c>
      <c r="V178" s="4" t="s">
        <v>222</v>
      </c>
      <c r="W178" s="4" t="s">
        <v>222</v>
      </c>
      <c r="X178" s="4" t="s">
        <v>222</v>
      </c>
      <c r="Y178" s="4" t="s">
        <v>222</v>
      </c>
      <c r="Z178" s="4" t="s">
        <v>222</v>
      </c>
      <c r="AA178" s="4" t="s">
        <v>222</v>
      </c>
      <c r="AB178" s="4" t="s">
        <v>222</v>
      </c>
      <c r="AC178" s="4" t="s">
        <v>2233</v>
      </c>
      <c r="AD178" s="4" t="s">
        <v>950</v>
      </c>
      <c r="AE178" s="4" t="s">
        <v>183</v>
      </c>
      <c r="AF178" s="4" t="s">
        <v>844</v>
      </c>
      <c r="AG178" s="4"/>
      <c r="AH178" s="1" t="s">
        <v>183</v>
      </c>
      <c r="AI178" s="1" t="s">
        <v>2819</v>
      </c>
      <c r="AJ178" s="1" t="s">
        <v>183</v>
      </c>
      <c r="AK178" s="1" t="s">
        <v>183</v>
      </c>
    </row>
    <row r="179" spans="1:37" x14ac:dyDescent="0.3">
      <c r="A179" s="94">
        <f t="shared" si="4"/>
        <v>178</v>
      </c>
      <c r="B179" s="39" t="str">
        <f t="shared" si="5"/>
        <v>SPS CHARLES ST MIDLAND</v>
      </c>
      <c r="C179" s="4" t="s">
        <v>180</v>
      </c>
      <c r="D179" s="4" t="s">
        <v>181</v>
      </c>
      <c r="E179" s="4" t="s">
        <v>858</v>
      </c>
      <c r="F179" s="4" t="s">
        <v>515</v>
      </c>
      <c r="G179" s="4" t="s">
        <v>269</v>
      </c>
      <c r="H179" s="4" t="s">
        <v>270</v>
      </c>
      <c r="I179" s="4" t="s">
        <v>927</v>
      </c>
      <c r="J179" s="4" t="s">
        <v>560</v>
      </c>
      <c r="K179" s="4" t="s">
        <v>758</v>
      </c>
      <c r="L179" s="4" t="s">
        <v>516</v>
      </c>
      <c r="M179" s="4" t="s">
        <v>517</v>
      </c>
      <c r="N179" s="4" t="s">
        <v>518</v>
      </c>
      <c r="O179" s="4">
        <v>1999</v>
      </c>
      <c r="P179" s="4" t="s">
        <v>928</v>
      </c>
      <c r="Q179" s="4" t="s">
        <v>631</v>
      </c>
      <c r="R179" s="4" t="s">
        <v>759</v>
      </c>
      <c r="S179" s="4" t="s">
        <v>571</v>
      </c>
      <c r="T179" s="4" t="s">
        <v>760</v>
      </c>
      <c r="U179" s="4">
        <v>300</v>
      </c>
      <c r="V179" s="4" t="s">
        <v>222</v>
      </c>
      <c r="W179" s="4" t="s">
        <v>222</v>
      </c>
      <c r="X179" s="4" t="s">
        <v>222</v>
      </c>
      <c r="Y179" s="4" t="s">
        <v>222</v>
      </c>
      <c r="Z179" s="4" t="s">
        <v>222</v>
      </c>
      <c r="AA179" s="4" t="s">
        <v>222</v>
      </c>
      <c r="AB179" s="4" t="s">
        <v>222</v>
      </c>
      <c r="AC179" s="4" t="s">
        <v>819</v>
      </c>
      <c r="AD179" s="4"/>
      <c r="AE179" s="4" t="s">
        <v>183</v>
      </c>
      <c r="AF179" s="4" t="s">
        <v>836</v>
      </c>
      <c r="AG179" s="4"/>
      <c r="AH179" s="1" t="s">
        <v>183</v>
      </c>
      <c r="AI179" s="1" t="s">
        <v>2815</v>
      </c>
      <c r="AJ179" s="1" t="s">
        <v>184</v>
      </c>
      <c r="AK179" s="1" t="s">
        <v>184</v>
      </c>
    </row>
    <row r="180" spans="1:37" x14ac:dyDescent="0.3">
      <c r="A180" s="94">
        <f t="shared" si="4"/>
        <v>179</v>
      </c>
      <c r="B180" s="39" t="str">
        <f t="shared" si="5"/>
        <v>SPS PARKVIEW GDNS HELENA VALLEY</v>
      </c>
      <c r="C180" s="4" t="s">
        <v>2387</v>
      </c>
      <c r="D180" s="4" t="s">
        <v>2388</v>
      </c>
      <c r="E180" s="4" t="s">
        <v>1497</v>
      </c>
      <c r="F180" s="4" t="s">
        <v>2389</v>
      </c>
      <c r="G180" s="4" t="s">
        <v>2390</v>
      </c>
      <c r="H180" s="4" t="s">
        <v>270</v>
      </c>
      <c r="I180" s="4" t="s">
        <v>3010</v>
      </c>
      <c r="J180" s="4"/>
      <c r="K180" s="4"/>
      <c r="L180" s="4" t="s">
        <v>2391</v>
      </c>
      <c r="M180" s="4" t="s">
        <v>2392</v>
      </c>
      <c r="N180" s="4" t="s">
        <v>416</v>
      </c>
      <c r="O180" s="4">
        <v>1994</v>
      </c>
      <c r="P180" s="4"/>
      <c r="Q180" s="4" t="s">
        <v>612</v>
      </c>
      <c r="R180" s="4" t="s">
        <v>2393</v>
      </c>
      <c r="S180" s="4" t="s">
        <v>571</v>
      </c>
      <c r="T180" s="4" t="s">
        <v>2394</v>
      </c>
      <c r="U180" s="4" t="s">
        <v>566</v>
      </c>
      <c r="V180" s="4" t="s">
        <v>222</v>
      </c>
      <c r="W180" s="4">
        <v>415</v>
      </c>
      <c r="X180" s="4" t="s">
        <v>222</v>
      </c>
      <c r="Y180" s="4" t="s">
        <v>222</v>
      </c>
      <c r="Z180" s="4" t="s">
        <v>222</v>
      </c>
      <c r="AA180" s="4" t="s">
        <v>222</v>
      </c>
      <c r="AB180" s="4" t="s">
        <v>222</v>
      </c>
      <c r="AC180" s="4" t="s">
        <v>2395</v>
      </c>
      <c r="AD180" s="4" t="s">
        <v>950</v>
      </c>
      <c r="AE180" s="4" t="s">
        <v>183</v>
      </c>
      <c r="AF180" s="4" t="s">
        <v>844</v>
      </c>
      <c r="AG180" s="4"/>
      <c r="AH180" s="1" t="s">
        <v>183</v>
      </c>
      <c r="AI180" s="1" t="s">
        <v>1750</v>
      </c>
      <c r="AJ180" s="1" t="s">
        <v>183</v>
      </c>
      <c r="AK180" s="1" t="s">
        <v>184</v>
      </c>
    </row>
    <row r="181" spans="1:37" x14ac:dyDescent="0.3">
      <c r="A181" s="94">
        <f t="shared" si="4"/>
        <v>180</v>
      </c>
      <c r="B181" s="39" t="str">
        <f t="shared" si="5"/>
        <v>SPS HOLMESDALE RD WOODBRIDGE</v>
      </c>
      <c r="C181" s="4" t="s">
        <v>1475</v>
      </c>
      <c r="D181" s="4" t="s">
        <v>1476</v>
      </c>
      <c r="E181" s="4" t="s">
        <v>1106</v>
      </c>
      <c r="F181" s="4" t="s">
        <v>1477</v>
      </c>
      <c r="G181" s="4" t="s">
        <v>1478</v>
      </c>
      <c r="H181" s="4" t="s">
        <v>270</v>
      </c>
      <c r="I181" s="4" t="s">
        <v>2809</v>
      </c>
      <c r="J181" s="4"/>
      <c r="K181" s="4"/>
      <c r="L181" s="4" t="s">
        <v>1479</v>
      </c>
      <c r="M181" s="4" t="s">
        <v>1480</v>
      </c>
      <c r="N181" s="4" t="s">
        <v>1481</v>
      </c>
      <c r="O181" s="4">
        <v>2003</v>
      </c>
      <c r="P181" s="4" t="s">
        <v>222</v>
      </c>
      <c r="Q181" s="4" t="s">
        <v>631</v>
      </c>
      <c r="R181" s="4" t="s">
        <v>1482</v>
      </c>
      <c r="S181" s="4" t="s">
        <v>571</v>
      </c>
      <c r="T181" s="4" t="s">
        <v>1483</v>
      </c>
      <c r="U181" s="4" t="s">
        <v>566</v>
      </c>
      <c r="V181" s="4" t="s">
        <v>222</v>
      </c>
      <c r="W181" s="4" t="s">
        <v>222</v>
      </c>
      <c r="X181" s="4" t="s">
        <v>222</v>
      </c>
      <c r="Y181" s="4" t="s">
        <v>222</v>
      </c>
      <c r="Z181" s="4" t="s">
        <v>222</v>
      </c>
      <c r="AA181" s="4" t="s">
        <v>222</v>
      </c>
      <c r="AB181" s="4" t="s">
        <v>222</v>
      </c>
      <c r="AC181" s="4" t="s">
        <v>1484</v>
      </c>
      <c r="AD181" s="4" t="s">
        <v>950</v>
      </c>
      <c r="AE181" s="4" t="s">
        <v>183</v>
      </c>
      <c r="AF181" s="4" t="s">
        <v>839</v>
      </c>
      <c r="AG181" s="4"/>
      <c r="AH181" s="1" t="s">
        <v>183</v>
      </c>
      <c r="AI181" s="1" t="s">
        <v>2819</v>
      </c>
      <c r="AJ181" s="1" t="s">
        <v>183</v>
      </c>
      <c r="AK181" s="1" t="s">
        <v>183</v>
      </c>
    </row>
    <row r="182" spans="1:37" x14ac:dyDescent="0.3">
      <c r="A182" s="94">
        <f t="shared" si="4"/>
        <v>181</v>
      </c>
      <c r="B182" s="39" t="str">
        <f t="shared" si="5"/>
        <v>SPS LLOYD ST NTH MIDDLE SWAN</v>
      </c>
      <c r="C182" s="4" t="s">
        <v>1031</v>
      </c>
      <c r="D182" s="4" t="s">
        <v>1032</v>
      </c>
      <c r="E182" s="4" t="s">
        <v>931</v>
      </c>
      <c r="F182" s="4" t="s">
        <v>1033</v>
      </c>
      <c r="G182" s="4" t="s">
        <v>1034</v>
      </c>
      <c r="H182" s="4" t="s">
        <v>270</v>
      </c>
      <c r="I182" s="4" t="s">
        <v>2765</v>
      </c>
      <c r="J182" s="4"/>
      <c r="K182" s="4"/>
      <c r="L182" s="4" t="s">
        <v>1035</v>
      </c>
      <c r="M182" s="4" t="s">
        <v>1036</v>
      </c>
      <c r="N182" s="4" t="s">
        <v>1037</v>
      </c>
      <c r="O182" s="4">
        <v>1989</v>
      </c>
      <c r="P182" s="4" t="s">
        <v>946</v>
      </c>
      <c r="Q182" s="4" t="s">
        <v>222</v>
      </c>
      <c r="R182" s="4" t="s">
        <v>1038</v>
      </c>
      <c r="S182" s="4" t="s">
        <v>222</v>
      </c>
      <c r="T182" s="4" t="s">
        <v>1039</v>
      </c>
      <c r="U182" s="4" t="s">
        <v>566</v>
      </c>
      <c r="V182" s="4" t="s">
        <v>222</v>
      </c>
      <c r="W182" s="4" t="s">
        <v>222</v>
      </c>
      <c r="X182" s="4" t="s">
        <v>222</v>
      </c>
      <c r="Y182" s="4" t="s">
        <v>222</v>
      </c>
      <c r="Z182" s="4" t="s">
        <v>222</v>
      </c>
      <c r="AA182" s="4" t="s">
        <v>222</v>
      </c>
      <c r="AB182" s="4" t="s">
        <v>222</v>
      </c>
      <c r="AC182" s="4" t="s">
        <v>1040</v>
      </c>
      <c r="AD182" s="4" t="s">
        <v>950</v>
      </c>
      <c r="AE182" s="4" t="s">
        <v>183</v>
      </c>
      <c r="AF182" s="4" t="s">
        <v>849</v>
      </c>
      <c r="AG182" s="4"/>
      <c r="AH182" s="1" t="s">
        <v>183</v>
      </c>
      <c r="AI182" s="1" t="s">
        <v>2815</v>
      </c>
      <c r="AJ182" s="1" t="s">
        <v>183</v>
      </c>
      <c r="AK182" s="1" t="s">
        <v>184</v>
      </c>
    </row>
    <row r="183" spans="1:37" x14ac:dyDescent="0.3">
      <c r="A183" s="94">
        <f t="shared" si="4"/>
        <v>182</v>
      </c>
      <c r="B183" s="39" t="str">
        <f t="shared" si="5"/>
        <v>SPS BENNETT ST CAVERSHAM</v>
      </c>
      <c r="C183" s="4" t="s">
        <v>1566</v>
      </c>
      <c r="D183" s="4" t="s">
        <v>1567</v>
      </c>
      <c r="E183" s="4" t="s">
        <v>1497</v>
      </c>
      <c r="F183" s="4" t="s">
        <v>1568</v>
      </c>
      <c r="G183" s="4" t="s">
        <v>1569</v>
      </c>
      <c r="H183" s="4" t="s">
        <v>433</v>
      </c>
      <c r="I183" s="4" t="s">
        <v>2915</v>
      </c>
      <c r="J183" s="4"/>
      <c r="K183" s="4"/>
      <c r="L183" s="4" t="s">
        <v>1570</v>
      </c>
      <c r="M183" s="4" t="s">
        <v>1571</v>
      </c>
      <c r="N183" s="4" t="s">
        <v>1572</v>
      </c>
      <c r="O183" s="4" t="s">
        <v>222</v>
      </c>
      <c r="P183" s="4"/>
      <c r="Q183" s="4" t="s">
        <v>222</v>
      </c>
      <c r="R183" s="4" t="s">
        <v>222</v>
      </c>
      <c r="S183" s="4" t="s">
        <v>222</v>
      </c>
      <c r="T183" s="4" t="s">
        <v>222</v>
      </c>
      <c r="U183" s="4" t="s">
        <v>222</v>
      </c>
      <c r="V183" s="4" t="s">
        <v>222</v>
      </c>
      <c r="W183" s="4" t="s">
        <v>222</v>
      </c>
      <c r="X183" s="4" t="s">
        <v>222</v>
      </c>
      <c r="Y183" s="4" t="s">
        <v>222</v>
      </c>
      <c r="Z183" s="4" t="s">
        <v>222</v>
      </c>
      <c r="AA183" s="4" t="s">
        <v>222</v>
      </c>
      <c r="AB183" s="4" t="s">
        <v>222</v>
      </c>
      <c r="AC183" s="4" t="s">
        <v>222</v>
      </c>
      <c r="AD183" s="4" t="s">
        <v>950</v>
      </c>
      <c r="AE183" s="4" t="s">
        <v>184</v>
      </c>
      <c r="AF183" s="4" t="s">
        <v>839</v>
      </c>
      <c r="AG183" s="4"/>
      <c r="AH183" s="1" t="s">
        <v>183</v>
      </c>
      <c r="AI183" s="1" t="s">
        <v>2815</v>
      </c>
      <c r="AJ183" s="1" t="s">
        <v>183</v>
      </c>
      <c r="AK183" s="1" t="s">
        <v>184</v>
      </c>
    </row>
    <row r="184" spans="1:37" x14ac:dyDescent="0.3">
      <c r="A184" s="94">
        <f t="shared" si="4"/>
        <v>183</v>
      </c>
      <c r="B184" s="39" t="str">
        <f t="shared" si="5"/>
        <v>SPS BROOKSIDE GDNS CAVERSHAM</v>
      </c>
      <c r="C184" s="4" t="s">
        <v>1635</v>
      </c>
      <c r="D184" s="4" t="s">
        <v>1636</v>
      </c>
      <c r="E184" s="4" t="s">
        <v>1497</v>
      </c>
      <c r="F184" s="4" t="s">
        <v>1637</v>
      </c>
      <c r="G184" s="4" t="s">
        <v>1569</v>
      </c>
      <c r="H184" s="4" t="s">
        <v>433</v>
      </c>
      <c r="I184" s="4" t="s">
        <v>2923</v>
      </c>
      <c r="J184" s="4"/>
      <c r="K184" s="4"/>
      <c r="L184" s="4" t="s">
        <v>1638</v>
      </c>
      <c r="M184" s="4" t="s">
        <v>1639</v>
      </c>
      <c r="N184" s="4" t="s">
        <v>416</v>
      </c>
      <c r="O184" s="4">
        <v>1995</v>
      </c>
      <c r="P184" s="4"/>
      <c r="Q184" s="4" t="s">
        <v>222</v>
      </c>
      <c r="R184" s="4" t="s">
        <v>1640</v>
      </c>
      <c r="S184" s="4" t="s">
        <v>222</v>
      </c>
      <c r="T184" s="4" t="s">
        <v>1641</v>
      </c>
      <c r="U184" s="4" t="s">
        <v>566</v>
      </c>
      <c r="V184" s="4" t="s">
        <v>222</v>
      </c>
      <c r="W184" s="4" t="s">
        <v>222</v>
      </c>
      <c r="X184" s="4" t="s">
        <v>222</v>
      </c>
      <c r="Y184" s="4" t="s">
        <v>222</v>
      </c>
      <c r="Z184" s="4" t="s">
        <v>222</v>
      </c>
      <c r="AA184" s="4" t="s">
        <v>222</v>
      </c>
      <c r="AB184" s="4" t="s">
        <v>222</v>
      </c>
      <c r="AC184" s="4" t="s">
        <v>1642</v>
      </c>
      <c r="AD184" s="4" t="s">
        <v>950</v>
      </c>
      <c r="AE184" s="4" t="s">
        <v>183</v>
      </c>
      <c r="AF184" s="4" t="s">
        <v>836</v>
      </c>
      <c r="AG184" s="4"/>
      <c r="AH184" s="1" t="s">
        <v>183</v>
      </c>
      <c r="AI184" s="1" t="s">
        <v>2815</v>
      </c>
      <c r="AJ184" s="1" t="s">
        <v>184</v>
      </c>
      <c r="AK184" s="1" t="s">
        <v>184</v>
      </c>
    </row>
    <row r="185" spans="1:37" x14ac:dyDescent="0.3">
      <c r="A185" s="94">
        <f t="shared" si="4"/>
        <v>184</v>
      </c>
      <c r="B185" s="39" t="str">
        <f t="shared" si="5"/>
        <v>SPS BRIDGE ST GUILDFORD</v>
      </c>
      <c r="C185" s="4" t="s">
        <v>144</v>
      </c>
      <c r="D185" s="4" t="s">
        <v>145</v>
      </c>
      <c r="E185" s="4" t="s">
        <v>858</v>
      </c>
      <c r="F185" s="4" t="s">
        <v>431</v>
      </c>
      <c r="G185" s="4" t="s">
        <v>432</v>
      </c>
      <c r="H185" s="4" t="s">
        <v>433</v>
      </c>
      <c r="I185" s="4" t="s">
        <v>900</v>
      </c>
      <c r="J185" s="4" t="s">
        <v>560</v>
      </c>
      <c r="K185" s="4" t="s">
        <v>703</v>
      </c>
      <c r="L185" s="4" t="s">
        <v>434</v>
      </c>
      <c r="M185" s="4" t="s">
        <v>435</v>
      </c>
      <c r="N185" s="4" t="s">
        <v>436</v>
      </c>
      <c r="O185" s="4">
        <v>1980</v>
      </c>
      <c r="P185" s="4" t="s">
        <v>901</v>
      </c>
      <c r="Q185" s="4" t="s">
        <v>569</v>
      </c>
      <c r="R185" s="4" t="s">
        <v>704</v>
      </c>
      <c r="S185" s="4" t="s">
        <v>571</v>
      </c>
      <c r="T185" s="4" t="s">
        <v>705</v>
      </c>
      <c r="U185" s="4">
        <v>300</v>
      </c>
      <c r="V185" s="4">
        <v>22</v>
      </c>
      <c r="W185" s="4">
        <v>440</v>
      </c>
      <c r="X185" s="4">
        <v>415</v>
      </c>
      <c r="Y185" s="4">
        <v>137</v>
      </c>
      <c r="Z185" s="4" t="s">
        <v>222</v>
      </c>
      <c r="AA185" s="4" t="s">
        <v>222</v>
      </c>
      <c r="AB185" s="4" t="s">
        <v>222</v>
      </c>
      <c r="AC185" s="4" t="s">
        <v>802</v>
      </c>
      <c r="AD185" s="4"/>
      <c r="AE185" s="4" t="s">
        <v>183</v>
      </c>
      <c r="AF185" s="4" t="s">
        <v>849</v>
      </c>
      <c r="AG185" s="4"/>
      <c r="AH185" s="1" t="s">
        <v>183</v>
      </c>
      <c r="AI185" s="1" t="s">
        <v>1750</v>
      </c>
      <c r="AJ185" s="1" t="s">
        <v>183</v>
      </c>
      <c r="AK185" s="1" t="s">
        <v>184</v>
      </c>
    </row>
    <row r="186" spans="1:37" x14ac:dyDescent="0.3">
      <c r="A186" s="94">
        <f t="shared" si="4"/>
        <v>185</v>
      </c>
      <c r="B186" s="39" t="str">
        <f t="shared" si="5"/>
        <v>VPS WILKIE ST SOUTH GUILDFORD</v>
      </c>
      <c r="C186" s="4" t="s">
        <v>1093</v>
      </c>
      <c r="D186" s="4" t="s">
        <v>1094</v>
      </c>
      <c r="E186" s="4" t="s">
        <v>931</v>
      </c>
      <c r="F186" s="4" t="s">
        <v>1095</v>
      </c>
      <c r="G186" s="4" t="s">
        <v>1096</v>
      </c>
      <c r="H186" s="4" t="s">
        <v>433</v>
      </c>
      <c r="I186" s="4" t="s">
        <v>2771</v>
      </c>
      <c r="J186" s="4"/>
      <c r="K186" s="4"/>
      <c r="L186" s="4" t="s">
        <v>1097</v>
      </c>
      <c r="M186" s="4" t="s">
        <v>1098</v>
      </c>
      <c r="N186" s="4" t="s">
        <v>238</v>
      </c>
      <c r="O186" s="4">
        <v>1994</v>
      </c>
      <c r="P186" s="4" t="s">
        <v>1099</v>
      </c>
      <c r="Q186" s="4" t="s">
        <v>222</v>
      </c>
      <c r="R186" s="4" t="s">
        <v>1100</v>
      </c>
      <c r="S186" s="4" t="s">
        <v>222</v>
      </c>
      <c r="T186" s="4" t="s">
        <v>1101</v>
      </c>
      <c r="U186" s="4" t="s">
        <v>222</v>
      </c>
      <c r="V186" s="4" t="s">
        <v>222</v>
      </c>
      <c r="W186" s="4">
        <v>415</v>
      </c>
      <c r="X186" s="4" t="s">
        <v>222</v>
      </c>
      <c r="Y186" s="4" t="s">
        <v>222</v>
      </c>
      <c r="Z186" s="4" t="s">
        <v>222</v>
      </c>
      <c r="AA186" s="4" t="s">
        <v>222</v>
      </c>
      <c r="AB186" s="4" t="s">
        <v>222</v>
      </c>
      <c r="AC186" s="4" t="s">
        <v>1102</v>
      </c>
      <c r="AD186" s="4"/>
      <c r="AE186" s="4" t="s">
        <v>183</v>
      </c>
      <c r="AF186" s="4" t="s">
        <v>1103</v>
      </c>
      <c r="AG186" s="4"/>
      <c r="AH186" s="1" t="s">
        <v>183</v>
      </c>
      <c r="AI186" s="1" t="s">
        <v>2815</v>
      </c>
      <c r="AJ186" s="1" t="s">
        <v>184</v>
      </c>
      <c r="AK186" s="1" t="s">
        <v>184</v>
      </c>
    </row>
    <row r="187" spans="1:37" x14ac:dyDescent="0.3">
      <c r="A187" s="94">
        <f t="shared" si="4"/>
        <v>186</v>
      </c>
      <c r="B187" s="39" t="str">
        <f t="shared" si="5"/>
        <v>SPS STIRLING CR HAZELMERE</v>
      </c>
      <c r="C187" s="4" t="s">
        <v>2554</v>
      </c>
      <c r="D187" s="4" t="s">
        <v>2555</v>
      </c>
      <c r="E187" s="4" t="s">
        <v>1497</v>
      </c>
      <c r="F187" s="4" t="s">
        <v>2556</v>
      </c>
      <c r="G187" s="4" t="s">
        <v>2557</v>
      </c>
      <c r="H187" s="4" t="s">
        <v>433</v>
      </c>
      <c r="I187" s="4" t="s">
        <v>3032</v>
      </c>
      <c r="J187" s="4"/>
      <c r="K187" s="4"/>
      <c r="L187" s="4" t="s">
        <v>2558</v>
      </c>
      <c r="M187" s="4" t="s">
        <v>2559</v>
      </c>
      <c r="N187" s="4" t="s">
        <v>1244</v>
      </c>
      <c r="O187" s="4">
        <v>1999</v>
      </c>
      <c r="P187" s="4"/>
      <c r="Q187" s="4" t="s">
        <v>631</v>
      </c>
      <c r="R187" s="4" t="s">
        <v>2560</v>
      </c>
      <c r="S187" s="4" t="s">
        <v>571</v>
      </c>
      <c r="T187" s="4" t="s">
        <v>2561</v>
      </c>
      <c r="U187" s="4">
        <v>200</v>
      </c>
      <c r="V187" s="4" t="s">
        <v>222</v>
      </c>
      <c r="W187" s="4">
        <v>415</v>
      </c>
      <c r="X187" s="4" t="s">
        <v>222</v>
      </c>
      <c r="Y187" s="4" t="s">
        <v>222</v>
      </c>
      <c r="Z187" s="4" t="s">
        <v>222</v>
      </c>
      <c r="AA187" s="4" t="s">
        <v>222</v>
      </c>
      <c r="AB187" s="4" t="s">
        <v>222</v>
      </c>
      <c r="AC187" s="4" t="s">
        <v>2562</v>
      </c>
      <c r="AD187" s="4" t="s">
        <v>950</v>
      </c>
      <c r="AE187" s="4" t="s">
        <v>183</v>
      </c>
      <c r="AF187" s="4" t="s">
        <v>836</v>
      </c>
      <c r="AG187" s="4"/>
      <c r="AH187" s="1" t="s">
        <v>183</v>
      </c>
      <c r="AI187" s="1" t="s">
        <v>2815</v>
      </c>
      <c r="AJ187" s="1" t="s">
        <v>183</v>
      </c>
      <c r="AK187" s="1" t="s">
        <v>184</v>
      </c>
    </row>
    <row r="188" spans="1:37" x14ac:dyDescent="0.3">
      <c r="A188" s="94">
        <f t="shared" si="4"/>
        <v>187</v>
      </c>
      <c r="B188" s="39" t="str">
        <f t="shared" si="5"/>
        <v>SPS THE EMBANKMENT HAZELMERE</v>
      </c>
      <c r="C188" s="4" t="s">
        <v>2614</v>
      </c>
      <c r="D188" s="4" t="s">
        <v>2615</v>
      </c>
      <c r="E188" s="4" t="s">
        <v>1497</v>
      </c>
      <c r="F188" s="4" t="s">
        <v>2616</v>
      </c>
      <c r="G188" s="4" t="s">
        <v>1096</v>
      </c>
      <c r="H188" s="4" t="s">
        <v>433</v>
      </c>
      <c r="I188" s="4" t="s">
        <v>3039</v>
      </c>
      <c r="J188" s="4"/>
      <c r="K188" s="4"/>
      <c r="L188" s="4" t="s">
        <v>2617</v>
      </c>
      <c r="M188" s="4" t="s">
        <v>2618</v>
      </c>
      <c r="N188" s="4" t="s">
        <v>1232</v>
      </c>
      <c r="O188" s="4">
        <v>2008</v>
      </c>
      <c r="P188" s="4"/>
      <c r="Q188" s="4" t="s">
        <v>631</v>
      </c>
      <c r="R188" s="4" t="s">
        <v>2619</v>
      </c>
      <c r="S188" s="4" t="s">
        <v>571</v>
      </c>
      <c r="T188" s="4" t="s">
        <v>2620</v>
      </c>
      <c r="U188" s="4" t="s">
        <v>566</v>
      </c>
      <c r="V188" s="4">
        <v>22</v>
      </c>
      <c r="W188" s="4">
        <v>415</v>
      </c>
      <c r="X188" s="4" t="s">
        <v>222</v>
      </c>
      <c r="Y188" s="4" t="s">
        <v>222</v>
      </c>
      <c r="Z188" s="4" t="s">
        <v>222</v>
      </c>
      <c r="AA188" s="4" t="s">
        <v>222</v>
      </c>
      <c r="AB188" s="4" t="s">
        <v>222</v>
      </c>
      <c r="AC188" s="4" t="s">
        <v>2621</v>
      </c>
      <c r="AD188" s="4" t="s">
        <v>950</v>
      </c>
      <c r="AE188" s="4" t="s">
        <v>184</v>
      </c>
      <c r="AF188" s="4" t="s">
        <v>839</v>
      </c>
      <c r="AG188" s="4"/>
      <c r="AH188" s="1" t="s">
        <v>183</v>
      </c>
      <c r="AI188" s="1" t="s">
        <v>2819</v>
      </c>
      <c r="AJ188" s="1" t="s">
        <v>183</v>
      </c>
      <c r="AK188" s="1" t="s">
        <v>183</v>
      </c>
    </row>
    <row r="189" spans="1:37" x14ac:dyDescent="0.3">
      <c r="A189" s="94">
        <f t="shared" si="4"/>
        <v>188</v>
      </c>
      <c r="B189" s="39" t="str">
        <f t="shared" si="5"/>
        <v>SPS WOODBRIDGE ST GUILDFORD</v>
      </c>
      <c r="C189" s="4" t="s">
        <v>2712</v>
      </c>
      <c r="D189" s="4" t="s">
        <v>2713</v>
      </c>
      <c r="E189" s="4" t="s">
        <v>1497</v>
      </c>
      <c r="F189" s="4" t="s">
        <v>2714</v>
      </c>
      <c r="G189" s="4" t="s">
        <v>432</v>
      </c>
      <c r="H189" s="4" t="s">
        <v>433</v>
      </c>
      <c r="I189" s="4" t="s">
        <v>3050</v>
      </c>
      <c r="J189" s="4"/>
      <c r="K189" s="4"/>
      <c r="L189" s="4" t="s">
        <v>2715</v>
      </c>
      <c r="M189" s="4" t="s">
        <v>2716</v>
      </c>
      <c r="N189" s="4" t="s">
        <v>1512</v>
      </c>
      <c r="O189" s="4">
        <v>1976</v>
      </c>
      <c r="P189" s="4"/>
      <c r="Q189" s="4" t="s">
        <v>612</v>
      </c>
      <c r="R189" s="4" t="s">
        <v>2717</v>
      </c>
      <c r="S189" s="4" t="s">
        <v>571</v>
      </c>
      <c r="T189" s="4" t="s">
        <v>2718</v>
      </c>
      <c r="U189" s="4" t="s">
        <v>566</v>
      </c>
      <c r="V189" s="4" t="s">
        <v>222</v>
      </c>
      <c r="W189" s="4" t="s">
        <v>222</v>
      </c>
      <c r="X189" s="4" t="s">
        <v>222</v>
      </c>
      <c r="Y189" s="4" t="s">
        <v>222</v>
      </c>
      <c r="Z189" s="4" t="s">
        <v>222</v>
      </c>
      <c r="AA189" s="4" t="s">
        <v>222</v>
      </c>
      <c r="AB189" s="4" t="s">
        <v>222</v>
      </c>
      <c r="AC189" s="4" t="s">
        <v>2719</v>
      </c>
      <c r="AD189" s="4" t="s">
        <v>950</v>
      </c>
      <c r="AE189" s="4" t="s">
        <v>183</v>
      </c>
      <c r="AF189" s="4" t="s">
        <v>836</v>
      </c>
      <c r="AG189" s="4"/>
      <c r="AH189" s="1" t="s">
        <v>183</v>
      </c>
      <c r="AI189" s="1" t="s">
        <v>2815</v>
      </c>
      <c r="AJ189" s="1" t="s">
        <v>184</v>
      </c>
      <c r="AK189" s="1" t="s">
        <v>184</v>
      </c>
    </row>
    <row r="190" spans="1:37" x14ac:dyDescent="0.3">
      <c r="A190" s="94">
        <f t="shared" si="4"/>
        <v>189</v>
      </c>
      <c r="B190" s="39" t="str">
        <f t="shared" si="5"/>
        <v>SPS BEST WY BASSENDEAN</v>
      </c>
      <c r="C190" s="4" t="s">
        <v>1582</v>
      </c>
      <c r="D190" s="4" t="s">
        <v>1583</v>
      </c>
      <c r="E190" s="4" t="s">
        <v>1497</v>
      </c>
      <c r="F190" s="4" t="s">
        <v>1584</v>
      </c>
      <c r="G190" s="4" t="s">
        <v>1023</v>
      </c>
      <c r="H190" s="4" t="s">
        <v>1024</v>
      </c>
      <c r="I190" s="4" t="s">
        <v>2917</v>
      </c>
      <c r="J190" s="4"/>
      <c r="K190" s="4"/>
      <c r="L190" s="4" t="s">
        <v>1585</v>
      </c>
      <c r="M190" s="4" t="s">
        <v>1586</v>
      </c>
      <c r="N190" s="4" t="s">
        <v>318</v>
      </c>
      <c r="O190" s="4">
        <v>1975</v>
      </c>
      <c r="P190" s="4"/>
      <c r="Q190" s="4" t="s">
        <v>631</v>
      </c>
      <c r="R190" s="4" t="s">
        <v>1587</v>
      </c>
      <c r="S190" s="4" t="s">
        <v>571</v>
      </c>
      <c r="T190" s="4" t="s">
        <v>1588</v>
      </c>
      <c r="U190" s="4" t="s">
        <v>566</v>
      </c>
      <c r="V190" s="4" t="s">
        <v>222</v>
      </c>
      <c r="W190" s="4" t="s">
        <v>222</v>
      </c>
      <c r="X190" s="4" t="s">
        <v>222</v>
      </c>
      <c r="Y190" s="4" t="s">
        <v>222</v>
      </c>
      <c r="Z190" s="4" t="s">
        <v>222</v>
      </c>
      <c r="AA190" s="4" t="s">
        <v>222</v>
      </c>
      <c r="AB190" s="4" t="s">
        <v>222</v>
      </c>
      <c r="AC190" s="4" t="s">
        <v>1589</v>
      </c>
      <c r="AD190" s="4" t="s">
        <v>950</v>
      </c>
      <c r="AE190" s="4" t="s">
        <v>183</v>
      </c>
      <c r="AF190" s="4" t="s">
        <v>836</v>
      </c>
      <c r="AG190" s="4"/>
      <c r="AH190" s="1" t="s">
        <v>183</v>
      </c>
      <c r="AI190" s="1" t="s">
        <v>2819</v>
      </c>
      <c r="AJ190" s="1" t="s">
        <v>184</v>
      </c>
      <c r="AK190" s="1" t="s">
        <v>183</v>
      </c>
    </row>
    <row r="191" spans="1:37" x14ac:dyDescent="0.3">
      <c r="A191" s="94">
        <f t="shared" si="4"/>
        <v>190</v>
      </c>
      <c r="B191" s="39" t="str">
        <f t="shared" si="5"/>
        <v>SPS JENNINGS WY LOCKRIDGE</v>
      </c>
      <c r="C191" s="4" t="s">
        <v>2118</v>
      </c>
      <c r="D191" s="4" t="s">
        <v>2119</v>
      </c>
      <c r="E191" s="4" t="s">
        <v>1497</v>
      </c>
      <c r="F191" s="4" t="s">
        <v>2120</v>
      </c>
      <c r="G191" s="4" t="s">
        <v>2121</v>
      </c>
      <c r="H191" s="4" t="s">
        <v>1024</v>
      </c>
      <c r="I191" s="4" t="s">
        <v>2979</v>
      </c>
      <c r="J191" s="4"/>
      <c r="K191" s="4"/>
      <c r="L191" s="4" t="s">
        <v>2122</v>
      </c>
      <c r="M191" s="4" t="s">
        <v>2123</v>
      </c>
      <c r="N191" s="4" t="s">
        <v>1069</v>
      </c>
      <c r="O191" s="4">
        <v>1970</v>
      </c>
      <c r="P191" s="4"/>
      <c r="Q191" s="4" t="s">
        <v>222</v>
      </c>
      <c r="R191" s="4" t="s">
        <v>2124</v>
      </c>
      <c r="S191" s="4" t="s">
        <v>571</v>
      </c>
      <c r="T191" s="4" t="s">
        <v>2125</v>
      </c>
      <c r="U191" s="4" t="s">
        <v>566</v>
      </c>
      <c r="V191" s="4" t="s">
        <v>222</v>
      </c>
      <c r="W191" s="4" t="s">
        <v>222</v>
      </c>
      <c r="X191" s="4" t="s">
        <v>222</v>
      </c>
      <c r="Y191" s="4" t="s">
        <v>222</v>
      </c>
      <c r="Z191" s="4" t="s">
        <v>222</v>
      </c>
      <c r="AA191" s="4" t="s">
        <v>222</v>
      </c>
      <c r="AB191" s="4" t="s">
        <v>222</v>
      </c>
      <c r="AC191" s="4" t="s">
        <v>2126</v>
      </c>
      <c r="AD191" s="4" t="s">
        <v>950</v>
      </c>
      <c r="AE191" s="4" t="s">
        <v>183</v>
      </c>
      <c r="AF191" s="4" t="s">
        <v>844</v>
      </c>
      <c r="AG191" s="4"/>
      <c r="AH191" s="1" t="s">
        <v>183</v>
      </c>
      <c r="AI191" s="1" t="s">
        <v>2815</v>
      </c>
      <c r="AJ191" s="1" t="s">
        <v>184</v>
      </c>
      <c r="AK191" s="1" t="s">
        <v>184</v>
      </c>
    </row>
    <row r="192" spans="1:37" x14ac:dyDescent="0.3">
      <c r="A192" s="94">
        <f t="shared" si="4"/>
        <v>191</v>
      </c>
      <c r="B192" s="39" t="str">
        <f t="shared" si="5"/>
        <v>SPS LORD ST LOCKRIDGE</v>
      </c>
      <c r="C192" s="4" t="s">
        <v>2234</v>
      </c>
      <c r="D192" s="4" t="s">
        <v>2235</v>
      </c>
      <c r="E192" s="4" t="s">
        <v>1497</v>
      </c>
      <c r="F192" s="4" t="s">
        <v>2236</v>
      </c>
      <c r="G192" s="4" t="s">
        <v>2121</v>
      </c>
      <c r="H192" s="4" t="s">
        <v>1024</v>
      </c>
      <c r="I192" s="4" t="s">
        <v>2992</v>
      </c>
      <c r="J192" s="4"/>
      <c r="K192" s="4"/>
      <c r="L192" s="4" t="s">
        <v>2237</v>
      </c>
      <c r="M192" s="4" t="s">
        <v>2238</v>
      </c>
      <c r="N192" s="4" t="s">
        <v>2189</v>
      </c>
      <c r="O192" s="4">
        <v>1976</v>
      </c>
      <c r="P192" s="4"/>
      <c r="Q192" s="4" t="s">
        <v>222</v>
      </c>
      <c r="R192" s="4" t="s">
        <v>2239</v>
      </c>
      <c r="S192" s="4" t="s">
        <v>571</v>
      </c>
      <c r="T192" s="4" t="s">
        <v>2240</v>
      </c>
      <c r="U192" s="4" t="s">
        <v>566</v>
      </c>
      <c r="V192" s="4" t="s">
        <v>222</v>
      </c>
      <c r="W192" s="4" t="s">
        <v>222</v>
      </c>
      <c r="X192" s="4" t="s">
        <v>222</v>
      </c>
      <c r="Y192" s="4" t="s">
        <v>222</v>
      </c>
      <c r="Z192" s="4" t="s">
        <v>222</v>
      </c>
      <c r="AA192" s="4" t="s">
        <v>222</v>
      </c>
      <c r="AB192" s="4" t="s">
        <v>222</v>
      </c>
      <c r="AC192" s="4" t="s">
        <v>2241</v>
      </c>
      <c r="AD192" s="4" t="s">
        <v>950</v>
      </c>
      <c r="AE192" s="4" t="s">
        <v>183</v>
      </c>
      <c r="AF192" s="4" t="s">
        <v>849</v>
      </c>
      <c r="AG192" s="4"/>
      <c r="AH192" s="1" t="s">
        <v>183</v>
      </c>
      <c r="AI192" s="1" t="s">
        <v>2815</v>
      </c>
      <c r="AJ192" s="1" t="s">
        <v>184</v>
      </c>
      <c r="AK192" s="1" t="s">
        <v>184</v>
      </c>
    </row>
    <row r="193" spans="1:37" x14ac:dyDescent="0.3">
      <c r="A193" s="94">
        <f t="shared" si="4"/>
        <v>192</v>
      </c>
      <c r="B193" s="39" t="str">
        <f t="shared" si="5"/>
        <v>SPS CHEDWORTH WY EDEN HILL</v>
      </c>
      <c r="C193" s="4" t="s">
        <v>1297</v>
      </c>
      <c r="D193" s="4" t="s">
        <v>1298</v>
      </c>
      <c r="E193" s="4" t="s">
        <v>1106</v>
      </c>
      <c r="F193" s="4" t="s">
        <v>1299</v>
      </c>
      <c r="G193" s="4" t="s">
        <v>1300</v>
      </c>
      <c r="H193" s="4" t="s">
        <v>1024</v>
      </c>
      <c r="I193" s="4" t="s">
        <v>2790</v>
      </c>
      <c r="J193" s="4"/>
      <c r="K193" s="4"/>
      <c r="L193" s="4" t="s">
        <v>1301</v>
      </c>
      <c r="M193" s="4" t="s">
        <v>1302</v>
      </c>
      <c r="N193" s="4" t="s">
        <v>334</v>
      </c>
      <c r="O193" s="4">
        <v>1975</v>
      </c>
      <c r="P193" s="4" t="s">
        <v>1303</v>
      </c>
      <c r="Q193" s="4" t="s">
        <v>222</v>
      </c>
      <c r="R193" s="4" t="s">
        <v>1304</v>
      </c>
      <c r="S193" s="4" t="s">
        <v>571</v>
      </c>
      <c r="T193" s="4" t="s">
        <v>1305</v>
      </c>
      <c r="U193" s="4" t="s">
        <v>566</v>
      </c>
      <c r="V193" s="4" t="s">
        <v>222</v>
      </c>
      <c r="W193" s="4" t="s">
        <v>222</v>
      </c>
      <c r="X193" s="4" t="s">
        <v>222</v>
      </c>
      <c r="Y193" s="4" t="s">
        <v>222</v>
      </c>
      <c r="Z193" s="4" t="s">
        <v>222</v>
      </c>
      <c r="AA193" s="4" t="s">
        <v>222</v>
      </c>
      <c r="AB193" s="4" t="s">
        <v>222</v>
      </c>
      <c r="AC193" s="4" t="s">
        <v>1306</v>
      </c>
      <c r="AD193" s="4" t="s">
        <v>950</v>
      </c>
      <c r="AE193" s="4" t="s">
        <v>183</v>
      </c>
      <c r="AF193" s="4" t="s">
        <v>849</v>
      </c>
      <c r="AG193" s="4"/>
      <c r="AH193" s="1" t="s">
        <v>183</v>
      </c>
      <c r="AI193" s="1" t="s">
        <v>2815</v>
      </c>
      <c r="AJ193" s="1" t="s">
        <v>183</v>
      </c>
      <c r="AK193" s="1" t="s">
        <v>184</v>
      </c>
    </row>
    <row r="194" spans="1:37" x14ac:dyDescent="0.3">
      <c r="A194" s="94">
        <f t="shared" ref="A194:A257" si="6">VLOOKUP(B194,AuditNum,2,FALSE)</f>
        <v>193</v>
      </c>
      <c r="B194" s="39" t="str">
        <f t="shared" ref="B194:B257" si="7">D194</f>
        <v>SPS HYLAND ST BASSENDEAN</v>
      </c>
      <c r="C194" s="4" t="s">
        <v>1020</v>
      </c>
      <c r="D194" s="4" t="s">
        <v>1021</v>
      </c>
      <c r="E194" s="4" t="s">
        <v>931</v>
      </c>
      <c r="F194" s="4" t="s">
        <v>1022</v>
      </c>
      <c r="G194" s="4" t="s">
        <v>1023</v>
      </c>
      <c r="H194" s="4" t="s">
        <v>1024</v>
      </c>
      <c r="I194" s="4" t="s">
        <v>2764</v>
      </c>
      <c r="J194" s="4"/>
      <c r="K194" s="4"/>
      <c r="L194" s="4" t="s">
        <v>1025</v>
      </c>
      <c r="M194" s="4" t="s">
        <v>1026</v>
      </c>
      <c r="N194" s="4" t="s">
        <v>1027</v>
      </c>
      <c r="O194" s="4">
        <v>1983</v>
      </c>
      <c r="P194" s="4" t="s">
        <v>946</v>
      </c>
      <c r="Q194" s="4" t="s">
        <v>612</v>
      </c>
      <c r="R194" s="4" t="s">
        <v>1028</v>
      </c>
      <c r="S194" s="4" t="s">
        <v>571</v>
      </c>
      <c r="T194" s="4" t="s">
        <v>1029</v>
      </c>
      <c r="U194" s="4" t="s">
        <v>222</v>
      </c>
      <c r="V194" s="4" t="s">
        <v>222</v>
      </c>
      <c r="W194" s="4" t="s">
        <v>222</v>
      </c>
      <c r="X194" s="4" t="s">
        <v>222</v>
      </c>
      <c r="Y194" s="4" t="s">
        <v>222</v>
      </c>
      <c r="Z194" s="4" t="s">
        <v>222</v>
      </c>
      <c r="AA194" s="4" t="s">
        <v>222</v>
      </c>
      <c r="AB194" s="4" t="s">
        <v>222</v>
      </c>
      <c r="AC194" s="4" t="s">
        <v>1030</v>
      </c>
      <c r="AD194" s="4" t="s">
        <v>950</v>
      </c>
      <c r="AE194" s="4" t="s">
        <v>183</v>
      </c>
      <c r="AF194" s="4" t="s">
        <v>849</v>
      </c>
      <c r="AG194" s="4"/>
      <c r="AH194" s="1" t="s">
        <v>183</v>
      </c>
      <c r="AI194" s="1" t="s">
        <v>2815</v>
      </c>
      <c r="AJ194" s="1" t="s">
        <v>183</v>
      </c>
      <c r="AK194" s="1" t="s">
        <v>184</v>
      </c>
    </row>
    <row r="195" spans="1:37" x14ac:dyDescent="0.3">
      <c r="A195" s="94">
        <f t="shared" si="6"/>
        <v>194</v>
      </c>
      <c r="B195" s="39" t="str">
        <f t="shared" si="7"/>
        <v>SPS WATKINS ST EDEN HILL</v>
      </c>
      <c r="C195" s="4" t="s">
        <v>2671</v>
      </c>
      <c r="D195" s="4" t="s">
        <v>2672</v>
      </c>
      <c r="E195" s="4" t="s">
        <v>1497</v>
      </c>
      <c r="F195" s="4" t="s">
        <v>2673</v>
      </c>
      <c r="G195" s="4" t="s">
        <v>1300</v>
      </c>
      <c r="H195" s="4" t="s">
        <v>1024</v>
      </c>
      <c r="I195" s="4" t="s">
        <v>3045</v>
      </c>
      <c r="J195" s="4"/>
      <c r="K195" s="4"/>
      <c r="L195" s="4" t="s">
        <v>2674</v>
      </c>
      <c r="M195" s="4" t="s">
        <v>2675</v>
      </c>
      <c r="N195" s="4" t="s">
        <v>279</v>
      </c>
      <c r="O195" s="4">
        <v>1978</v>
      </c>
      <c r="P195" s="4"/>
      <c r="Q195" s="4" t="s">
        <v>612</v>
      </c>
      <c r="R195" s="4" t="s">
        <v>2676</v>
      </c>
      <c r="S195" s="4" t="s">
        <v>571</v>
      </c>
      <c r="T195" s="4" t="s">
        <v>2677</v>
      </c>
      <c r="U195" s="4" t="s">
        <v>566</v>
      </c>
      <c r="V195" s="4" t="s">
        <v>222</v>
      </c>
      <c r="W195" s="4" t="s">
        <v>222</v>
      </c>
      <c r="X195" s="4" t="s">
        <v>222</v>
      </c>
      <c r="Y195" s="4" t="s">
        <v>222</v>
      </c>
      <c r="Z195" s="4" t="s">
        <v>222</v>
      </c>
      <c r="AA195" s="4" t="s">
        <v>222</v>
      </c>
      <c r="AB195" s="4" t="s">
        <v>222</v>
      </c>
      <c r="AC195" s="4" t="s">
        <v>2678</v>
      </c>
      <c r="AD195" s="4" t="s">
        <v>950</v>
      </c>
      <c r="AE195" s="4" t="s">
        <v>183</v>
      </c>
      <c r="AF195" s="4" t="s">
        <v>849</v>
      </c>
      <c r="AG195" s="4"/>
      <c r="AH195" s="1" t="s">
        <v>183</v>
      </c>
      <c r="AI195" s="1" t="s">
        <v>2819</v>
      </c>
      <c r="AJ195" s="1" t="s">
        <v>183</v>
      </c>
      <c r="AK195" s="1" t="s">
        <v>183</v>
      </c>
    </row>
    <row r="196" spans="1:37" x14ac:dyDescent="0.3">
      <c r="A196" s="94">
        <f t="shared" si="6"/>
        <v>195</v>
      </c>
      <c r="B196" s="39" t="str">
        <f t="shared" si="7"/>
        <v>SPS KATANNING ST BAYSWATER</v>
      </c>
      <c r="C196" s="4" t="s">
        <v>2166</v>
      </c>
      <c r="D196" s="4" t="s">
        <v>2167</v>
      </c>
      <c r="E196" s="4" t="s">
        <v>1497</v>
      </c>
      <c r="F196" s="4" t="s">
        <v>2168</v>
      </c>
      <c r="G196" s="4" t="s">
        <v>303</v>
      </c>
      <c r="H196" s="4" t="s">
        <v>304</v>
      </c>
      <c r="I196" s="4" t="s">
        <v>2984</v>
      </c>
      <c r="J196" s="4"/>
      <c r="K196" s="4"/>
      <c r="L196" s="4" t="s">
        <v>2169</v>
      </c>
      <c r="M196" s="4" t="s">
        <v>2170</v>
      </c>
      <c r="N196" s="4" t="s">
        <v>1244</v>
      </c>
      <c r="O196" s="4">
        <v>1998</v>
      </c>
      <c r="P196" s="4"/>
      <c r="Q196" s="4" t="s">
        <v>631</v>
      </c>
      <c r="R196" s="4" t="s">
        <v>2171</v>
      </c>
      <c r="S196" s="4" t="s">
        <v>571</v>
      </c>
      <c r="T196" s="4" t="s">
        <v>2172</v>
      </c>
      <c r="U196" s="4">
        <v>200</v>
      </c>
      <c r="V196" s="4" t="s">
        <v>222</v>
      </c>
      <c r="W196" s="4">
        <v>415</v>
      </c>
      <c r="X196" s="4" t="s">
        <v>222</v>
      </c>
      <c r="Y196" s="4" t="s">
        <v>222</v>
      </c>
      <c r="Z196" s="4" t="s">
        <v>222</v>
      </c>
      <c r="AA196" s="4" t="s">
        <v>222</v>
      </c>
      <c r="AB196" s="4" t="s">
        <v>222</v>
      </c>
      <c r="AC196" s="4" t="s">
        <v>2173</v>
      </c>
      <c r="AD196" s="4" t="s">
        <v>950</v>
      </c>
      <c r="AE196" s="4" t="s">
        <v>183</v>
      </c>
      <c r="AF196" s="4" t="s">
        <v>839</v>
      </c>
      <c r="AG196" s="4"/>
      <c r="AH196" s="1" t="s">
        <v>183</v>
      </c>
      <c r="AI196" s="1" t="s">
        <v>2815</v>
      </c>
      <c r="AJ196" s="1" t="s">
        <v>184</v>
      </c>
      <c r="AK196" s="1" t="s">
        <v>184</v>
      </c>
    </row>
    <row r="197" spans="1:37" x14ac:dyDescent="0.3">
      <c r="A197" s="94">
        <f t="shared" si="6"/>
        <v>196</v>
      </c>
      <c r="B197" s="39" t="str">
        <f t="shared" si="7"/>
        <v>SPS NOLAN PL BAYSWATER</v>
      </c>
      <c r="C197" s="4" t="s">
        <v>2345</v>
      </c>
      <c r="D197" s="4" t="s">
        <v>2346</v>
      </c>
      <c r="E197" s="4" t="s">
        <v>1497</v>
      </c>
      <c r="F197" s="4" t="s">
        <v>2347</v>
      </c>
      <c r="G197" s="4" t="s">
        <v>303</v>
      </c>
      <c r="H197" s="4" t="s">
        <v>304</v>
      </c>
      <c r="I197" s="4" t="s">
        <v>3005</v>
      </c>
      <c r="J197" s="4"/>
      <c r="K197" s="4"/>
      <c r="L197" s="4" t="s">
        <v>2348</v>
      </c>
      <c r="M197" s="4" t="s">
        <v>2349</v>
      </c>
      <c r="N197" s="4" t="s">
        <v>2350</v>
      </c>
      <c r="O197" s="4">
        <v>1993</v>
      </c>
      <c r="P197" s="4"/>
      <c r="Q197" s="4" t="s">
        <v>222</v>
      </c>
      <c r="R197" s="4" t="s">
        <v>2351</v>
      </c>
      <c r="S197" s="4" t="s">
        <v>222</v>
      </c>
      <c r="T197" s="4" t="s">
        <v>2352</v>
      </c>
      <c r="U197" s="4" t="s">
        <v>566</v>
      </c>
      <c r="V197" s="4" t="s">
        <v>222</v>
      </c>
      <c r="W197" s="4" t="s">
        <v>222</v>
      </c>
      <c r="X197" s="4" t="s">
        <v>222</v>
      </c>
      <c r="Y197" s="4" t="s">
        <v>222</v>
      </c>
      <c r="Z197" s="4" t="s">
        <v>222</v>
      </c>
      <c r="AA197" s="4" t="s">
        <v>222</v>
      </c>
      <c r="AB197" s="4" t="s">
        <v>222</v>
      </c>
      <c r="AC197" s="4" t="s">
        <v>2353</v>
      </c>
      <c r="AD197" s="4" t="s">
        <v>950</v>
      </c>
      <c r="AE197" s="4" t="s">
        <v>183</v>
      </c>
      <c r="AF197" s="4" t="s">
        <v>849</v>
      </c>
      <c r="AG197" s="4"/>
      <c r="AH197" s="1" t="s">
        <v>183</v>
      </c>
      <c r="AI197" s="1" t="s">
        <v>2815</v>
      </c>
      <c r="AJ197" s="1" t="s">
        <v>184</v>
      </c>
      <c r="AK197" s="1" t="s">
        <v>184</v>
      </c>
    </row>
    <row r="198" spans="1:37" x14ac:dyDescent="0.3">
      <c r="A198" s="94">
        <f t="shared" si="6"/>
        <v>197</v>
      </c>
      <c r="B198" s="39" t="str">
        <f t="shared" si="7"/>
        <v>SPS SLADE ST BAYSWATER</v>
      </c>
      <c r="C198" s="4" t="s">
        <v>92</v>
      </c>
      <c r="D198" s="4" t="s">
        <v>93</v>
      </c>
      <c r="E198" s="4" t="s">
        <v>831</v>
      </c>
      <c r="F198" s="4" t="s">
        <v>302</v>
      </c>
      <c r="G198" s="4" t="s">
        <v>303</v>
      </c>
      <c r="H198" s="4" t="s">
        <v>304</v>
      </c>
      <c r="I198" s="4" t="s">
        <v>863</v>
      </c>
      <c r="J198" s="4" t="s">
        <v>560</v>
      </c>
      <c r="K198" s="4" t="s">
        <v>615</v>
      </c>
      <c r="L198" s="4" t="s">
        <v>305</v>
      </c>
      <c r="M198" s="4" t="s">
        <v>306</v>
      </c>
      <c r="N198" s="4" t="s">
        <v>307</v>
      </c>
      <c r="O198" s="4">
        <v>1990</v>
      </c>
      <c r="P198" s="4" t="s">
        <v>855</v>
      </c>
      <c r="Q198" s="4" t="s">
        <v>616</v>
      </c>
      <c r="R198" s="4" t="s">
        <v>617</v>
      </c>
      <c r="S198" s="4" t="s">
        <v>618</v>
      </c>
      <c r="T198" s="4" t="s">
        <v>619</v>
      </c>
      <c r="U198" s="4">
        <v>500</v>
      </c>
      <c r="V198" s="4">
        <v>11</v>
      </c>
      <c r="W198" s="4">
        <v>440</v>
      </c>
      <c r="X198" s="4" t="s">
        <v>222</v>
      </c>
      <c r="Y198" s="4" t="s">
        <v>222</v>
      </c>
      <c r="Z198" s="4" t="s">
        <v>222</v>
      </c>
      <c r="AA198" s="4" t="s">
        <v>222</v>
      </c>
      <c r="AB198" s="4" t="s">
        <v>222</v>
      </c>
      <c r="AC198" s="4" t="s">
        <v>776</v>
      </c>
      <c r="AD198" s="4"/>
      <c r="AE198" s="4" t="s">
        <v>184</v>
      </c>
      <c r="AF198" s="4" t="s">
        <v>849</v>
      </c>
      <c r="AG198" s="4"/>
      <c r="AH198" s="1" t="s">
        <v>183</v>
      </c>
      <c r="AI198" s="1" t="s">
        <v>2819</v>
      </c>
      <c r="AJ198" s="1" t="s">
        <v>183</v>
      </c>
      <c r="AK198" s="1" t="s">
        <v>184</v>
      </c>
    </row>
    <row r="199" spans="1:37" x14ac:dyDescent="0.3">
      <c r="A199" s="94">
        <f t="shared" si="6"/>
        <v>198</v>
      </c>
      <c r="B199" s="39" t="str">
        <f t="shared" si="7"/>
        <v>SPS WYATT RD BAYSWATER</v>
      </c>
      <c r="C199" s="4" t="s">
        <v>2744</v>
      </c>
      <c r="D199" s="4" t="s">
        <v>2745</v>
      </c>
      <c r="E199" s="4" t="s">
        <v>1497</v>
      </c>
      <c r="F199" s="4" t="s">
        <v>2746</v>
      </c>
      <c r="G199" s="4" t="s">
        <v>303</v>
      </c>
      <c r="H199" s="4" t="s">
        <v>304</v>
      </c>
      <c r="I199" s="4" t="s">
        <v>3054</v>
      </c>
      <c r="J199" s="4"/>
      <c r="K199" s="4"/>
      <c r="L199" s="4" t="s">
        <v>2747</v>
      </c>
      <c r="M199" s="4" t="s">
        <v>2748</v>
      </c>
      <c r="N199" s="4" t="s">
        <v>1648</v>
      </c>
      <c r="O199" s="4">
        <v>1999</v>
      </c>
      <c r="P199" s="4"/>
      <c r="Q199" s="4" t="s">
        <v>631</v>
      </c>
      <c r="R199" s="4" t="s">
        <v>2749</v>
      </c>
      <c r="S199" s="4" t="s">
        <v>571</v>
      </c>
      <c r="T199" s="4" t="s">
        <v>2750</v>
      </c>
      <c r="U199" s="4">
        <v>200</v>
      </c>
      <c r="V199" s="4" t="s">
        <v>222</v>
      </c>
      <c r="W199" s="4">
        <v>415</v>
      </c>
      <c r="X199" s="4" t="s">
        <v>222</v>
      </c>
      <c r="Y199" s="4" t="s">
        <v>222</v>
      </c>
      <c r="Z199" s="4" t="s">
        <v>222</v>
      </c>
      <c r="AA199" s="4" t="s">
        <v>222</v>
      </c>
      <c r="AB199" s="4" t="s">
        <v>222</v>
      </c>
      <c r="AC199" s="4" t="s">
        <v>2751</v>
      </c>
      <c r="AD199" s="4" t="s">
        <v>950</v>
      </c>
      <c r="AE199" s="4" t="s">
        <v>183</v>
      </c>
      <c r="AF199" s="4" t="s">
        <v>844</v>
      </c>
      <c r="AG199" s="4"/>
      <c r="AH199" s="1" t="s">
        <v>183</v>
      </c>
      <c r="AI199" s="1" t="s">
        <v>1750</v>
      </c>
      <c r="AJ199" s="1" t="s">
        <v>183</v>
      </c>
      <c r="AK199" s="1" t="s">
        <v>184</v>
      </c>
    </row>
    <row r="200" spans="1:37" x14ac:dyDescent="0.3">
      <c r="A200" s="94">
        <f t="shared" si="6"/>
        <v>199</v>
      </c>
      <c r="B200" s="39" t="str">
        <f t="shared" si="7"/>
        <v>SPS JOHN ST INGLEWOOD</v>
      </c>
      <c r="C200" s="4" t="s">
        <v>2147</v>
      </c>
      <c r="D200" s="4" t="s">
        <v>2148</v>
      </c>
      <c r="E200" s="4" t="s">
        <v>1497</v>
      </c>
      <c r="F200" s="4" t="s">
        <v>2149</v>
      </c>
      <c r="G200" s="4" t="s">
        <v>2150</v>
      </c>
      <c r="H200" s="4" t="s">
        <v>2151</v>
      </c>
      <c r="I200" s="4" t="s">
        <v>2982</v>
      </c>
      <c r="J200" s="4"/>
      <c r="K200" s="4"/>
      <c r="L200" s="4" t="s">
        <v>2152</v>
      </c>
      <c r="M200" s="4" t="s">
        <v>2153</v>
      </c>
      <c r="N200" s="4" t="s">
        <v>2154</v>
      </c>
      <c r="O200" s="4">
        <v>1984</v>
      </c>
      <c r="P200" s="4"/>
      <c r="Q200" s="4" t="s">
        <v>222</v>
      </c>
      <c r="R200" s="4" t="s">
        <v>2155</v>
      </c>
      <c r="S200" s="4" t="s">
        <v>222</v>
      </c>
      <c r="T200" s="4" t="s">
        <v>2156</v>
      </c>
      <c r="U200" s="4" t="s">
        <v>566</v>
      </c>
      <c r="V200" s="4" t="s">
        <v>222</v>
      </c>
      <c r="W200" s="4" t="s">
        <v>222</v>
      </c>
      <c r="X200" s="4" t="s">
        <v>222</v>
      </c>
      <c r="Y200" s="4" t="s">
        <v>222</v>
      </c>
      <c r="Z200" s="4" t="s">
        <v>222</v>
      </c>
      <c r="AA200" s="4" t="s">
        <v>222</v>
      </c>
      <c r="AB200" s="4" t="s">
        <v>222</v>
      </c>
      <c r="AC200" s="4" t="s">
        <v>2157</v>
      </c>
      <c r="AD200" s="4" t="s">
        <v>950</v>
      </c>
      <c r="AE200" s="4" t="s">
        <v>183</v>
      </c>
      <c r="AF200" s="4" t="s">
        <v>836</v>
      </c>
      <c r="AG200" s="4"/>
      <c r="AH200" s="1" t="s">
        <v>183</v>
      </c>
      <c r="AI200" s="1" t="s">
        <v>2819</v>
      </c>
      <c r="AJ200" s="1" t="s">
        <v>184</v>
      </c>
      <c r="AK200" s="1" t="s">
        <v>183</v>
      </c>
    </row>
    <row r="201" spans="1:37" x14ac:dyDescent="0.3">
      <c r="A201" s="94">
        <f t="shared" si="6"/>
        <v>200</v>
      </c>
      <c r="B201" s="39" t="str">
        <f t="shared" si="7"/>
        <v>SPS CALEDONIAN AV MAYLANDS</v>
      </c>
      <c r="C201" s="4" t="s">
        <v>1670</v>
      </c>
      <c r="D201" s="4" t="s">
        <v>1671</v>
      </c>
      <c r="E201" s="4" t="s">
        <v>1497</v>
      </c>
      <c r="F201" s="4" t="s">
        <v>1672</v>
      </c>
      <c r="G201" s="4" t="s">
        <v>463</v>
      </c>
      <c r="H201" s="4" t="s">
        <v>464</v>
      </c>
      <c r="I201" s="4" t="s">
        <v>2927</v>
      </c>
      <c r="J201" s="4"/>
      <c r="K201" s="4"/>
      <c r="L201" s="4" t="s">
        <v>1673</v>
      </c>
      <c r="M201" s="4" t="s">
        <v>1674</v>
      </c>
      <c r="N201" s="4" t="s">
        <v>1675</v>
      </c>
      <c r="O201" s="4">
        <v>1937</v>
      </c>
      <c r="P201" s="4"/>
      <c r="Q201" s="4" t="s">
        <v>222</v>
      </c>
      <c r="R201" s="4" t="s">
        <v>1676</v>
      </c>
      <c r="S201" s="4" t="s">
        <v>222</v>
      </c>
      <c r="T201" s="4" t="s">
        <v>1677</v>
      </c>
      <c r="U201" s="4" t="s">
        <v>566</v>
      </c>
      <c r="V201" s="4" t="s">
        <v>222</v>
      </c>
      <c r="W201" s="4" t="s">
        <v>222</v>
      </c>
      <c r="X201" s="4" t="s">
        <v>222</v>
      </c>
      <c r="Y201" s="4" t="s">
        <v>222</v>
      </c>
      <c r="Z201" s="4" t="s">
        <v>222</v>
      </c>
      <c r="AA201" s="4" t="s">
        <v>222</v>
      </c>
      <c r="AB201" s="4" t="s">
        <v>222</v>
      </c>
      <c r="AC201" s="4" t="s">
        <v>1678</v>
      </c>
      <c r="AD201" s="4" t="s">
        <v>950</v>
      </c>
      <c r="AE201" s="4" t="s">
        <v>183</v>
      </c>
      <c r="AF201" s="4" t="s">
        <v>836</v>
      </c>
      <c r="AG201" s="4"/>
      <c r="AH201" s="1" t="s">
        <v>183</v>
      </c>
      <c r="AI201" s="1" t="s">
        <v>2815</v>
      </c>
      <c r="AJ201" s="1" t="s">
        <v>183</v>
      </c>
      <c r="AK201" s="1" t="s">
        <v>184</v>
      </c>
    </row>
    <row r="202" spans="1:37" x14ac:dyDescent="0.3">
      <c r="A202" s="94">
        <f t="shared" si="6"/>
        <v>201</v>
      </c>
      <c r="B202" s="39" t="str">
        <f t="shared" si="7"/>
        <v>SPS JOHNSON RD MAYLANDS</v>
      </c>
      <c r="C202" s="4" t="s">
        <v>2158</v>
      </c>
      <c r="D202" s="4" t="s">
        <v>2159</v>
      </c>
      <c r="E202" s="4" t="s">
        <v>1497</v>
      </c>
      <c r="F202" s="4" t="s">
        <v>2160</v>
      </c>
      <c r="G202" s="4" t="s">
        <v>463</v>
      </c>
      <c r="H202" s="4" t="s">
        <v>464</v>
      </c>
      <c r="I202" s="4" t="s">
        <v>2983</v>
      </c>
      <c r="J202" s="4"/>
      <c r="K202" s="4"/>
      <c r="L202" s="4" t="s">
        <v>2161</v>
      </c>
      <c r="M202" s="4" t="s">
        <v>2162</v>
      </c>
      <c r="N202" s="4" t="s">
        <v>273</v>
      </c>
      <c r="O202" s="4">
        <v>1984</v>
      </c>
      <c r="P202" s="4"/>
      <c r="Q202" s="4" t="s">
        <v>612</v>
      </c>
      <c r="R202" s="4" t="s">
        <v>2163</v>
      </c>
      <c r="S202" s="4" t="s">
        <v>571</v>
      </c>
      <c r="T202" s="4" t="s">
        <v>2164</v>
      </c>
      <c r="U202" s="4" t="s">
        <v>566</v>
      </c>
      <c r="V202" s="4" t="s">
        <v>222</v>
      </c>
      <c r="W202" s="4" t="s">
        <v>222</v>
      </c>
      <c r="X202" s="4" t="s">
        <v>222</v>
      </c>
      <c r="Y202" s="4" t="s">
        <v>222</v>
      </c>
      <c r="Z202" s="4" t="s">
        <v>222</v>
      </c>
      <c r="AA202" s="4" t="s">
        <v>222</v>
      </c>
      <c r="AB202" s="4" t="s">
        <v>222</v>
      </c>
      <c r="AC202" s="4" t="s">
        <v>2165</v>
      </c>
      <c r="AD202" s="4" t="s">
        <v>950</v>
      </c>
      <c r="AE202" s="4" t="s">
        <v>183</v>
      </c>
      <c r="AF202" s="4" t="s">
        <v>839</v>
      </c>
      <c r="AG202" s="4"/>
      <c r="AH202" s="1" t="s">
        <v>183</v>
      </c>
      <c r="AI202" s="1" t="s">
        <v>2815</v>
      </c>
      <c r="AJ202" s="1" t="s">
        <v>184</v>
      </c>
      <c r="AK202" s="1" t="s">
        <v>184</v>
      </c>
    </row>
    <row r="203" spans="1:37" x14ac:dyDescent="0.3">
      <c r="A203" s="94">
        <f t="shared" si="6"/>
        <v>202</v>
      </c>
      <c r="B203" s="39" t="str">
        <f t="shared" si="7"/>
        <v>SPS KELVIN ST MAYLANDS</v>
      </c>
      <c r="C203" s="4" t="s">
        <v>2184</v>
      </c>
      <c r="D203" s="4" t="s">
        <v>2185</v>
      </c>
      <c r="E203" s="4" t="s">
        <v>1497</v>
      </c>
      <c r="F203" s="4" t="s">
        <v>2186</v>
      </c>
      <c r="G203" s="4" t="s">
        <v>463</v>
      </c>
      <c r="H203" s="4" t="s">
        <v>464</v>
      </c>
      <c r="I203" s="4" t="s">
        <v>2986</v>
      </c>
      <c r="J203" s="4"/>
      <c r="K203" s="4"/>
      <c r="L203" s="4" t="s">
        <v>2187</v>
      </c>
      <c r="M203" s="4" t="s">
        <v>2188</v>
      </c>
      <c r="N203" s="4" t="s">
        <v>2189</v>
      </c>
      <c r="O203" s="4">
        <v>1968</v>
      </c>
      <c r="P203" s="4"/>
      <c r="Q203" s="4" t="s">
        <v>222</v>
      </c>
      <c r="R203" s="4" t="s">
        <v>2190</v>
      </c>
      <c r="S203" s="4" t="s">
        <v>571</v>
      </c>
      <c r="T203" s="4" t="s">
        <v>2191</v>
      </c>
      <c r="U203" s="4" t="s">
        <v>566</v>
      </c>
      <c r="V203" s="4" t="s">
        <v>222</v>
      </c>
      <c r="W203" s="4" t="s">
        <v>222</v>
      </c>
      <c r="X203" s="4" t="s">
        <v>222</v>
      </c>
      <c r="Y203" s="4" t="s">
        <v>222</v>
      </c>
      <c r="Z203" s="4" t="s">
        <v>222</v>
      </c>
      <c r="AA203" s="4" t="s">
        <v>222</v>
      </c>
      <c r="AB203" s="4" t="s">
        <v>222</v>
      </c>
      <c r="AC203" s="4" t="s">
        <v>2192</v>
      </c>
      <c r="AD203" s="4" t="s">
        <v>950</v>
      </c>
      <c r="AE203" s="4" t="s">
        <v>183</v>
      </c>
      <c r="AF203" s="4" t="s">
        <v>844</v>
      </c>
      <c r="AG203" s="4"/>
      <c r="AH203" s="1" t="s">
        <v>183</v>
      </c>
      <c r="AI203" s="1" t="s">
        <v>2815</v>
      </c>
      <c r="AJ203" s="1" t="s">
        <v>183</v>
      </c>
      <c r="AK203" s="1" t="s">
        <v>184</v>
      </c>
    </row>
    <row r="204" spans="1:37" x14ac:dyDescent="0.3">
      <c r="A204" s="94">
        <f t="shared" si="6"/>
        <v>203</v>
      </c>
      <c r="B204" s="39" t="str">
        <f t="shared" si="7"/>
        <v>SPS KITTYHAWK VIEW MAYLANDS</v>
      </c>
      <c r="C204" s="4" t="s">
        <v>2202</v>
      </c>
      <c r="D204" s="4" t="s">
        <v>2203</v>
      </c>
      <c r="E204" s="4" t="s">
        <v>1497</v>
      </c>
      <c r="F204" s="4" t="s">
        <v>2204</v>
      </c>
      <c r="G204" s="4" t="s">
        <v>463</v>
      </c>
      <c r="H204" s="4" t="s">
        <v>464</v>
      </c>
      <c r="I204" s="4" t="s">
        <v>2988</v>
      </c>
      <c r="J204" s="4"/>
      <c r="K204" s="4"/>
      <c r="L204" s="4" t="s">
        <v>2205</v>
      </c>
      <c r="M204" s="4" t="s">
        <v>2206</v>
      </c>
      <c r="N204" s="4" t="s">
        <v>1244</v>
      </c>
      <c r="O204" s="4">
        <v>1998</v>
      </c>
      <c r="P204" s="4"/>
      <c r="Q204" s="4" t="s">
        <v>222</v>
      </c>
      <c r="R204" s="4" t="s">
        <v>2207</v>
      </c>
      <c r="S204" s="4" t="s">
        <v>222</v>
      </c>
      <c r="T204" s="4" t="s">
        <v>2208</v>
      </c>
      <c r="U204" s="4" t="s">
        <v>566</v>
      </c>
      <c r="V204" s="4" t="s">
        <v>222</v>
      </c>
      <c r="W204" s="4" t="s">
        <v>222</v>
      </c>
      <c r="X204" s="4" t="s">
        <v>222</v>
      </c>
      <c r="Y204" s="4" t="s">
        <v>222</v>
      </c>
      <c r="Z204" s="4" t="s">
        <v>222</v>
      </c>
      <c r="AA204" s="4" t="s">
        <v>222</v>
      </c>
      <c r="AB204" s="4" t="s">
        <v>222</v>
      </c>
      <c r="AC204" s="4" t="s">
        <v>2209</v>
      </c>
      <c r="AD204" s="4" t="s">
        <v>950</v>
      </c>
      <c r="AE204" s="4" t="s">
        <v>183</v>
      </c>
      <c r="AF204" s="4" t="s">
        <v>844</v>
      </c>
      <c r="AG204" s="4"/>
      <c r="AH204" s="1" t="s">
        <v>183</v>
      </c>
      <c r="AI204" s="1" t="s">
        <v>2819</v>
      </c>
      <c r="AJ204" s="1" t="s">
        <v>184</v>
      </c>
      <c r="AK204" s="1" t="s">
        <v>183</v>
      </c>
    </row>
    <row r="205" spans="1:37" x14ac:dyDescent="0.3">
      <c r="A205" s="94">
        <f t="shared" si="6"/>
        <v>204</v>
      </c>
      <c r="B205" s="39" t="str">
        <f t="shared" si="7"/>
        <v>SPS DEELEY ST MAYLANDS</v>
      </c>
      <c r="C205" s="4" t="s">
        <v>156</v>
      </c>
      <c r="D205" s="4" t="s">
        <v>157</v>
      </c>
      <c r="E205" s="4" t="s">
        <v>858</v>
      </c>
      <c r="F205" s="4" t="s">
        <v>462</v>
      </c>
      <c r="G205" s="4" t="s">
        <v>463</v>
      </c>
      <c r="H205" s="4" t="s">
        <v>464</v>
      </c>
      <c r="I205" s="4" t="s">
        <v>909</v>
      </c>
      <c r="J205" s="4" t="s">
        <v>560</v>
      </c>
      <c r="K205" s="4" t="s">
        <v>722</v>
      </c>
      <c r="L205" s="4" t="s">
        <v>465</v>
      </c>
      <c r="M205" s="4" t="s">
        <v>466</v>
      </c>
      <c r="N205" s="4" t="s">
        <v>334</v>
      </c>
      <c r="O205" s="4">
        <v>1979</v>
      </c>
      <c r="P205" s="4" t="s">
        <v>887</v>
      </c>
      <c r="Q205" s="4" t="s">
        <v>612</v>
      </c>
      <c r="R205" s="4" t="s">
        <v>723</v>
      </c>
      <c r="S205" s="4" t="s">
        <v>571</v>
      </c>
      <c r="T205" s="4" t="s">
        <v>724</v>
      </c>
      <c r="U205" s="4" t="s">
        <v>566</v>
      </c>
      <c r="V205" s="4" t="s">
        <v>222</v>
      </c>
      <c r="W205" s="4" t="s">
        <v>222</v>
      </c>
      <c r="X205" s="4" t="s">
        <v>222</v>
      </c>
      <c r="Y205" s="4" t="s">
        <v>222</v>
      </c>
      <c r="Z205" s="4" t="s">
        <v>222</v>
      </c>
      <c r="AA205" s="4" t="s">
        <v>222</v>
      </c>
      <c r="AB205" s="4" t="s">
        <v>222</v>
      </c>
      <c r="AC205" s="4" t="s">
        <v>808</v>
      </c>
      <c r="AD205" s="4"/>
      <c r="AE205" s="4" t="s">
        <v>183</v>
      </c>
      <c r="AF205" s="4" t="s">
        <v>849</v>
      </c>
      <c r="AG205" s="4"/>
      <c r="AH205" s="1" t="s">
        <v>183</v>
      </c>
      <c r="AI205" s="1" t="s">
        <v>2815</v>
      </c>
      <c r="AJ205" s="1" t="s">
        <v>184</v>
      </c>
      <c r="AK205" s="1" t="s">
        <v>184</v>
      </c>
    </row>
    <row r="206" spans="1:37" x14ac:dyDescent="0.3">
      <c r="A206" s="94">
        <f t="shared" si="6"/>
        <v>205</v>
      </c>
      <c r="B206" s="39" t="str">
        <f t="shared" si="7"/>
        <v>SPS CENTRAL AV MT LAWLEY</v>
      </c>
      <c r="C206" s="4" t="s">
        <v>939</v>
      </c>
      <c r="D206" s="4" t="s">
        <v>940</v>
      </c>
      <c r="E206" s="4" t="s">
        <v>931</v>
      </c>
      <c r="F206" s="4" t="s">
        <v>941</v>
      </c>
      <c r="G206" s="4" t="s">
        <v>942</v>
      </c>
      <c r="H206" s="4" t="s">
        <v>943</v>
      </c>
      <c r="I206" s="4" t="s">
        <v>2756</v>
      </c>
      <c r="J206" s="4"/>
      <c r="K206" s="4"/>
      <c r="L206" s="4" t="s">
        <v>944</v>
      </c>
      <c r="M206" s="4" t="s">
        <v>945</v>
      </c>
      <c r="N206" s="4" t="s">
        <v>334</v>
      </c>
      <c r="O206" s="4">
        <v>1978</v>
      </c>
      <c r="P206" s="4" t="s">
        <v>946</v>
      </c>
      <c r="Q206" s="4" t="s">
        <v>612</v>
      </c>
      <c r="R206" s="4" t="s">
        <v>947</v>
      </c>
      <c r="S206" s="4" t="s">
        <v>571</v>
      </c>
      <c r="T206" s="4" t="s">
        <v>948</v>
      </c>
      <c r="U206" s="4" t="s">
        <v>566</v>
      </c>
      <c r="V206" s="4" t="s">
        <v>222</v>
      </c>
      <c r="W206" s="4" t="s">
        <v>222</v>
      </c>
      <c r="X206" s="4">
        <v>415</v>
      </c>
      <c r="Y206" s="4" t="s">
        <v>222</v>
      </c>
      <c r="Z206" s="4" t="s">
        <v>222</v>
      </c>
      <c r="AA206" s="4" t="s">
        <v>222</v>
      </c>
      <c r="AB206" s="4" t="s">
        <v>222</v>
      </c>
      <c r="AC206" s="4" t="s">
        <v>949</v>
      </c>
      <c r="AD206" s="4" t="s">
        <v>950</v>
      </c>
      <c r="AE206" s="4" t="s">
        <v>183</v>
      </c>
      <c r="AF206" s="4" t="s">
        <v>849</v>
      </c>
      <c r="AG206" s="4"/>
      <c r="AH206" s="1" t="s">
        <v>183</v>
      </c>
      <c r="AI206" s="1" t="s">
        <v>2819</v>
      </c>
      <c r="AJ206" s="1" t="s">
        <v>183</v>
      </c>
      <c r="AK206" s="1" t="s">
        <v>183</v>
      </c>
    </row>
    <row r="207" spans="1:37" x14ac:dyDescent="0.3">
      <c r="A207" s="94">
        <f t="shared" si="6"/>
        <v>206</v>
      </c>
      <c r="B207" s="39" t="str">
        <f t="shared" si="7"/>
        <v>SPS WANNEROO RD NEERABUP</v>
      </c>
      <c r="C207" s="4" t="s">
        <v>1225</v>
      </c>
      <c r="D207" s="4" t="s">
        <v>1226</v>
      </c>
      <c r="E207" s="4" t="s">
        <v>1106</v>
      </c>
      <c r="F207" s="4" t="s">
        <v>1227</v>
      </c>
      <c r="G207" s="4" t="s">
        <v>1228</v>
      </c>
      <c r="H207" s="4" t="s">
        <v>1229</v>
      </c>
      <c r="I207" s="4" t="s">
        <v>2783</v>
      </c>
      <c r="J207" s="4"/>
      <c r="K207" s="4"/>
      <c r="L207" s="4" t="s">
        <v>1230</v>
      </c>
      <c r="M207" s="4" t="s">
        <v>1231</v>
      </c>
      <c r="N207" s="4" t="s">
        <v>1232</v>
      </c>
      <c r="O207" s="4">
        <v>2008</v>
      </c>
      <c r="P207" s="4" t="s">
        <v>1233</v>
      </c>
      <c r="Q207" s="4" t="s">
        <v>222</v>
      </c>
      <c r="R207" s="4" t="s">
        <v>1234</v>
      </c>
      <c r="S207" s="4" t="s">
        <v>222</v>
      </c>
      <c r="T207" s="4" t="s">
        <v>1235</v>
      </c>
      <c r="U207" s="4">
        <v>300</v>
      </c>
      <c r="V207" s="4" t="s">
        <v>222</v>
      </c>
      <c r="W207" s="4" t="s">
        <v>222</v>
      </c>
      <c r="X207" s="4">
        <v>415</v>
      </c>
      <c r="Y207" s="4">
        <v>800</v>
      </c>
      <c r="Z207" s="4">
        <v>30</v>
      </c>
      <c r="AA207" s="4" t="s">
        <v>222</v>
      </c>
      <c r="AB207" s="4" t="s">
        <v>222</v>
      </c>
      <c r="AC207" s="4" t="s">
        <v>1236</v>
      </c>
      <c r="AD207" s="4" t="s">
        <v>950</v>
      </c>
      <c r="AE207" s="4" t="s">
        <v>184</v>
      </c>
      <c r="AF207" s="4" t="s">
        <v>849</v>
      </c>
      <c r="AG207" s="4"/>
      <c r="AH207" s="1" t="s">
        <v>183</v>
      </c>
      <c r="AI207" s="1" t="s">
        <v>2815</v>
      </c>
      <c r="AJ207" s="1" t="s">
        <v>184</v>
      </c>
      <c r="AK207" s="1" t="s">
        <v>184</v>
      </c>
    </row>
    <row r="208" spans="1:37" x14ac:dyDescent="0.3">
      <c r="A208" s="94">
        <f t="shared" si="6"/>
        <v>207</v>
      </c>
      <c r="B208" s="39" t="str">
        <f t="shared" si="7"/>
        <v>SPS BALTIMORE PDE MERRIWA</v>
      </c>
      <c r="C208" s="4" t="s">
        <v>1440</v>
      </c>
      <c r="D208" s="4" t="s">
        <v>1441</v>
      </c>
      <c r="E208" s="4" t="s">
        <v>1106</v>
      </c>
      <c r="F208" s="4" t="s">
        <v>1442</v>
      </c>
      <c r="G208" s="4" t="s">
        <v>1443</v>
      </c>
      <c r="H208" s="4" t="s">
        <v>1347</v>
      </c>
      <c r="I208" s="4" t="s">
        <v>2805</v>
      </c>
      <c r="J208" s="4"/>
      <c r="K208" s="4"/>
      <c r="L208" s="4" t="s">
        <v>1444</v>
      </c>
      <c r="M208" s="4" t="s">
        <v>1445</v>
      </c>
      <c r="N208" s="4" t="s">
        <v>1037</v>
      </c>
      <c r="O208" s="4">
        <v>1993</v>
      </c>
      <c r="P208" s="4" t="s">
        <v>222</v>
      </c>
      <c r="Q208" s="4" t="s">
        <v>222</v>
      </c>
      <c r="R208" s="4" t="s">
        <v>1446</v>
      </c>
      <c r="S208" s="4" t="s">
        <v>222</v>
      </c>
      <c r="T208" s="4" t="s">
        <v>1447</v>
      </c>
      <c r="U208" s="4" t="s">
        <v>566</v>
      </c>
      <c r="V208" s="4" t="s">
        <v>222</v>
      </c>
      <c r="W208" s="4" t="s">
        <v>222</v>
      </c>
      <c r="X208" s="4" t="s">
        <v>222</v>
      </c>
      <c r="Y208" s="4" t="s">
        <v>222</v>
      </c>
      <c r="Z208" s="4" t="s">
        <v>222</v>
      </c>
      <c r="AA208" s="4" t="s">
        <v>222</v>
      </c>
      <c r="AB208" s="4" t="s">
        <v>222</v>
      </c>
      <c r="AC208" s="4" t="s">
        <v>1448</v>
      </c>
      <c r="AD208" s="4" t="s">
        <v>950</v>
      </c>
      <c r="AE208" s="4" t="s">
        <v>183</v>
      </c>
      <c r="AF208" s="4" t="s">
        <v>836</v>
      </c>
      <c r="AG208" s="4"/>
      <c r="AH208" s="1" t="s">
        <v>183</v>
      </c>
      <c r="AI208" s="1" t="s">
        <v>2819</v>
      </c>
      <c r="AJ208" s="1" t="s">
        <v>183</v>
      </c>
      <c r="AK208" s="1" t="s">
        <v>183</v>
      </c>
    </row>
    <row r="209" spans="1:37" x14ac:dyDescent="0.3">
      <c r="A209" s="94">
        <f t="shared" si="6"/>
        <v>208</v>
      </c>
      <c r="B209" s="39" t="str">
        <f t="shared" si="7"/>
        <v>SPS CONNOLLY DR CLARKSON</v>
      </c>
      <c r="C209" s="4" t="s">
        <v>1467</v>
      </c>
      <c r="D209" s="4" t="s">
        <v>1468</v>
      </c>
      <c r="E209" s="4" t="s">
        <v>1106</v>
      </c>
      <c r="F209" s="4" t="s">
        <v>1469</v>
      </c>
      <c r="G209" s="4" t="s">
        <v>1470</v>
      </c>
      <c r="H209" s="4" t="s">
        <v>1347</v>
      </c>
      <c r="I209" s="4" t="s">
        <v>2808</v>
      </c>
      <c r="J209" s="4"/>
      <c r="K209" s="4"/>
      <c r="L209" s="4" t="s">
        <v>1471</v>
      </c>
      <c r="M209" s="4" t="s">
        <v>1472</v>
      </c>
      <c r="N209" s="4" t="s">
        <v>1181</v>
      </c>
      <c r="O209" s="4">
        <v>2006</v>
      </c>
      <c r="P209" s="4" t="s">
        <v>222</v>
      </c>
      <c r="Q209" s="4" t="s">
        <v>569</v>
      </c>
      <c r="R209" s="4" t="s">
        <v>222</v>
      </c>
      <c r="S209" s="4" t="s">
        <v>571</v>
      </c>
      <c r="T209" s="4" t="s">
        <v>1473</v>
      </c>
      <c r="U209" s="4">
        <v>315</v>
      </c>
      <c r="V209" s="4">
        <v>22</v>
      </c>
      <c r="W209" s="4">
        <v>415</v>
      </c>
      <c r="X209" s="4" t="s">
        <v>222</v>
      </c>
      <c r="Y209" s="4" t="s">
        <v>222</v>
      </c>
      <c r="Z209" s="4" t="s">
        <v>222</v>
      </c>
      <c r="AA209" s="4" t="s">
        <v>222</v>
      </c>
      <c r="AB209" s="4" t="s">
        <v>222</v>
      </c>
      <c r="AC209" s="4" t="s">
        <v>1474</v>
      </c>
      <c r="AD209" s="4" t="s">
        <v>950</v>
      </c>
      <c r="AE209" s="4" t="s">
        <v>184</v>
      </c>
      <c r="AF209" s="4" t="s">
        <v>849</v>
      </c>
      <c r="AG209" s="4"/>
      <c r="AH209" s="1" t="s">
        <v>183</v>
      </c>
      <c r="AI209" s="1" t="s">
        <v>2815</v>
      </c>
      <c r="AJ209" s="1" t="s">
        <v>183</v>
      </c>
      <c r="AK209" s="1" t="s">
        <v>183</v>
      </c>
    </row>
    <row r="210" spans="1:37" x14ac:dyDescent="0.3">
      <c r="A210" s="94">
        <f t="shared" si="6"/>
        <v>209</v>
      </c>
      <c r="B210" s="39" t="str">
        <f t="shared" si="7"/>
        <v>SPS ROSSLARE PROM MINDARIE</v>
      </c>
      <c r="C210" s="4" t="s">
        <v>1343</v>
      </c>
      <c r="D210" s="4" t="s">
        <v>1344</v>
      </c>
      <c r="E210" s="4" t="s">
        <v>1106</v>
      </c>
      <c r="F210" s="4" t="s">
        <v>1345</v>
      </c>
      <c r="G210" s="4" t="s">
        <v>1346</v>
      </c>
      <c r="H210" s="4" t="s">
        <v>1347</v>
      </c>
      <c r="I210" s="4" t="s">
        <v>2795</v>
      </c>
      <c r="J210" s="4"/>
      <c r="K210" s="4"/>
      <c r="L210" s="4" t="s">
        <v>1348</v>
      </c>
      <c r="M210" s="4" t="s">
        <v>1349</v>
      </c>
      <c r="N210" s="4" t="s">
        <v>1059</v>
      </c>
      <c r="O210" s="4">
        <v>1988</v>
      </c>
      <c r="P210" s="4" t="s">
        <v>1350</v>
      </c>
      <c r="Q210" s="4" t="s">
        <v>612</v>
      </c>
      <c r="R210" s="4" t="s">
        <v>1351</v>
      </c>
      <c r="S210" s="4" t="s">
        <v>571</v>
      </c>
      <c r="T210" s="4" t="s">
        <v>1352</v>
      </c>
      <c r="U210" s="4" t="s">
        <v>566</v>
      </c>
      <c r="V210" s="4" t="s">
        <v>222</v>
      </c>
      <c r="W210" s="4" t="s">
        <v>222</v>
      </c>
      <c r="X210" s="4">
        <v>415</v>
      </c>
      <c r="Y210" s="4" t="s">
        <v>222</v>
      </c>
      <c r="Z210" s="4" t="s">
        <v>222</v>
      </c>
      <c r="AA210" s="4" t="s">
        <v>222</v>
      </c>
      <c r="AB210" s="4" t="s">
        <v>222</v>
      </c>
      <c r="AC210" s="4" t="s">
        <v>1353</v>
      </c>
      <c r="AD210" s="4" t="s">
        <v>950</v>
      </c>
      <c r="AE210" s="4" t="s">
        <v>183</v>
      </c>
      <c r="AF210" s="4" t="s">
        <v>836</v>
      </c>
      <c r="AG210" s="4"/>
      <c r="AH210" s="1" t="s">
        <v>183</v>
      </c>
      <c r="AI210" s="1" t="s">
        <v>2815</v>
      </c>
      <c r="AJ210" s="1" t="s">
        <v>184</v>
      </c>
      <c r="AK210" s="1" t="s">
        <v>184</v>
      </c>
    </row>
    <row r="211" spans="1:37" x14ac:dyDescent="0.3">
      <c r="A211" s="94">
        <f t="shared" si="6"/>
        <v>210</v>
      </c>
      <c r="B211" s="39" t="str">
        <f t="shared" si="7"/>
        <v>SPS DUNSCORE WY KINROSS</v>
      </c>
      <c r="C211" s="4" t="s">
        <v>1156</v>
      </c>
      <c r="D211" s="4" t="s">
        <v>1157</v>
      </c>
      <c r="E211" s="4" t="s">
        <v>1106</v>
      </c>
      <c r="F211" s="4" t="s">
        <v>1158</v>
      </c>
      <c r="G211" s="4" t="s">
        <v>1159</v>
      </c>
      <c r="H211" s="4" t="s">
        <v>1160</v>
      </c>
      <c r="I211" s="4" t="s">
        <v>2776</v>
      </c>
      <c r="J211" s="4"/>
      <c r="K211" s="4"/>
      <c r="L211" s="4" t="s">
        <v>1161</v>
      </c>
      <c r="M211" s="4" t="s">
        <v>1162</v>
      </c>
      <c r="N211" s="4" t="s">
        <v>1037</v>
      </c>
      <c r="O211" s="4">
        <v>2000</v>
      </c>
      <c r="P211" s="4" t="s">
        <v>1163</v>
      </c>
      <c r="Q211" s="4" t="s">
        <v>612</v>
      </c>
      <c r="R211" s="4" t="s">
        <v>1164</v>
      </c>
      <c r="S211" s="4" t="s">
        <v>571</v>
      </c>
      <c r="T211" s="4" t="s">
        <v>1165</v>
      </c>
      <c r="U211" s="4" t="s">
        <v>566</v>
      </c>
      <c r="V211" s="4" t="s">
        <v>222</v>
      </c>
      <c r="W211" s="4">
        <v>415</v>
      </c>
      <c r="X211" s="4" t="s">
        <v>222</v>
      </c>
      <c r="Y211" s="4" t="s">
        <v>222</v>
      </c>
      <c r="Z211" s="4" t="s">
        <v>222</v>
      </c>
      <c r="AA211" s="4" t="s">
        <v>222</v>
      </c>
      <c r="AB211" s="4" t="s">
        <v>222</v>
      </c>
      <c r="AC211" s="4" t="s">
        <v>1166</v>
      </c>
      <c r="AD211" s="4" t="s">
        <v>950</v>
      </c>
      <c r="AE211" s="4" t="s">
        <v>183</v>
      </c>
      <c r="AF211" s="4" t="s">
        <v>844</v>
      </c>
      <c r="AG211" s="4"/>
      <c r="AH211" s="1" t="s">
        <v>183</v>
      </c>
      <c r="AI211" s="1" t="s">
        <v>2819</v>
      </c>
      <c r="AJ211" s="1" t="s">
        <v>183</v>
      </c>
      <c r="AK211" s="1" t="s">
        <v>183</v>
      </c>
    </row>
    <row r="212" spans="1:37" x14ac:dyDescent="0.3">
      <c r="A212" s="94">
        <f t="shared" si="6"/>
        <v>211</v>
      </c>
      <c r="B212" s="39" t="str">
        <f t="shared" si="7"/>
        <v>SPS GAINSBOROUGH WY MULLALOO</v>
      </c>
      <c r="C212" s="4" t="s">
        <v>1965</v>
      </c>
      <c r="D212" s="4" t="s">
        <v>1966</v>
      </c>
      <c r="E212" s="4" t="s">
        <v>1497</v>
      </c>
      <c r="F212" s="4" t="s">
        <v>1967</v>
      </c>
      <c r="G212" s="4" t="s">
        <v>1968</v>
      </c>
      <c r="H212" s="4" t="s">
        <v>1969</v>
      </c>
      <c r="I212" s="4" t="s">
        <v>2961</v>
      </c>
      <c r="J212" s="4"/>
      <c r="K212" s="4"/>
      <c r="L212" s="4" t="s">
        <v>1970</v>
      </c>
      <c r="M212" s="4" t="s">
        <v>1971</v>
      </c>
      <c r="N212" s="4" t="s">
        <v>1320</v>
      </c>
      <c r="O212" s="4">
        <v>1985</v>
      </c>
      <c r="P212" s="4"/>
      <c r="Q212" s="4" t="s">
        <v>631</v>
      </c>
      <c r="R212" s="4" t="s">
        <v>1972</v>
      </c>
      <c r="S212" s="4" t="s">
        <v>222</v>
      </c>
      <c r="T212" s="4" t="s">
        <v>1973</v>
      </c>
      <c r="U212" s="4" t="s">
        <v>566</v>
      </c>
      <c r="V212" s="4" t="s">
        <v>222</v>
      </c>
      <c r="W212" s="4" t="s">
        <v>222</v>
      </c>
      <c r="X212" s="4" t="s">
        <v>222</v>
      </c>
      <c r="Y212" s="4" t="s">
        <v>222</v>
      </c>
      <c r="Z212" s="4" t="s">
        <v>222</v>
      </c>
      <c r="AA212" s="4" t="s">
        <v>222</v>
      </c>
      <c r="AB212" s="4" t="s">
        <v>222</v>
      </c>
      <c r="AC212" s="4" t="s">
        <v>1974</v>
      </c>
      <c r="AD212" s="4" t="s">
        <v>950</v>
      </c>
      <c r="AE212" s="4" t="s">
        <v>183</v>
      </c>
      <c r="AF212" s="4" t="s">
        <v>844</v>
      </c>
      <c r="AG212" s="4"/>
      <c r="AH212" s="1" t="s">
        <v>183</v>
      </c>
      <c r="AI212" s="1" t="s">
        <v>2815</v>
      </c>
      <c r="AJ212" s="1" t="s">
        <v>183</v>
      </c>
      <c r="AK212" s="1" t="s">
        <v>184</v>
      </c>
    </row>
    <row r="213" spans="1:37" x14ac:dyDescent="0.3">
      <c r="A213" s="94">
        <f t="shared" si="6"/>
        <v>212</v>
      </c>
      <c r="B213" s="39" t="str">
        <f t="shared" si="7"/>
        <v>SPS GOOLLELAL DR KINGSLEY</v>
      </c>
      <c r="C213" s="4" t="s">
        <v>2018</v>
      </c>
      <c r="D213" s="4" t="s">
        <v>2019</v>
      </c>
      <c r="E213" s="4" t="s">
        <v>1497</v>
      </c>
      <c r="F213" s="4" t="s">
        <v>2020</v>
      </c>
      <c r="G213" s="4" t="s">
        <v>2021</v>
      </c>
      <c r="H213" s="4" t="s">
        <v>2022</v>
      </c>
      <c r="I213" s="4" t="s">
        <v>2967</v>
      </c>
      <c r="J213" s="4"/>
      <c r="K213" s="4"/>
      <c r="L213" s="4" t="s">
        <v>2023</v>
      </c>
      <c r="M213" s="4" t="s">
        <v>2024</v>
      </c>
      <c r="N213" s="4" t="s">
        <v>334</v>
      </c>
      <c r="O213" s="4">
        <v>1976</v>
      </c>
      <c r="P213" s="4"/>
      <c r="Q213" s="4" t="s">
        <v>222</v>
      </c>
      <c r="R213" s="4" t="s">
        <v>2025</v>
      </c>
      <c r="S213" s="4" t="s">
        <v>571</v>
      </c>
      <c r="T213" s="4" t="s">
        <v>2026</v>
      </c>
      <c r="U213" s="4" t="s">
        <v>566</v>
      </c>
      <c r="V213" s="4" t="s">
        <v>222</v>
      </c>
      <c r="W213" s="4" t="s">
        <v>222</v>
      </c>
      <c r="X213" s="4" t="s">
        <v>222</v>
      </c>
      <c r="Y213" s="4" t="s">
        <v>222</v>
      </c>
      <c r="Z213" s="4" t="s">
        <v>222</v>
      </c>
      <c r="AA213" s="4" t="s">
        <v>222</v>
      </c>
      <c r="AB213" s="4" t="s">
        <v>222</v>
      </c>
      <c r="AC213" s="4" t="s">
        <v>2027</v>
      </c>
      <c r="AD213" s="4" t="s">
        <v>950</v>
      </c>
      <c r="AE213" s="4" t="s">
        <v>183</v>
      </c>
      <c r="AF213" s="4" t="s">
        <v>836</v>
      </c>
      <c r="AG213" s="4"/>
      <c r="AH213" s="1" t="s">
        <v>183</v>
      </c>
      <c r="AI213" s="1" t="s">
        <v>2819</v>
      </c>
      <c r="AJ213" s="1" t="s">
        <v>183</v>
      </c>
      <c r="AK213" s="1" t="s">
        <v>183</v>
      </c>
    </row>
    <row r="214" spans="1:37" x14ac:dyDescent="0.3">
      <c r="A214" s="94">
        <f t="shared" si="6"/>
        <v>213</v>
      </c>
      <c r="B214" s="39" t="str">
        <f t="shared" si="7"/>
        <v>SPS WOODLAKE RT KINGSLEY</v>
      </c>
      <c r="C214" s="4" t="s">
        <v>2720</v>
      </c>
      <c r="D214" s="4" t="s">
        <v>2721</v>
      </c>
      <c r="E214" s="4" t="s">
        <v>1497</v>
      </c>
      <c r="F214" s="4" t="s">
        <v>2722</v>
      </c>
      <c r="G214" s="4" t="s">
        <v>2021</v>
      </c>
      <c r="H214" s="4" t="s">
        <v>2022</v>
      </c>
      <c r="I214" s="4" t="s">
        <v>3051</v>
      </c>
      <c r="J214" s="4"/>
      <c r="K214" s="4"/>
      <c r="L214" s="4" t="s">
        <v>2723</v>
      </c>
      <c r="M214" s="4" t="s">
        <v>2724</v>
      </c>
      <c r="N214" s="4" t="s">
        <v>1997</v>
      </c>
      <c r="O214" s="4">
        <v>2000</v>
      </c>
      <c r="P214" s="4"/>
      <c r="Q214" s="4" t="s">
        <v>631</v>
      </c>
      <c r="R214" s="4" t="s">
        <v>2725</v>
      </c>
      <c r="S214" s="4" t="s">
        <v>571</v>
      </c>
      <c r="T214" s="4" t="s">
        <v>2726</v>
      </c>
      <c r="U214" s="4" t="s">
        <v>566</v>
      </c>
      <c r="V214" s="4" t="s">
        <v>222</v>
      </c>
      <c r="W214" s="4">
        <v>415</v>
      </c>
      <c r="X214" s="4" t="s">
        <v>222</v>
      </c>
      <c r="Y214" s="4" t="s">
        <v>222</v>
      </c>
      <c r="Z214" s="4" t="s">
        <v>222</v>
      </c>
      <c r="AA214" s="4" t="s">
        <v>222</v>
      </c>
      <c r="AB214" s="4" t="s">
        <v>222</v>
      </c>
      <c r="AC214" s="4" t="s">
        <v>2727</v>
      </c>
      <c r="AD214" s="4" t="s">
        <v>950</v>
      </c>
      <c r="AE214" s="4" t="s">
        <v>183</v>
      </c>
      <c r="AF214" s="4" t="s">
        <v>844</v>
      </c>
      <c r="AG214" s="4"/>
      <c r="AH214" s="1" t="s">
        <v>183</v>
      </c>
      <c r="AI214" s="1" t="s">
        <v>2819</v>
      </c>
      <c r="AJ214" s="1" t="s">
        <v>183</v>
      </c>
      <c r="AK214" s="1" t="s">
        <v>183</v>
      </c>
    </row>
    <row r="215" spans="1:37" x14ac:dyDescent="0.3">
      <c r="A215" s="94">
        <f t="shared" si="6"/>
        <v>214</v>
      </c>
      <c r="B215" s="39" t="str">
        <f t="shared" si="7"/>
        <v>SPS DAMPIER AV KALLAROO</v>
      </c>
      <c r="C215" s="4" t="s">
        <v>1364</v>
      </c>
      <c r="D215" s="4" t="s">
        <v>1365</v>
      </c>
      <c r="E215" s="4" t="s">
        <v>1106</v>
      </c>
      <c r="F215" s="4" t="s">
        <v>1366</v>
      </c>
      <c r="G215" s="4" t="s">
        <v>1367</v>
      </c>
      <c r="H215" s="4" t="s">
        <v>1130</v>
      </c>
      <c r="I215" s="4" t="s">
        <v>2797</v>
      </c>
      <c r="J215" s="4"/>
      <c r="K215" s="4"/>
      <c r="L215" s="4" t="s">
        <v>1368</v>
      </c>
      <c r="M215" s="4" t="s">
        <v>1369</v>
      </c>
      <c r="N215" s="4" t="s">
        <v>301</v>
      </c>
      <c r="O215" s="4">
        <v>1971</v>
      </c>
      <c r="P215" s="4" t="s">
        <v>222</v>
      </c>
      <c r="Q215" s="4" t="s">
        <v>222</v>
      </c>
      <c r="R215" s="4" t="s">
        <v>1370</v>
      </c>
      <c r="S215" s="4" t="s">
        <v>222</v>
      </c>
      <c r="T215" s="4" t="s">
        <v>1371</v>
      </c>
      <c r="U215" s="4" t="s">
        <v>566</v>
      </c>
      <c r="V215" s="4" t="s">
        <v>222</v>
      </c>
      <c r="W215" s="4" t="s">
        <v>222</v>
      </c>
      <c r="X215" s="4" t="s">
        <v>222</v>
      </c>
      <c r="Y215" s="4" t="s">
        <v>222</v>
      </c>
      <c r="Z215" s="4" t="s">
        <v>222</v>
      </c>
      <c r="AA215" s="4" t="s">
        <v>222</v>
      </c>
      <c r="AB215" s="4" t="s">
        <v>222</v>
      </c>
      <c r="AC215" s="4" t="s">
        <v>1372</v>
      </c>
      <c r="AD215" s="4" t="s">
        <v>950</v>
      </c>
      <c r="AE215" s="4" t="s">
        <v>183</v>
      </c>
      <c r="AF215" s="4" t="s">
        <v>839</v>
      </c>
      <c r="AG215" s="4"/>
      <c r="AH215" s="1" t="s">
        <v>183</v>
      </c>
      <c r="AI215" s="1" t="s">
        <v>2819</v>
      </c>
      <c r="AJ215" s="1" t="s">
        <v>183</v>
      </c>
      <c r="AK215" s="1" t="s">
        <v>183</v>
      </c>
    </row>
    <row r="216" spans="1:37" x14ac:dyDescent="0.3">
      <c r="A216" s="94">
        <f t="shared" si="6"/>
        <v>215</v>
      </c>
      <c r="B216" s="39" t="str">
        <f t="shared" si="7"/>
        <v>SPS MAWSON CR HILLARYS</v>
      </c>
      <c r="C216" s="4" t="s">
        <v>1126</v>
      </c>
      <c r="D216" s="4" t="s">
        <v>1127</v>
      </c>
      <c r="E216" s="4" t="s">
        <v>1106</v>
      </c>
      <c r="F216" s="4" t="s">
        <v>1128</v>
      </c>
      <c r="G216" s="4" t="s">
        <v>1129</v>
      </c>
      <c r="H216" s="4" t="s">
        <v>1130</v>
      </c>
      <c r="I216" s="4" t="s">
        <v>2773</v>
      </c>
      <c r="J216" s="4"/>
      <c r="K216" s="4"/>
      <c r="L216" s="4" t="s">
        <v>1131</v>
      </c>
      <c r="M216" s="4" t="s">
        <v>1132</v>
      </c>
      <c r="N216" s="4" t="s">
        <v>296</v>
      </c>
      <c r="O216" s="4">
        <v>1971</v>
      </c>
      <c r="P216" s="4" t="s">
        <v>1048</v>
      </c>
      <c r="Q216" s="4" t="s">
        <v>222</v>
      </c>
      <c r="R216" s="4" t="s">
        <v>1133</v>
      </c>
      <c r="S216" s="4" t="s">
        <v>571</v>
      </c>
      <c r="T216" s="4" t="s">
        <v>1134</v>
      </c>
      <c r="U216" s="4" t="s">
        <v>566</v>
      </c>
      <c r="V216" s="4" t="s">
        <v>222</v>
      </c>
      <c r="W216" s="4" t="s">
        <v>222</v>
      </c>
      <c r="X216" s="4" t="s">
        <v>222</v>
      </c>
      <c r="Y216" s="4" t="s">
        <v>222</v>
      </c>
      <c r="Z216" s="4" t="s">
        <v>222</v>
      </c>
      <c r="AA216" s="4" t="s">
        <v>222</v>
      </c>
      <c r="AB216" s="4" t="s">
        <v>222</v>
      </c>
      <c r="AC216" s="4" t="s">
        <v>1135</v>
      </c>
      <c r="AD216" s="4" t="s">
        <v>950</v>
      </c>
      <c r="AE216" s="4" t="s">
        <v>183</v>
      </c>
      <c r="AF216" s="4" t="s">
        <v>849</v>
      </c>
      <c r="AG216" s="4"/>
      <c r="AH216" s="1" t="s">
        <v>183</v>
      </c>
      <c r="AI216" s="1" t="s">
        <v>2819</v>
      </c>
      <c r="AJ216" s="1" t="s">
        <v>183</v>
      </c>
      <c r="AK216" s="1" t="s">
        <v>183</v>
      </c>
    </row>
    <row r="217" spans="1:37" x14ac:dyDescent="0.3">
      <c r="A217" s="94">
        <f t="shared" si="6"/>
        <v>216</v>
      </c>
      <c r="B217" s="39" t="str">
        <f t="shared" si="7"/>
        <v>SPS WOODVILLE HTS HILLARYS</v>
      </c>
      <c r="C217" s="4" t="s">
        <v>2728</v>
      </c>
      <c r="D217" s="4" t="s">
        <v>2729</v>
      </c>
      <c r="E217" s="4" t="s">
        <v>1497</v>
      </c>
      <c r="F217" s="4" t="s">
        <v>2730</v>
      </c>
      <c r="G217" s="4" t="s">
        <v>1129</v>
      </c>
      <c r="H217" s="4" t="s">
        <v>1130</v>
      </c>
      <c r="I217" s="4" t="s">
        <v>3052</v>
      </c>
      <c r="J217" s="4"/>
      <c r="K217" s="4"/>
      <c r="L217" s="4" t="s">
        <v>2731</v>
      </c>
      <c r="M217" s="4" t="s">
        <v>2732</v>
      </c>
      <c r="N217" s="4" t="s">
        <v>1181</v>
      </c>
      <c r="O217" s="4">
        <v>1989</v>
      </c>
      <c r="P217" s="4"/>
      <c r="Q217" s="4" t="s">
        <v>612</v>
      </c>
      <c r="R217" s="4" t="s">
        <v>2733</v>
      </c>
      <c r="S217" s="4" t="s">
        <v>571</v>
      </c>
      <c r="T217" s="4" t="s">
        <v>2734</v>
      </c>
      <c r="U217" s="4" t="s">
        <v>566</v>
      </c>
      <c r="V217" s="4" t="s">
        <v>222</v>
      </c>
      <c r="W217" s="4" t="s">
        <v>222</v>
      </c>
      <c r="X217" s="4" t="s">
        <v>222</v>
      </c>
      <c r="Y217" s="4" t="s">
        <v>222</v>
      </c>
      <c r="Z217" s="4" t="s">
        <v>222</v>
      </c>
      <c r="AA217" s="4" t="s">
        <v>222</v>
      </c>
      <c r="AB217" s="4" t="s">
        <v>222</v>
      </c>
      <c r="AC217" s="4" t="s">
        <v>2735</v>
      </c>
      <c r="AD217" s="4" t="s">
        <v>950</v>
      </c>
      <c r="AE217" s="4" t="s">
        <v>183</v>
      </c>
      <c r="AF217" s="4" t="s">
        <v>839</v>
      </c>
      <c r="AG217" s="4"/>
      <c r="AH217" s="1" t="s">
        <v>183</v>
      </c>
      <c r="AI217" s="1" t="s">
        <v>2815</v>
      </c>
      <c r="AJ217" s="1" t="s">
        <v>183</v>
      </c>
      <c r="AK217" s="1" t="s">
        <v>184</v>
      </c>
    </row>
    <row r="218" spans="1:37" x14ac:dyDescent="0.3">
      <c r="A218" s="94">
        <f t="shared" si="6"/>
        <v>217</v>
      </c>
      <c r="B218" s="39" t="str">
        <f t="shared" si="7"/>
        <v>SPS WARRIGAL WY GREENWOOD</v>
      </c>
      <c r="C218" s="4" t="s">
        <v>1324</v>
      </c>
      <c r="D218" s="4" t="s">
        <v>1325</v>
      </c>
      <c r="E218" s="4" t="s">
        <v>1106</v>
      </c>
      <c r="F218" s="4" t="s">
        <v>1326</v>
      </c>
      <c r="G218" s="4" t="s">
        <v>1327</v>
      </c>
      <c r="H218" s="4" t="s">
        <v>1328</v>
      </c>
      <c r="I218" s="4" t="s">
        <v>2793</v>
      </c>
      <c r="J218" s="4"/>
      <c r="K218" s="4"/>
      <c r="L218" s="4" t="s">
        <v>1329</v>
      </c>
      <c r="M218" s="4" t="s">
        <v>1330</v>
      </c>
      <c r="N218" s="4" t="s">
        <v>1069</v>
      </c>
      <c r="O218" s="4">
        <v>1973</v>
      </c>
      <c r="P218" s="4" t="s">
        <v>222</v>
      </c>
      <c r="Q218" s="4" t="s">
        <v>222</v>
      </c>
      <c r="R218" s="4" t="s">
        <v>1331</v>
      </c>
      <c r="S218" s="4" t="s">
        <v>571</v>
      </c>
      <c r="T218" s="4" t="s">
        <v>1332</v>
      </c>
      <c r="U218" s="4" t="s">
        <v>566</v>
      </c>
      <c r="V218" s="4" t="s">
        <v>222</v>
      </c>
      <c r="W218" s="4" t="s">
        <v>222</v>
      </c>
      <c r="X218" s="4" t="s">
        <v>222</v>
      </c>
      <c r="Y218" s="4" t="s">
        <v>222</v>
      </c>
      <c r="Z218" s="4" t="s">
        <v>222</v>
      </c>
      <c r="AA218" s="4" t="s">
        <v>222</v>
      </c>
      <c r="AB218" s="4" t="s">
        <v>222</v>
      </c>
      <c r="AC218" s="4" t="s">
        <v>1333</v>
      </c>
      <c r="AD218" s="4" t="s">
        <v>950</v>
      </c>
      <c r="AE218" s="4" t="s">
        <v>183</v>
      </c>
      <c r="AF218" s="4" t="s">
        <v>844</v>
      </c>
      <c r="AG218" s="4"/>
      <c r="AH218" s="1" t="s">
        <v>183</v>
      </c>
      <c r="AI218" s="1" t="s">
        <v>2815</v>
      </c>
      <c r="AJ218" s="1" t="s">
        <v>183</v>
      </c>
      <c r="AK218" s="1" t="s">
        <v>184</v>
      </c>
    </row>
    <row r="219" spans="1:37" x14ac:dyDescent="0.3">
      <c r="A219" s="94">
        <f t="shared" si="6"/>
        <v>218</v>
      </c>
      <c r="B219" s="39" t="str">
        <f t="shared" si="7"/>
        <v>SPS CANDELLA SQ STIRLING</v>
      </c>
      <c r="C219" s="4" t="s">
        <v>162</v>
      </c>
      <c r="D219" s="4" t="s">
        <v>163</v>
      </c>
      <c r="E219" s="4" t="s">
        <v>858</v>
      </c>
      <c r="F219" s="4" t="s">
        <v>475</v>
      </c>
      <c r="G219" s="4" t="s">
        <v>330</v>
      </c>
      <c r="H219" s="4" t="s">
        <v>331</v>
      </c>
      <c r="I219" s="4" t="s">
        <v>913</v>
      </c>
      <c r="J219" s="4" t="s">
        <v>560</v>
      </c>
      <c r="K219" s="4" t="s">
        <v>730</v>
      </c>
      <c r="L219" s="4" t="s">
        <v>476</v>
      </c>
      <c r="M219" s="4" t="s">
        <v>477</v>
      </c>
      <c r="N219" s="4" t="s">
        <v>478</v>
      </c>
      <c r="O219" s="4">
        <v>2001</v>
      </c>
      <c r="P219" s="4" t="s">
        <v>225</v>
      </c>
      <c r="Q219" s="4" t="s">
        <v>631</v>
      </c>
      <c r="R219" s="4" t="s">
        <v>731</v>
      </c>
      <c r="S219" s="4" t="s">
        <v>571</v>
      </c>
      <c r="T219" s="4" t="s">
        <v>732</v>
      </c>
      <c r="U219" s="4" t="s">
        <v>566</v>
      </c>
      <c r="V219" s="4" t="s">
        <v>222</v>
      </c>
      <c r="W219" s="4">
        <v>415</v>
      </c>
      <c r="X219" s="4" t="s">
        <v>222</v>
      </c>
      <c r="Y219" s="4" t="s">
        <v>222</v>
      </c>
      <c r="Z219" s="4" t="s">
        <v>222</v>
      </c>
      <c r="AA219" s="4" t="s">
        <v>222</v>
      </c>
      <c r="AB219" s="4" t="s">
        <v>222</v>
      </c>
      <c r="AC219" s="4" t="s">
        <v>811</v>
      </c>
      <c r="AD219" s="4"/>
      <c r="AE219" s="4" t="s">
        <v>183</v>
      </c>
      <c r="AF219" s="4" t="s">
        <v>849</v>
      </c>
      <c r="AG219" s="4"/>
      <c r="AH219" s="1" t="s">
        <v>183</v>
      </c>
      <c r="AI219" s="1" t="s">
        <v>2819</v>
      </c>
      <c r="AJ219" s="1" t="s">
        <v>183</v>
      </c>
      <c r="AK219" s="1" t="s">
        <v>183</v>
      </c>
    </row>
    <row r="220" spans="1:37" x14ac:dyDescent="0.3">
      <c r="A220" s="94">
        <f t="shared" si="6"/>
        <v>219</v>
      </c>
      <c r="B220" s="39" t="str">
        <f t="shared" si="7"/>
        <v>SPS GRINDLEFORD DR BALCATTA</v>
      </c>
      <c r="C220" s="4" t="s">
        <v>146</v>
      </c>
      <c r="D220" s="4" t="s">
        <v>147</v>
      </c>
      <c r="E220" s="4" t="s">
        <v>858</v>
      </c>
      <c r="F220" s="4" t="s">
        <v>437</v>
      </c>
      <c r="G220" s="4" t="s">
        <v>391</v>
      </c>
      <c r="H220" s="4" t="s">
        <v>331</v>
      </c>
      <c r="I220" s="4" t="s">
        <v>902</v>
      </c>
      <c r="J220" s="4" t="s">
        <v>560</v>
      </c>
      <c r="K220" s="4" t="s">
        <v>706</v>
      </c>
      <c r="L220" s="4" t="s">
        <v>438</v>
      </c>
      <c r="M220" s="4" t="s">
        <v>439</v>
      </c>
      <c r="N220" s="4" t="s">
        <v>285</v>
      </c>
      <c r="O220" s="4">
        <v>1981</v>
      </c>
      <c r="P220" s="4" t="s">
        <v>903</v>
      </c>
      <c r="Q220" s="4" t="s">
        <v>612</v>
      </c>
      <c r="R220" s="4" t="s">
        <v>707</v>
      </c>
      <c r="S220" s="4" t="s">
        <v>708</v>
      </c>
      <c r="T220" s="4" t="s">
        <v>709</v>
      </c>
      <c r="U220" s="4">
        <v>200</v>
      </c>
      <c r="V220" s="4">
        <v>11</v>
      </c>
      <c r="W220" s="4">
        <v>440</v>
      </c>
      <c r="X220" s="4" t="s">
        <v>222</v>
      </c>
      <c r="Y220" s="4" t="s">
        <v>222</v>
      </c>
      <c r="Z220" s="4" t="s">
        <v>222</v>
      </c>
      <c r="AA220" s="4" t="s">
        <v>222</v>
      </c>
      <c r="AB220" s="4" t="s">
        <v>222</v>
      </c>
      <c r="AC220" s="4" t="s">
        <v>803</v>
      </c>
      <c r="AD220" s="4"/>
      <c r="AE220" s="4" t="s">
        <v>183</v>
      </c>
      <c r="AF220" s="4" t="s">
        <v>849</v>
      </c>
      <c r="AG220" s="4"/>
      <c r="AH220" s="1" t="s">
        <v>183</v>
      </c>
      <c r="AI220" s="1" t="s">
        <v>2819</v>
      </c>
      <c r="AJ220" s="1" t="s">
        <v>183</v>
      </c>
      <c r="AK220" s="1" t="s">
        <v>183</v>
      </c>
    </row>
    <row r="221" spans="1:37" x14ac:dyDescent="0.3">
      <c r="A221" s="94">
        <f t="shared" si="6"/>
        <v>220</v>
      </c>
      <c r="B221" s="39" t="str">
        <f t="shared" si="7"/>
        <v>SPS SHELDRAKE ST STIRLING</v>
      </c>
      <c r="C221" s="4" t="s">
        <v>102</v>
      </c>
      <c r="D221" s="4" t="s">
        <v>103</v>
      </c>
      <c r="E221" s="4" t="s">
        <v>858</v>
      </c>
      <c r="F221" s="4" t="s">
        <v>329</v>
      </c>
      <c r="G221" s="4" t="s">
        <v>330</v>
      </c>
      <c r="H221" s="4" t="s">
        <v>331</v>
      </c>
      <c r="I221" s="4" t="s">
        <v>871</v>
      </c>
      <c r="J221" s="4" t="s">
        <v>560</v>
      </c>
      <c r="K221" s="4" t="s">
        <v>634</v>
      </c>
      <c r="L221" s="4" t="s">
        <v>332</v>
      </c>
      <c r="M221" s="4" t="s">
        <v>333</v>
      </c>
      <c r="N221" s="4" t="s">
        <v>334</v>
      </c>
      <c r="O221" s="4">
        <v>1975</v>
      </c>
      <c r="P221" s="4" t="s">
        <v>872</v>
      </c>
      <c r="Q221" s="4" t="s">
        <v>569</v>
      </c>
      <c r="R221" s="4" t="s">
        <v>635</v>
      </c>
      <c r="S221" s="4" t="s">
        <v>222</v>
      </c>
      <c r="T221" s="4" t="s">
        <v>636</v>
      </c>
      <c r="U221" s="4" t="s">
        <v>222</v>
      </c>
      <c r="V221" s="4" t="s">
        <v>222</v>
      </c>
      <c r="W221" s="4" t="s">
        <v>222</v>
      </c>
      <c r="X221" s="4" t="s">
        <v>222</v>
      </c>
      <c r="Y221" s="4" t="s">
        <v>222</v>
      </c>
      <c r="Z221" s="4" t="s">
        <v>222</v>
      </c>
      <c r="AA221" s="4" t="s">
        <v>222</v>
      </c>
      <c r="AB221" s="4" t="s">
        <v>222</v>
      </c>
      <c r="AC221" s="4" t="s">
        <v>781</v>
      </c>
      <c r="AD221" s="4"/>
      <c r="AE221" s="4" t="s">
        <v>183</v>
      </c>
      <c r="AF221" s="4" t="s">
        <v>844</v>
      </c>
      <c r="AG221" s="4"/>
      <c r="AH221" s="1" t="s">
        <v>183</v>
      </c>
      <c r="AI221" s="1" t="s">
        <v>1750</v>
      </c>
      <c r="AJ221" s="1" t="s">
        <v>184</v>
      </c>
      <c r="AK221" s="1" t="s">
        <v>184</v>
      </c>
    </row>
    <row r="222" spans="1:37" x14ac:dyDescent="0.3">
      <c r="A222" s="94">
        <f t="shared" si="6"/>
        <v>221</v>
      </c>
      <c r="B222" s="39" t="str">
        <f t="shared" si="7"/>
        <v>SPS WHIPPLE ST BALCATTA</v>
      </c>
      <c r="C222" s="4" t="s">
        <v>126</v>
      </c>
      <c r="D222" s="4" t="s">
        <v>127</v>
      </c>
      <c r="E222" s="4" t="s">
        <v>858</v>
      </c>
      <c r="F222" s="4" t="s">
        <v>390</v>
      </c>
      <c r="G222" s="4" t="s">
        <v>391</v>
      </c>
      <c r="H222" s="4" t="s">
        <v>331</v>
      </c>
      <c r="I222" s="4" t="s">
        <v>888</v>
      </c>
      <c r="J222" s="4" t="s">
        <v>560</v>
      </c>
      <c r="K222" s="4" t="s">
        <v>673</v>
      </c>
      <c r="L222" s="4" t="s">
        <v>392</v>
      </c>
      <c r="M222" s="4" t="s">
        <v>393</v>
      </c>
      <c r="N222" s="4" t="s">
        <v>334</v>
      </c>
      <c r="O222" s="4">
        <v>1977</v>
      </c>
      <c r="P222" s="4" t="s">
        <v>889</v>
      </c>
      <c r="Q222" s="4" t="s">
        <v>612</v>
      </c>
      <c r="R222" s="4" t="s">
        <v>674</v>
      </c>
      <c r="S222" s="4" t="s">
        <v>222</v>
      </c>
      <c r="T222" s="4" t="s">
        <v>675</v>
      </c>
      <c r="U222" s="4" t="s">
        <v>222</v>
      </c>
      <c r="V222" s="4" t="s">
        <v>222</v>
      </c>
      <c r="W222" s="4">
        <v>440</v>
      </c>
      <c r="X222" s="4">
        <v>440</v>
      </c>
      <c r="Y222" s="4" t="s">
        <v>222</v>
      </c>
      <c r="Z222" s="4" t="s">
        <v>222</v>
      </c>
      <c r="AA222" s="4" t="s">
        <v>222</v>
      </c>
      <c r="AB222" s="4" t="s">
        <v>222</v>
      </c>
      <c r="AC222" s="4" t="s">
        <v>793</v>
      </c>
      <c r="AD222" s="4"/>
      <c r="AE222" s="4" t="s">
        <v>183</v>
      </c>
      <c r="AF222" s="4" t="s">
        <v>849</v>
      </c>
      <c r="AG222" s="4"/>
      <c r="AH222" s="1" t="s">
        <v>183</v>
      </c>
      <c r="AI222" s="1" t="s">
        <v>1750</v>
      </c>
      <c r="AJ222" s="1" t="s">
        <v>183</v>
      </c>
      <c r="AK222" s="1" t="s">
        <v>184</v>
      </c>
    </row>
    <row r="223" spans="1:37" x14ac:dyDescent="0.3">
      <c r="A223" s="94">
        <f t="shared" si="6"/>
        <v>222</v>
      </c>
      <c r="B223" s="39" t="str">
        <f t="shared" si="7"/>
        <v>SPS HOPE ST NORTH BEACH</v>
      </c>
      <c r="C223" s="4" t="s">
        <v>2085</v>
      </c>
      <c r="D223" s="4" t="s">
        <v>2086</v>
      </c>
      <c r="E223" s="4" t="s">
        <v>1497</v>
      </c>
      <c r="F223" s="4" t="s">
        <v>2087</v>
      </c>
      <c r="G223" s="4" t="s">
        <v>2088</v>
      </c>
      <c r="H223" s="4" t="s">
        <v>1271</v>
      </c>
      <c r="I223" s="4" t="s">
        <v>2975</v>
      </c>
      <c r="J223" s="4"/>
      <c r="K223" s="4"/>
      <c r="L223" s="4" t="s">
        <v>2089</v>
      </c>
      <c r="M223" s="4" t="s">
        <v>2090</v>
      </c>
      <c r="N223" s="4" t="s">
        <v>478</v>
      </c>
      <c r="O223" s="4">
        <v>2004</v>
      </c>
      <c r="P223" s="4"/>
      <c r="Q223" s="4" t="s">
        <v>222</v>
      </c>
      <c r="R223" s="4" t="s">
        <v>2091</v>
      </c>
      <c r="S223" s="4" t="s">
        <v>222</v>
      </c>
      <c r="T223" s="4" t="s">
        <v>2092</v>
      </c>
      <c r="U223" s="4" t="s">
        <v>566</v>
      </c>
      <c r="V223" s="4" t="s">
        <v>222</v>
      </c>
      <c r="W223" s="4" t="s">
        <v>222</v>
      </c>
      <c r="X223" s="4" t="s">
        <v>222</v>
      </c>
      <c r="Y223" s="4" t="s">
        <v>222</v>
      </c>
      <c r="Z223" s="4" t="s">
        <v>222</v>
      </c>
      <c r="AA223" s="4" t="s">
        <v>222</v>
      </c>
      <c r="AB223" s="4" t="s">
        <v>222</v>
      </c>
      <c r="AC223" s="4" t="s">
        <v>2093</v>
      </c>
      <c r="AD223" s="4" t="s">
        <v>950</v>
      </c>
      <c r="AE223" s="4" t="s">
        <v>183</v>
      </c>
      <c r="AF223" s="4" t="s">
        <v>839</v>
      </c>
      <c r="AG223" s="4"/>
      <c r="AH223" s="1" t="s">
        <v>183</v>
      </c>
      <c r="AI223" s="1" t="s">
        <v>1750</v>
      </c>
      <c r="AJ223" s="1" t="s">
        <v>222</v>
      </c>
      <c r="AK223" s="1" t="s">
        <v>184</v>
      </c>
    </row>
    <row r="224" spans="1:37" x14ac:dyDescent="0.3">
      <c r="A224" s="94">
        <f t="shared" si="6"/>
        <v>223</v>
      </c>
      <c r="B224" s="39" t="str">
        <f t="shared" si="7"/>
        <v>SPS CRESSBROOK WY CARINE</v>
      </c>
      <c r="C224" s="4" t="s">
        <v>1267</v>
      </c>
      <c r="D224" s="4" t="s">
        <v>1268</v>
      </c>
      <c r="E224" s="4" t="s">
        <v>1106</v>
      </c>
      <c r="F224" s="4" t="s">
        <v>1269</v>
      </c>
      <c r="G224" s="4" t="s">
        <v>1270</v>
      </c>
      <c r="H224" s="4" t="s">
        <v>1271</v>
      </c>
      <c r="I224" s="4" t="s">
        <v>2787</v>
      </c>
      <c r="J224" s="4"/>
      <c r="K224" s="4"/>
      <c r="L224" s="4" t="s">
        <v>1272</v>
      </c>
      <c r="M224" s="4" t="s">
        <v>1273</v>
      </c>
      <c r="N224" s="4" t="s">
        <v>279</v>
      </c>
      <c r="O224" s="4">
        <v>1977</v>
      </c>
      <c r="P224" s="4" t="s">
        <v>222</v>
      </c>
      <c r="Q224" s="4" t="s">
        <v>222</v>
      </c>
      <c r="R224" s="4" t="s">
        <v>1274</v>
      </c>
      <c r="S224" s="4" t="s">
        <v>571</v>
      </c>
      <c r="T224" s="4" t="s">
        <v>1275</v>
      </c>
      <c r="U224" s="4" t="s">
        <v>566</v>
      </c>
      <c r="V224" s="4" t="s">
        <v>222</v>
      </c>
      <c r="W224" s="4" t="s">
        <v>222</v>
      </c>
      <c r="X224" s="4" t="s">
        <v>222</v>
      </c>
      <c r="Y224" s="4" t="s">
        <v>222</v>
      </c>
      <c r="Z224" s="4" t="s">
        <v>222</v>
      </c>
      <c r="AA224" s="4" t="s">
        <v>222</v>
      </c>
      <c r="AB224" s="4" t="s">
        <v>222</v>
      </c>
      <c r="AC224" s="4" t="s">
        <v>1276</v>
      </c>
      <c r="AD224" s="4" t="s">
        <v>950</v>
      </c>
      <c r="AE224" s="4" t="s">
        <v>183</v>
      </c>
      <c r="AF224" s="4" t="s">
        <v>849</v>
      </c>
      <c r="AG224" s="4"/>
      <c r="AH224" s="1" t="s">
        <v>183</v>
      </c>
      <c r="AI224" s="1" t="s">
        <v>1750</v>
      </c>
      <c r="AJ224" s="1" t="s">
        <v>222</v>
      </c>
      <c r="AK224" s="1" t="s">
        <v>184</v>
      </c>
    </row>
    <row r="225" spans="1:37" x14ac:dyDescent="0.3">
      <c r="A225" s="94">
        <f t="shared" si="6"/>
        <v>224</v>
      </c>
      <c r="B225" s="39" t="str">
        <f t="shared" si="7"/>
        <v>SPS ABBETT PARK SCARBOROUGH</v>
      </c>
      <c r="C225" s="4" t="s">
        <v>1136</v>
      </c>
      <c r="D225" s="4" t="s">
        <v>1137</v>
      </c>
      <c r="E225" s="4" t="s">
        <v>1106</v>
      </c>
      <c r="F225" s="4" t="s">
        <v>1138</v>
      </c>
      <c r="G225" s="4" t="s">
        <v>1139</v>
      </c>
      <c r="H225" s="4" t="s">
        <v>1140</v>
      </c>
      <c r="I225" s="4" t="s">
        <v>2774</v>
      </c>
      <c r="J225" s="4"/>
      <c r="K225" s="4"/>
      <c r="L225" s="4" t="s">
        <v>1141</v>
      </c>
      <c r="M225" s="4" t="s">
        <v>1142</v>
      </c>
      <c r="N225" s="4" t="s">
        <v>307</v>
      </c>
      <c r="O225" s="4">
        <v>1993</v>
      </c>
      <c r="P225" s="4" t="s">
        <v>222</v>
      </c>
      <c r="Q225" s="4" t="s">
        <v>612</v>
      </c>
      <c r="R225" s="4" t="s">
        <v>1143</v>
      </c>
      <c r="S225" s="4" t="s">
        <v>571</v>
      </c>
      <c r="T225" s="4" t="s">
        <v>1144</v>
      </c>
      <c r="U225" s="4">
        <v>100</v>
      </c>
      <c r="V225" s="4">
        <v>22</v>
      </c>
      <c r="W225" s="4" t="s">
        <v>222</v>
      </c>
      <c r="X225" s="4" t="s">
        <v>222</v>
      </c>
      <c r="Y225" s="4" t="s">
        <v>222</v>
      </c>
      <c r="Z225" s="4" t="s">
        <v>222</v>
      </c>
      <c r="AA225" s="4" t="s">
        <v>222</v>
      </c>
      <c r="AB225" s="4" t="s">
        <v>222</v>
      </c>
      <c r="AC225" s="4" t="s">
        <v>1145</v>
      </c>
      <c r="AD225" s="4" t="s">
        <v>950</v>
      </c>
      <c r="AE225" s="4" t="s">
        <v>183</v>
      </c>
      <c r="AF225" s="4" t="s">
        <v>836</v>
      </c>
      <c r="AG225" s="4"/>
      <c r="AH225" s="1" t="s">
        <v>183</v>
      </c>
      <c r="AI225" s="1" t="s">
        <v>1750</v>
      </c>
      <c r="AJ225" s="1" t="s">
        <v>222</v>
      </c>
      <c r="AK225" s="1" t="s">
        <v>184</v>
      </c>
    </row>
    <row r="226" spans="1:37" x14ac:dyDescent="0.3">
      <c r="A226" s="94">
        <f t="shared" si="6"/>
        <v>225</v>
      </c>
      <c r="B226" s="39" t="str">
        <f t="shared" si="7"/>
        <v>SPS BISHOP RILEY WY CHURCHLANDS</v>
      </c>
      <c r="C226" s="4" t="s">
        <v>1598</v>
      </c>
      <c r="D226" s="4" t="s">
        <v>1599</v>
      </c>
      <c r="E226" s="4" t="s">
        <v>1497</v>
      </c>
      <c r="F226" s="4" t="s">
        <v>1600</v>
      </c>
      <c r="G226" s="4" t="s">
        <v>1601</v>
      </c>
      <c r="H226" s="4" t="s">
        <v>1602</v>
      </c>
      <c r="I226" s="4" t="s">
        <v>2919</v>
      </c>
      <c r="J226" s="4"/>
      <c r="K226" s="4"/>
      <c r="L226" s="4" t="s">
        <v>1603</v>
      </c>
      <c r="M226" s="4" t="s">
        <v>1604</v>
      </c>
      <c r="N226" s="4" t="s">
        <v>301</v>
      </c>
      <c r="O226" s="4">
        <v>1992</v>
      </c>
      <c r="P226" s="4"/>
      <c r="Q226" s="4" t="s">
        <v>612</v>
      </c>
      <c r="R226" s="4" t="s">
        <v>1605</v>
      </c>
      <c r="S226" s="4" t="s">
        <v>571</v>
      </c>
      <c r="T226" s="4" t="s">
        <v>1606</v>
      </c>
      <c r="U226" s="4" t="s">
        <v>566</v>
      </c>
      <c r="V226" s="4" t="s">
        <v>222</v>
      </c>
      <c r="W226" s="4">
        <v>415</v>
      </c>
      <c r="X226" s="4" t="s">
        <v>222</v>
      </c>
      <c r="Y226" s="4" t="s">
        <v>222</v>
      </c>
      <c r="Z226" s="4" t="s">
        <v>222</v>
      </c>
      <c r="AA226" s="4" t="s">
        <v>222</v>
      </c>
      <c r="AB226" s="4" t="s">
        <v>222</v>
      </c>
      <c r="AC226" s="4" t="s">
        <v>1607</v>
      </c>
      <c r="AD226" s="4" t="s">
        <v>950</v>
      </c>
      <c r="AE226" s="4" t="s">
        <v>183</v>
      </c>
      <c r="AF226" s="4" t="s">
        <v>836</v>
      </c>
      <c r="AG226" s="4"/>
      <c r="AH226" s="1" t="s">
        <v>183</v>
      </c>
      <c r="AI226" s="1" t="s">
        <v>1750</v>
      </c>
      <c r="AJ226" s="1" t="s">
        <v>222</v>
      </c>
      <c r="AK226" s="1" t="s">
        <v>184</v>
      </c>
    </row>
    <row r="227" spans="1:37" x14ac:dyDescent="0.3">
      <c r="A227" s="94">
        <f t="shared" si="6"/>
        <v>226</v>
      </c>
      <c r="B227" s="39" t="str">
        <f t="shared" si="7"/>
        <v>SPS CARENIUP AV GWELUP</v>
      </c>
      <c r="C227" s="4" t="s">
        <v>1713</v>
      </c>
      <c r="D227" s="4" t="s">
        <v>1714</v>
      </c>
      <c r="E227" s="4" t="s">
        <v>1497</v>
      </c>
      <c r="F227" s="4" t="s">
        <v>1715</v>
      </c>
      <c r="G227" s="4" t="s">
        <v>1716</v>
      </c>
      <c r="H227" s="4" t="s">
        <v>1602</v>
      </c>
      <c r="I227" s="4" t="s">
        <v>2932</v>
      </c>
      <c r="J227" s="4"/>
      <c r="K227" s="4"/>
      <c r="L227" s="4" t="s">
        <v>1717</v>
      </c>
      <c r="M227" s="4" t="s">
        <v>1718</v>
      </c>
      <c r="N227" s="4" t="s">
        <v>474</v>
      </c>
      <c r="O227" s="4">
        <v>1995</v>
      </c>
      <c r="P227" s="4"/>
      <c r="Q227" s="4" t="s">
        <v>631</v>
      </c>
      <c r="R227" s="4" t="s">
        <v>1719</v>
      </c>
      <c r="S227" s="4" t="s">
        <v>571</v>
      </c>
      <c r="T227" s="4" t="s">
        <v>1720</v>
      </c>
      <c r="U227" s="4" t="s">
        <v>566</v>
      </c>
      <c r="V227" s="4" t="s">
        <v>222</v>
      </c>
      <c r="W227" s="4">
        <v>415</v>
      </c>
      <c r="X227" s="4" t="s">
        <v>222</v>
      </c>
      <c r="Y227" s="4" t="s">
        <v>222</v>
      </c>
      <c r="Z227" s="4" t="s">
        <v>222</v>
      </c>
      <c r="AA227" s="4" t="s">
        <v>222</v>
      </c>
      <c r="AB227" s="4" t="s">
        <v>222</v>
      </c>
      <c r="AC227" s="4" t="s">
        <v>1721</v>
      </c>
      <c r="AD227" s="4" t="s">
        <v>950</v>
      </c>
      <c r="AE227" s="4" t="s">
        <v>183</v>
      </c>
      <c r="AF227" s="4" t="s">
        <v>844</v>
      </c>
      <c r="AG227" s="4"/>
      <c r="AH227" s="1" t="s">
        <v>183</v>
      </c>
      <c r="AI227" s="1" t="s">
        <v>1750</v>
      </c>
      <c r="AJ227" s="1" t="s">
        <v>222</v>
      </c>
      <c r="AK227" s="1" t="s">
        <v>184</v>
      </c>
    </row>
    <row r="228" spans="1:37" x14ac:dyDescent="0.3">
      <c r="A228" s="94">
        <f t="shared" si="6"/>
        <v>227</v>
      </c>
      <c r="B228" s="39" t="str">
        <f t="shared" si="7"/>
        <v>SPS FLYNN ST CHURCHLANDS</v>
      </c>
      <c r="C228" s="4" t="s">
        <v>1949</v>
      </c>
      <c r="D228" s="4" t="s">
        <v>1950</v>
      </c>
      <c r="E228" s="4" t="s">
        <v>1497</v>
      </c>
      <c r="F228" s="4" t="s">
        <v>1951</v>
      </c>
      <c r="G228" s="4" t="s">
        <v>1601</v>
      </c>
      <c r="H228" s="4" t="s">
        <v>1602</v>
      </c>
      <c r="I228" s="4" t="s">
        <v>2959</v>
      </c>
      <c r="J228" s="4"/>
      <c r="K228" s="4"/>
      <c r="L228" s="4" t="s">
        <v>1952</v>
      </c>
      <c r="M228" s="4" t="s">
        <v>1953</v>
      </c>
      <c r="N228" s="4" t="s">
        <v>334</v>
      </c>
      <c r="O228" s="4">
        <v>1975</v>
      </c>
      <c r="P228" s="4"/>
      <c r="Q228" s="4" t="s">
        <v>222</v>
      </c>
      <c r="R228" s="4" t="s">
        <v>1954</v>
      </c>
      <c r="S228" s="4" t="s">
        <v>571</v>
      </c>
      <c r="T228" s="4" t="s">
        <v>1955</v>
      </c>
      <c r="U228" s="4" t="s">
        <v>566</v>
      </c>
      <c r="V228" s="4" t="s">
        <v>222</v>
      </c>
      <c r="W228" s="4" t="s">
        <v>222</v>
      </c>
      <c r="X228" s="4" t="s">
        <v>222</v>
      </c>
      <c r="Y228" s="4" t="s">
        <v>222</v>
      </c>
      <c r="Z228" s="4" t="s">
        <v>222</v>
      </c>
      <c r="AA228" s="4" t="s">
        <v>222</v>
      </c>
      <c r="AB228" s="4" t="s">
        <v>222</v>
      </c>
      <c r="AC228" s="4" t="s">
        <v>1956</v>
      </c>
      <c r="AD228" s="4" t="s">
        <v>950</v>
      </c>
      <c r="AE228" s="4" t="s">
        <v>183</v>
      </c>
      <c r="AF228" s="4" t="s">
        <v>849</v>
      </c>
      <c r="AG228" s="4"/>
      <c r="AH228" s="1" t="s">
        <v>183</v>
      </c>
      <c r="AI228" s="1" t="s">
        <v>1750</v>
      </c>
      <c r="AJ228" s="1" t="s">
        <v>222</v>
      </c>
      <c r="AK228" s="1" t="s">
        <v>184</v>
      </c>
    </row>
    <row r="229" spans="1:37" x14ac:dyDescent="0.3">
      <c r="A229" s="94">
        <f t="shared" si="6"/>
        <v>228</v>
      </c>
      <c r="B229" s="39" t="str">
        <f t="shared" si="7"/>
        <v>SPS ROSEWOOD AV WOODLANDS</v>
      </c>
      <c r="C229" s="4" t="s">
        <v>2505</v>
      </c>
      <c r="D229" s="4" t="s">
        <v>2506</v>
      </c>
      <c r="E229" s="4" t="s">
        <v>1497</v>
      </c>
      <c r="F229" s="4" t="s">
        <v>2507</v>
      </c>
      <c r="G229" s="4" t="s">
        <v>2508</v>
      </c>
      <c r="H229" s="4" t="s">
        <v>1602</v>
      </c>
      <c r="I229" s="4" t="s">
        <v>3026</v>
      </c>
      <c r="J229" s="4"/>
      <c r="K229" s="4"/>
      <c r="L229" s="4" t="s">
        <v>2509</v>
      </c>
      <c r="M229" s="4" t="s">
        <v>2510</v>
      </c>
      <c r="N229" s="4" t="s">
        <v>301</v>
      </c>
      <c r="O229" s="4">
        <v>1972</v>
      </c>
      <c r="P229" s="4"/>
      <c r="Q229" s="4" t="s">
        <v>222</v>
      </c>
      <c r="R229" s="4" t="s">
        <v>2511</v>
      </c>
      <c r="S229" s="4" t="s">
        <v>222</v>
      </c>
      <c r="T229" s="4" t="s">
        <v>2512</v>
      </c>
      <c r="U229" s="4" t="s">
        <v>566</v>
      </c>
      <c r="V229" s="4" t="s">
        <v>222</v>
      </c>
      <c r="W229" s="4" t="s">
        <v>222</v>
      </c>
      <c r="X229" s="4" t="s">
        <v>222</v>
      </c>
      <c r="Y229" s="4" t="s">
        <v>222</v>
      </c>
      <c r="Z229" s="4" t="s">
        <v>222</v>
      </c>
      <c r="AA229" s="4" t="s">
        <v>222</v>
      </c>
      <c r="AB229" s="4" t="s">
        <v>222</v>
      </c>
      <c r="AC229" s="4" t="s">
        <v>2513</v>
      </c>
      <c r="AD229" s="4" t="s">
        <v>950</v>
      </c>
      <c r="AE229" s="4" t="s">
        <v>183</v>
      </c>
      <c r="AF229" s="4" t="s">
        <v>839</v>
      </c>
      <c r="AG229" s="4"/>
      <c r="AH229" s="1" t="s">
        <v>183</v>
      </c>
      <c r="AI229" s="1" t="s">
        <v>2815</v>
      </c>
      <c r="AJ229" s="1" t="s">
        <v>183</v>
      </c>
      <c r="AK229" s="1" t="s">
        <v>183</v>
      </c>
    </row>
    <row r="230" spans="1:37" x14ac:dyDescent="0.3">
      <c r="A230" s="94">
        <f t="shared" si="6"/>
        <v>229</v>
      </c>
      <c r="B230" s="39" t="str">
        <f t="shared" si="7"/>
        <v>SPS HARBORNE ST OSBORNE PARK</v>
      </c>
      <c r="C230" s="4" t="s">
        <v>1258</v>
      </c>
      <c r="D230" s="4" t="s">
        <v>1259</v>
      </c>
      <c r="E230" s="4" t="s">
        <v>1106</v>
      </c>
      <c r="F230" s="4" t="s">
        <v>1260</v>
      </c>
      <c r="G230" s="4" t="s">
        <v>983</v>
      </c>
      <c r="H230" s="4" t="s">
        <v>984</v>
      </c>
      <c r="I230" s="4" t="s">
        <v>2786</v>
      </c>
      <c r="J230" s="4"/>
      <c r="K230" s="4"/>
      <c r="L230" s="4" t="s">
        <v>1261</v>
      </c>
      <c r="M230" s="4" t="s">
        <v>1262</v>
      </c>
      <c r="N230" s="4" t="s">
        <v>1263</v>
      </c>
      <c r="O230" s="4">
        <v>1966</v>
      </c>
      <c r="P230" s="4" t="s">
        <v>222</v>
      </c>
      <c r="Q230" s="4" t="s">
        <v>222</v>
      </c>
      <c r="R230" s="4" t="s">
        <v>1264</v>
      </c>
      <c r="S230" s="4" t="s">
        <v>571</v>
      </c>
      <c r="T230" s="4" t="s">
        <v>1265</v>
      </c>
      <c r="U230" s="4" t="s">
        <v>566</v>
      </c>
      <c r="V230" s="4" t="s">
        <v>222</v>
      </c>
      <c r="W230" s="4" t="s">
        <v>222</v>
      </c>
      <c r="X230" s="4" t="s">
        <v>222</v>
      </c>
      <c r="Y230" s="4" t="s">
        <v>222</v>
      </c>
      <c r="Z230" s="4" t="s">
        <v>222</v>
      </c>
      <c r="AA230" s="4" t="s">
        <v>222</v>
      </c>
      <c r="AB230" s="4" t="s">
        <v>222</v>
      </c>
      <c r="AC230" s="4" t="s">
        <v>1266</v>
      </c>
      <c r="AD230" s="4" t="s">
        <v>950</v>
      </c>
      <c r="AE230" s="4" t="s">
        <v>183</v>
      </c>
      <c r="AF230" s="4" t="s">
        <v>836</v>
      </c>
      <c r="AG230" s="4"/>
      <c r="AH230" s="1" t="s">
        <v>183</v>
      </c>
      <c r="AI230" s="1" t="s">
        <v>2819</v>
      </c>
      <c r="AJ230" s="1" t="s">
        <v>184</v>
      </c>
      <c r="AK230" s="1" t="s">
        <v>183</v>
      </c>
    </row>
    <row r="231" spans="1:37" x14ac:dyDescent="0.3">
      <c r="A231" s="94">
        <f t="shared" si="6"/>
        <v>230</v>
      </c>
      <c r="B231" s="39" t="str">
        <f t="shared" si="7"/>
        <v>SPS HASLER RD OSBORNE PARK</v>
      </c>
      <c r="C231" s="4" t="s">
        <v>980</v>
      </c>
      <c r="D231" s="4" t="s">
        <v>981</v>
      </c>
      <c r="E231" s="4" t="s">
        <v>931</v>
      </c>
      <c r="F231" s="4" t="s">
        <v>982</v>
      </c>
      <c r="G231" s="4" t="s">
        <v>983</v>
      </c>
      <c r="H231" s="4" t="s">
        <v>984</v>
      </c>
      <c r="I231" s="4" t="s">
        <v>2760</v>
      </c>
      <c r="J231" s="4"/>
      <c r="K231" s="4"/>
      <c r="L231" s="4" t="s">
        <v>985</v>
      </c>
      <c r="M231" s="4" t="s">
        <v>986</v>
      </c>
      <c r="N231" s="4" t="s">
        <v>360</v>
      </c>
      <c r="O231" s="4">
        <v>1984</v>
      </c>
      <c r="P231" s="4" t="s">
        <v>222</v>
      </c>
      <c r="Q231" s="4" t="s">
        <v>222</v>
      </c>
      <c r="R231" s="4" t="s">
        <v>987</v>
      </c>
      <c r="S231" s="4" t="s">
        <v>571</v>
      </c>
      <c r="T231" s="4" t="s">
        <v>988</v>
      </c>
      <c r="U231" s="4">
        <v>200</v>
      </c>
      <c r="V231" s="4">
        <v>11</v>
      </c>
      <c r="W231" s="4">
        <v>440</v>
      </c>
      <c r="X231" s="4" t="s">
        <v>222</v>
      </c>
      <c r="Y231" s="4" t="s">
        <v>222</v>
      </c>
      <c r="Z231" s="4" t="s">
        <v>222</v>
      </c>
      <c r="AA231" s="4" t="s">
        <v>222</v>
      </c>
      <c r="AB231" s="4" t="s">
        <v>222</v>
      </c>
      <c r="AC231" s="4" t="s">
        <v>989</v>
      </c>
      <c r="AD231" s="4" t="s">
        <v>950</v>
      </c>
      <c r="AE231" s="4" t="s">
        <v>183</v>
      </c>
      <c r="AF231" s="4" t="s">
        <v>849</v>
      </c>
      <c r="AG231" s="4"/>
      <c r="AH231" s="1" t="s">
        <v>183</v>
      </c>
      <c r="AI231" s="1" t="s">
        <v>2819</v>
      </c>
      <c r="AJ231" s="1" t="s">
        <v>183</v>
      </c>
      <c r="AK231" s="1" t="s">
        <v>183</v>
      </c>
    </row>
    <row r="232" spans="1:37" x14ac:dyDescent="0.3">
      <c r="A232" s="94">
        <f t="shared" si="6"/>
        <v>231</v>
      </c>
      <c r="B232" s="39" t="str">
        <f t="shared" si="7"/>
        <v>SPS JERSEY ST JOLIMONT</v>
      </c>
      <c r="C232" s="4" t="s">
        <v>2127</v>
      </c>
      <c r="D232" s="4" t="s">
        <v>2128</v>
      </c>
      <c r="E232" s="4" t="s">
        <v>1497</v>
      </c>
      <c r="F232" s="4" t="s">
        <v>2129</v>
      </c>
      <c r="G232" s="4" t="s">
        <v>2130</v>
      </c>
      <c r="H232" s="4" t="s">
        <v>994</v>
      </c>
      <c r="I232" s="4" t="s">
        <v>2980</v>
      </c>
      <c r="J232" s="4"/>
      <c r="K232" s="4"/>
      <c r="L232" s="4" t="s">
        <v>2131</v>
      </c>
      <c r="M232" s="4" t="s">
        <v>2132</v>
      </c>
      <c r="N232" s="4" t="s">
        <v>2133</v>
      </c>
      <c r="O232" s="4">
        <v>1932</v>
      </c>
      <c r="P232" s="4"/>
      <c r="Q232" s="4" t="s">
        <v>222</v>
      </c>
      <c r="R232" s="4" t="s">
        <v>2134</v>
      </c>
      <c r="S232" s="4" t="s">
        <v>222</v>
      </c>
      <c r="T232" s="4" t="s">
        <v>2135</v>
      </c>
      <c r="U232" s="4" t="s">
        <v>222</v>
      </c>
      <c r="V232" s="4" t="s">
        <v>222</v>
      </c>
      <c r="W232" s="4" t="s">
        <v>222</v>
      </c>
      <c r="X232" s="4" t="s">
        <v>222</v>
      </c>
      <c r="Y232" s="4" t="s">
        <v>222</v>
      </c>
      <c r="Z232" s="4" t="s">
        <v>222</v>
      </c>
      <c r="AA232" s="4" t="s">
        <v>222</v>
      </c>
      <c r="AB232" s="4" t="s">
        <v>222</v>
      </c>
      <c r="AC232" s="4" t="s">
        <v>2136</v>
      </c>
      <c r="AD232" s="4" t="s">
        <v>950</v>
      </c>
      <c r="AE232" s="4" t="s">
        <v>183</v>
      </c>
      <c r="AF232" s="4" t="s">
        <v>836</v>
      </c>
      <c r="AG232" s="4"/>
      <c r="AH232" s="1" t="s">
        <v>183</v>
      </c>
      <c r="AI232" s="1" t="s">
        <v>2815</v>
      </c>
      <c r="AJ232" s="1" t="s">
        <v>184</v>
      </c>
      <c r="AK232" s="1" t="s">
        <v>184</v>
      </c>
    </row>
    <row r="233" spans="1:37" x14ac:dyDescent="0.3">
      <c r="A233" s="94">
        <f t="shared" si="6"/>
        <v>232</v>
      </c>
      <c r="B233" s="39" t="str">
        <f t="shared" si="7"/>
        <v>SPS PERRY LAKES FLOREAT</v>
      </c>
      <c r="C233" s="4" t="s">
        <v>2444</v>
      </c>
      <c r="D233" s="4" t="s">
        <v>2445</v>
      </c>
      <c r="E233" s="4" t="s">
        <v>1497</v>
      </c>
      <c r="F233" s="4" t="s">
        <v>2446</v>
      </c>
      <c r="G233" s="4" t="s">
        <v>2447</v>
      </c>
      <c r="H233" s="4" t="s">
        <v>994</v>
      </c>
      <c r="I233" s="4" t="s">
        <v>3019</v>
      </c>
      <c r="J233" s="4"/>
      <c r="K233" s="4"/>
      <c r="L233" s="4" t="s">
        <v>2448</v>
      </c>
      <c r="M233" s="4" t="s">
        <v>2449</v>
      </c>
      <c r="N233" s="4" t="s">
        <v>2450</v>
      </c>
      <c r="O233" s="4">
        <v>1995</v>
      </c>
      <c r="P233" s="4"/>
      <c r="Q233" s="4" t="s">
        <v>612</v>
      </c>
      <c r="R233" s="4" t="s">
        <v>2451</v>
      </c>
      <c r="S233" s="4" t="s">
        <v>571</v>
      </c>
      <c r="T233" s="4" t="s">
        <v>2452</v>
      </c>
      <c r="U233" s="4" t="s">
        <v>566</v>
      </c>
      <c r="V233" s="4" t="s">
        <v>222</v>
      </c>
      <c r="W233" s="4">
        <v>415</v>
      </c>
      <c r="X233" s="4" t="s">
        <v>222</v>
      </c>
      <c r="Y233" s="4" t="s">
        <v>222</v>
      </c>
      <c r="Z233" s="4" t="s">
        <v>222</v>
      </c>
      <c r="AA233" s="4" t="s">
        <v>222</v>
      </c>
      <c r="AB233" s="4" t="s">
        <v>222</v>
      </c>
      <c r="AC233" s="4" t="s">
        <v>2453</v>
      </c>
      <c r="AD233" s="4" t="s">
        <v>950</v>
      </c>
      <c r="AE233" s="4" t="s">
        <v>183</v>
      </c>
      <c r="AF233" s="4" t="s">
        <v>836</v>
      </c>
      <c r="AG233" s="4"/>
      <c r="AH233" s="1" t="s">
        <v>183</v>
      </c>
      <c r="AI233" s="1" t="s">
        <v>2815</v>
      </c>
      <c r="AJ233" s="1" t="s">
        <v>184</v>
      </c>
      <c r="AK233" s="1" t="s">
        <v>184</v>
      </c>
    </row>
    <row r="234" spans="1:37" x14ac:dyDescent="0.3">
      <c r="A234" s="94">
        <f t="shared" si="6"/>
        <v>233</v>
      </c>
      <c r="B234" s="39" t="str">
        <f t="shared" si="7"/>
        <v>SPS HERDSMAN PDE WEMBLEY</v>
      </c>
      <c r="C234" s="4" t="s">
        <v>990</v>
      </c>
      <c r="D234" s="4" t="s">
        <v>991</v>
      </c>
      <c r="E234" s="4" t="s">
        <v>931</v>
      </c>
      <c r="F234" s="4" t="s">
        <v>992</v>
      </c>
      <c r="G234" s="4" t="s">
        <v>993</v>
      </c>
      <c r="H234" s="4" t="s">
        <v>994</v>
      </c>
      <c r="I234" s="4" t="s">
        <v>2761</v>
      </c>
      <c r="J234" s="4"/>
      <c r="K234" s="4"/>
      <c r="L234" s="4" t="s">
        <v>995</v>
      </c>
      <c r="M234" s="4" t="s">
        <v>996</v>
      </c>
      <c r="N234" s="4" t="s">
        <v>997</v>
      </c>
      <c r="O234" s="4">
        <v>1992</v>
      </c>
      <c r="P234" s="4" t="s">
        <v>222</v>
      </c>
      <c r="Q234" s="4" t="s">
        <v>612</v>
      </c>
      <c r="R234" s="4" t="s">
        <v>998</v>
      </c>
      <c r="S234" s="4" t="s">
        <v>571</v>
      </c>
      <c r="T234" s="4" t="s">
        <v>999</v>
      </c>
      <c r="U234" s="4" t="s">
        <v>566</v>
      </c>
      <c r="V234" s="4" t="s">
        <v>222</v>
      </c>
      <c r="W234" s="4">
        <v>415</v>
      </c>
      <c r="X234" s="4" t="s">
        <v>222</v>
      </c>
      <c r="Y234" s="4" t="s">
        <v>222</v>
      </c>
      <c r="Z234" s="4" t="s">
        <v>222</v>
      </c>
      <c r="AA234" s="4" t="s">
        <v>222</v>
      </c>
      <c r="AB234" s="4" t="s">
        <v>222</v>
      </c>
      <c r="AC234" s="4" t="s">
        <v>1000</v>
      </c>
      <c r="AD234" s="4" t="s">
        <v>950</v>
      </c>
      <c r="AE234" s="4" t="s">
        <v>183</v>
      </c>
      <c r="AF234" s="4" t="s">
        <v>844</v>
      </c>
      <c r="AG234" s="4"/>
      <c r="AH234" s="1" t="s">
        <v>183</v>
      </c>
      <c r="AI234" s="1" t="s">
        <v>2815</v>
      </c>
      <c r="AJ234" s="1" t="s">
        <v>184</v>
      </c>
      <c r="AK234" s="1" t="s">
        <v>184</v>
      </c>
    </row>
    <row r="235" spans="1:37" x14ac:dyDescent="0.3">
      <c r="A235" s="94">
        <f t="shared" si="6"/>
        <v>234</v>
      </c>
      <c r="B235" s="39" t="str">
        <f t="shared" si="7"/>
        <v>SPS CAPORN ST MOSMAN PARK</v>
      </c>
      <c r="C235" s="4" t="s">
        <v>1703</v>
      </c>
      <c r="D235" s="4" t="s">
        <v>1704</v>
      </c>
      <c r="E235" s="4" t="s">
        <v>1497</v>
      </c>
      <c r="F235" s="4" t="s">
        <v>1705</v>
      </c>
      <c r="G235" s="4" t="s">
        <v>1706</v>
      </c>
      <c r="H235" s="4" t="s">
        <v>1707</v>
      </c>
      <c r="I235" s="4" t="s">
        <v>2931</v>
      </c>
      <c r="J235" s="4"/>
      <c r="K235" s="4"/>
      <c r="L235" s="4" t="s">
        <v>1708</v>
      </c>
      <c r="M235" s="4" t="s">
        <v>1709</v>
      </c>
      <c r="N235" s="4" t="s">
        <v>1232</v>
      </c>
      <c r="O235" s="4">
        <v>2007</v>
      </c>
      <c r="P235" s="4"/>
      <c r="Q235" s="4" t="s">
        <v>631</v>
      </c>
      <c r="R235" s="4" t="s">
        <v>1710</v>
      </c>
      <c r="S235" s="4" t="s">
        <v>571</v>
      </c>
      <c r="T235" s="4" t="s">
        <v>1711</v>
      </c>
      <c r="U235" s="4" t="s">
        <v>566</v>
      </c>
      <c r="V235" s="4">
        <v>22</v>
      </c>
      <c r="W235" s="4">
        <v>415</v>
      </c>
      <c r="X235" s="4" t="s">
        <v>222</v>
      </c>
      <c r="Y235" s="4" t="s">
        <v>222</v>
      </c>
      <c r="Z235" s="4" t="s">
        <v>222</v>
      </c>
      <c r="AA235" s="4" t="s">
        <v>222</v>
      </c>
      <c r="AB235" s="4" t="s">
        <v>222</v>
      </c>
      <c r="AC235" s="4" t="s">
        <v>1712</v>
      </c>
      <c r="AD235" s="4" t="s">
        <v>950</v>
      </c>
      <c r="AE235" s="4" t="s">
        <v>184</v>
      </c>
      <c r="AF235" s="4" t="s">
        <v>839</v>
      </c>
      <c r="AG235" s="4"/>
      <c r="AH235" s="1" t="s">
        <v>183</v>
      </c>
      <c r="AI235" s="1" t="s">
        <v>2815</v>
      </c>
      <c r="AJ235" s="1" t="s">
        <v>183</v>
      </c>
      <c r="AK235" s="1" t="s">
        <v>184</v>
      </c>
    </row>
    <row r="236" spans="1:37" x14ac:dyDescent="0.3">
      <c r="A236" s="94">
        <f t="shared" si="6"/>
        <v>235</v>
      </c>
      <c r="B236" s="39" t="str">
        <f t="shared" si="7"/>
        <v>SPS GLENN AV MOSMAN PARK</v>
      </c>
      <c r="C236" s="4" t="s">
        <v>2001</v>
      </c>
      <c r="D236" s="4" t="s">
        <v>2002</v>
      </c>
      <c r="E236" s="4" t="s">
        <v>1497</v>
      </c>
      <c r="F236" s="4" t="s">
        <v>2003</v>
      </c>
      <c r="G236" s="4" t="s">
        <v>1706</v>
      </c>
      <c r="H236" s="4" t="s">
        <v>1707</v>
      </c>
      <c r="I236" s="4" t="s">
        <v>2965</v>
      </c>
      <c r="J236" s="4"/>
      <c r="K236" s="4"/>
      <c r="L236" s="4" t="s">
        <v>2004</v>
      </c>
      <c r="M236" s="4" t="s">
        <v>2005</v>
      </c>
      <c r="N236" s="4" t="s">
        <v>250</v>
      </c>
      <c r="O236" s="4">
        <v>1962</v>
      </c>
      <c r="P236" s="4"/>
      <c r="Q236" s="4" t="s">
        <v>222</v>
      </c>
      <c r="R236" s="4" t="s">
        <v>2006</v>
      </c>
      <c r="S236" s="4" t="s">
        <v>222</v>
      </c>
      <c r="T236" s="4" t="s">
        <v>2007</v>
      </c>
      <c r="U236" s="4" t="s">
        <v>566</v>
      </c>
      <c r="V236" s="4" t="s">
        <v>222</v>
      </c>
      <c r="W236" s="4" t="s">
        <v>222</v>
      </c>
      <c r="X236" s="4" t="s">
        <v>222</v>
      </c>
      <c r="Y236" s="4" t="s">
        <v>222</v>
      </c>
      <c r="Z236" s="4" t="s">
        <v>222</v>
      </c>
      <c r="AA236" s="4" t="s">
        <v>222</v>
      </c>
      <c r="AB236" s="4" t="s">
        <v>222</v>
      </c>
      <c r="AC236" s="4" t="s">
        <v>2008</v>
      </c>
      <c r="AD236" s="4" t="s">
        <v>950</v>
      </c>
      <c r="AE236" s="4" t="s">
        <v>183</v>
      </c>
      <c r="AF236" s="4" t="s">
        <v>1750</v>
      </c>
      <c r="AG236" s="4"/>
      <c r="AH236" s="1" t="s">
        <v>183</v>
      </c>
      <c r="AI236" s="1" t="s">
        <v>2819</v>
      </c>
      <c r="AJ236" s="1" t="s">
        <v>184</v>
      </c>
      <c r="AK236" s="1" t="s">
        <v>183</v>
      </c>
    </row>
    <row r="237" spans="1:37" x14ac:dyDescent="0.3">
      <c r="A237" s="94">
        <f t="shared" si="6"/>
        <v>236</v>
      </c>
      <c r="B237" s="39" t="str">
        <f t="shared" si="7"/>
        <v>SPS HUTCHINSON AV MOSMAN PARK</v>
      </c>
      <c r="C237" s="4" t="s">
        <v>2102</v>
      </c>
      <c r="D237" s="4" t="s">
        <v>2103</v>
      </c>
      <c r="E237" s="4" t="s">
        <v>1497</v>
      </c>
      <c r="F237" s="4" t="s">
        <v>2104</v>
      </c>
      <c r="G237" s="4" t="s">
        <v>1706</v>
      </c>
      <c r="H237" s="4" t="s">
        <v>1707</v>
      </c>
      <c r="I237" s="4" t="s">
        <v>2977</v>
      </c>
      <c r="J237" s="4"/>
      <c r="K237" s="4"/>
      <c r="L237" s="4" t="s">
        <v>2105</v>
      </c>
      <c r="M237" s="4" t="s">
        <v>2106</v>
      </c>
      <c r="N237" s="4" t="s">
        <v>1648</v>
      </c>
      <c r="O237" s="4">
        <v>2001</v>
      </c>
      <c r="P237" s="4"/>
      <c r="Q237" s="4" t="s">
        <v>631</v>
      </c>
      <c r="R237" s="4" t="s">
        <v>2107</v>
      </c>
      <c r="S237" s="4" t="s">
        <v>571</v>
      </c>
      <c r="T237" s="4" t="s">
        <v>2108</v>
      </c>
      <c r="U237" s="4">
        <v>200</v>
      </c>
      <c r="V237" s="4" t="s">
        <v>222</v>
      </c>
      <c r="W237" s="4">
        <v>415</v>
      </c>
      <c r="X237" s="4" t="s">
        <v>222</v>
      </c>
      <c r="Y237" s="4" t="s">
        <v>222</v>
      </c>
      <c r="Z237" s="4" t="s">
        <v>222</v>
      </c>
      <c r="AA237" s="4" t="s">
        <v>222</v>
      </c>
      <c r="AB237" s="4" t="s">
        <v>222</v>
      </c>
      <c r="AC237" s="4" t="s">
        <v>2109</v>
      </c>
      <c r="AD237" s="4" t="s">
        <v>950</v>
      </c>
      <c r="AE237" s="4" t="s">
        <v>183</v>
      </c>
      <c r="AF237" s="4" t="s">
        <v>844</v>
      </c>
      <c r="AG237" s="4"/>
      <c r="AH237" s="1" t="s">
        <v>183</v>
      </c>
      <c r="AI237" s="1" t="s">
        <v>2819</v>
      </c>
      <c r="AJ237" s="1" t="s">
        <v>183</v>
      </c>
      <c r="AK237" s="1" t="s">
        <v>183</v>
      </c>
    </row>
    <row r="238" spans="1:37" x14ac:dyDescent="0.3">
      <c r="A238" s="94">
        <f t="shared" si="6"/>
        <v>237</v>
      </c>
      <c r="B238" s="39" t="str">
        <f t="shared" si="7"/>
        <v>SPS STONE ST MOSMAN PARK</v>
      </c>
      <c r="C238" s="4" t="s">
        <v>2563</v>
      </c>
      <c r="D238" s="4" t="s">
        <v>2564</v>
      </c>
      <c r="E238" s="4" t="s">
        <v>1497</v>
      </c>
      <c r="F238" s="4" t="s">
        <v>2565</v>
      </c>
      <c r="G238" s="4" t="s">
        <v>1706</v>
      </c>
      <c r="H238" s="4" t="s">
        <v>1707</v>
      </c>
      <c r="I238" s="4" t="s">
        <v>3033</v>
      </c>
      <c r="J238" s="4"/>
      <c r="K238" s="4"/>
      <c r="L238" s="4" t="s">
        <v>2566</v>
      </c>
      <c r="M238" s="4" t="s">
        <v>2567</v>
      </c>
      <c r="N238" s="4" t="s">
        <v>1283</v>
      </c>
      <c r="O238" s="4">
        <v>1998</v>
      </c>
      <c r="P238" s="4"/>
      <c r="Q238" s="4" t="s">
        <v>631</v>
      </c>
      <c r="R238" s="4" t="s">
        <v>2568</v>
      </c>
      <c r="S238" s="4" t="s">
        <v>571</v>
      </c>
      <c r="T238" s="4" t="s">
        <v>2569</v>
      </c>
      <c r="U238" s="4">
        <v>200</v>
      </c>
      <c r="V238" s="4" t="s">
        <v>222</v>
      </c>
      <c r="W238" s="4">
        <v>415</v>
      </c>
      <c r="X238" s="4" t="s">
        <v>222</v>
      </c>
      <c r="Y238" s="4" t="s">
        <v>222</v>
      </c>
      <c r="Z238" s="4" t="s">
        <v>222</v>
      </c>
      <c r="AA238" s="4" t="s">
        <v>222</v>
      </c>
      <c r="AB238" s="4" t="s">
        <v>222</v>
      </c>
      <c r="AC238" s="4" t="s">
        <v>2570</v>
      </c>
      <c r="AD238" s="4" t="s">
        <v>950</v>
      </c>
      <c r="AE238" s="4" t="s">
        <v>183</v>
      </c>
      <c r="AF238" s="4" t="s">
        <v>849</v>
      </c>
      <c r="AG238" s="4"/>
      <c r="AH238" s="1" t="s">
        <v>183</v>
      </c>
      <c r="AI238" s="1" t="s">
        <v>2819</v>
      </c>
      <c r="AJ238" s="1" t="s">
        <v>184</v>
      </c>
      <c r="AK238" s="1" t="s">
        <v>183</v>
      </c>
    </row>
    <row r="239" spans="1:37" x14ac:dyDescent="0.3">
      <c r="A239" s="94">
        <f t="shared" si="6"/>
        <v>238</v>
      </c>
      <c r="B239" s="39" t="str">
        <f t="shared" si="7"/>
        <v>SPS THE COOMBE MOSMAN PARK</v>
      </c>
      <c r="C239" s="4" t="s">
        <v>2606</v>
      </c>
      <c r="D239" s="4" t="s">
        <v>2607</v>
      </c>
      <c r="E239" s="4" t="s">
        <v>1497</v>
      </c>
      <c r="F239" s="4" t="s">
        <v>2608</v>
      </c>
      <c r="G239" s="4" t="s">
        <v>1706</v>
      </c>
      <c r="H239" s="4" t="s">
        <v>1707</v>
      </c>
      <c r="I239" s="4" t="s">
        <v>3038</v>
      </c>
      <c r="J239" s="4"/>
      <c r="K239" s="4"/>
      <c r="L239" s="4" t="s">
        <v>2609</v>
      </c>
      <c r="M239" s="4" t="s">
        <v>2610</v>
      </c>
      <c r="N239" s="4" t="s">
        <v>2014</v>
      </c>
      <c r="O239" s="4">
        <v>1991</v>
      </c>
      <c r="P239" s="4"/>
      <c r="Q239" s="4" t="s">
        <v>222</v>
      </c>
      <c r="R239" s="4" t="s">
        <v>2611</v>
      </c>
      <c r="S239" s="4" t="s">
        <v>222</v>
      </c>
      <c r="T239" s="4" t="s">
        <v>2612</v>
      </c>
      <c r="U239" s="4" t="s">
        <v>566</v>
      </c>
      <c r="V239" s="4" t="s">
        <v>222</v>
      </c>
      <c r="W239" s="4" t="s">
        <v>222</v>
      </c>
      <c r="X239" s="4" t="s">
        <v>222</v>
      </c>
      <c r="Y239" s="4" t="s">
        <v>222</v>
      </c>
      <c r="Z239" s="4" t="s">
        <v>222</v>
      </c>
      <c r="AA239" s="4" t="s">
        <v>222</v>
      </c>
      <c r="AB239" s="4" t="s">
        <v>222</v>
      </c>
      <c r="AC239" s="4" t="s">
        <v>2613</v>
      </c>
      <c r="AD239" s="4" t="s">
        <v>950</v>
      </c>
      <c r="AE239" s="4" t="s">
        <v>183</v>
      </c>
      <c r="AF239" s="4" t="s">
        <v>844</v>
      </c>
      <c r="AG239" s="4"/>
      <c r="AH239" s="1" t="s">
        <v>183</v>
      </c>
      <c r="AI239" s="1" t="s">
        <v>2819</v>
      </c>
      <c r="AJ239" s="1" t="s">
        <v>183</v>
      </c>
      <c r="AK239" s="1" t="s">
        <v>183</v>
      </c>
    </row>
    <row r="240" spans="1:37" x14ac:dyDescent="0.3">
      <c r="A240" s="94">
        <f t="shared" si="6"/>
        <v>239</v>
      </c>
      <c r="B240" s="39" t="str">
        <f t="shared" si="7"/>
        <v>SPS KEANES POINT PEPPERMINT GROVE</v>
      </c>
      <c r="C240" s="4" t="s">
        <v>2174</v>
      </c>
      <c r="D240" s="4" t="s">
        <v>2175</v>
      </c>
      <c r="E240" s="4" t="s">
        <v>1497</v>
      </c>
      <c r="F240" s="4" t="s">
        <v>2176</v>
      </c>
      <c r="G240" s="4" t="s">
        <v>2177</v>
      </c>
      <c r="H240" s="4" t="s">
        <v>2178</v>
      </c>
      <c r="I240" s="4" t="s">
        <v>2985</v>
      </c>
      <c r="J240" s="4"/>
      <c r="K240" s="4"/>
      <c r="L240" s="4" t="s">
        <v>2179</v>
      </c>
      <c r="M240" s="4" t="s">
        <v>2180</v>
      </c>
      <c r="N240" s="4" t="s">
        <v>1089</v>
      </c>
      <c r="O240" s="4">
        <v>1992</v>
      </c>
      <c r="P240" s="4"/>
      <c r="Q240" s="4" t="s">
        <v>631</v>
      </c>
      <c r="R240" s="4" t="s">
        <v>2181</v>
      </c>
      <c r="S240" s="4" t="s">
        <v>571</v>
      </c>
      <c r="T240" s="4" t="s">
        <v>2182</v>
      </c>
      <c r="U240" s="4" t="s">
        <v>566</v>
      </c>
      <c r="V240" s="4">
        <v>22</v>
      </c>
      <c r="W240" s="4">
        <v>415</v>
      </c>
      <c r="X240" s="4" t="s">
        <v>222</v>
      </c>
      <c r="Y240" s="4" t="s">
        <v>222</v>
      </c>
      <c r="Z240" s="4" t="s">
        <v>222</v>
      </c>
      <c r="AA240" s="4" t="s">
        <v>222</v>
      </c>
      <c r="AB240" s="4" t="s">
        <v>222</v>
      </c>
      <c r="AC240" s="4" t="s">
        <v>2183</v>
      </c>
      <c r="AD240" s="4" t="s">
        <v>950</v>
      </c>
      <c r="AE240" s="4" t="s">
        <v>184</v>
      </c>
      <c r="AF240" s="4" t="s">
        <v>839</v>
      </c>
      <c r="AG240" s="4"/>
      <c r="AH240" s="1" t="s">
        <v>183</v>
      </c>
      <c r="AI240" s="1" t="s">
        <v>2819</v>
      </c>
      <c r="AJ240" s="1" t="s">
        <v>183</v>
      </c>
      <c r="AK240" s="1" t="s">
        <v>184</v>
      </c>
    </row>
    <row r="241" spans="1:37" x14ac:dyDescent="0.3">
      <c r="A241" s="94">
        <f t="shared" si="6"/>
        <v>240</v>
      </c>
      <c r="B241" s="39" t="str">
        <f t="shared" si="7"/>
        <v>SPS JETTY RD CLAREMONT</v>
      </c>
      <c r="C241" s="4" t="s">
        <v>2137</v>
      </c>
      <c r="D241" s="4" t="s">
        <v>2138</v>
      </c>
      <c r="E241" s="4" t="s">
        <v>1497</v>
      </c>
      <c r="F241" s="4" t="s">
        <v>2139</v>
      </c>
      <c r="G241" s="4" t="s">
        <v>2140</v>
      </c>
      <c r="H241" s="4" t="s">
        <v>282</v>
      </c>
      <c r="I241" s="4" t="s">
        <v>2981</v>
      </c>
      <c r="J241" s="4"/>
      <c r="K241" s="4"/>
      <c r="L241" s="4" t="s">
        <v>2141</v>
      </c>
      <c r="M241" s="4" t="s">
        <v>2142</v>
      </c>
      <c r="N241" s="4" t="s">
        <v>2143</v>
      </c>
      <c r="O241" s="4">
        <v>1978</v>
      </c>
      <c r="P241" s="4"/>
      <c r="Q241" s="4" t="s">
        <v>612</v>
      </c>
      <c r="R241" s="4" t="s">
        <v>2144</v>
      </c>
      <c r="S241" s="4" t="s">
        <v>571</v>
      </c>
      <c r="T241" s="4" t="s">
        <v>2145</v>
      </c>
      <c r="U241" s="4" t="s">
        <v>566</v>
      </c>
      <c r="V241" s="4" t="s">
        <v>222</v>
      </c>
      <c r="W241" s="4" t="s">
        <v>222</v>
      </c>
      <c r="X241" s="4" t="s">
        <v>222</v>
      </c>
      <c r="Y241" s="4" t="s">
        <v>222</v>
      </c>
      <c r="Z241" s="4" t="s">
        <v>222</v>
      </c>
      <c r="AA241" s="4" t="s">
        <v>222</v>
      </c>
      <c r="AB241" s="4" t="s">
        <v>222</v>
      </c>
      <c r="AC241" s="4" t="s">
        <v>2146</v>
      </c>
      <c r="AD241" s="4" t="s">
        <v>950</v>
      </c>
      <c r="AE241" s="4" t="s">
        <v>183</v>
      </c>
      <c r="AF241" s="4" t="s">
        <v>844</v>
      </c>
      <c r="AG241" s="4"/>
      <c r="AH241" s="1" t="s">
        <v>183</v>
      </c>
      <c r="AI241" s="1" t="s">
        <v>2819</v>
      </c>
      <c r="AJ241" s="1" t="s">
        <v>183</v>
      </c>
      <c r="AK241" s="1" t="s">
        <v>183</v>
      </c>
    </row>
    <row r="242" spans="1:37" x14ac:dyDescent="0.3">
      <c r="A242" s="94">
        <f t="shared" si="6"/>
        <v>241</v>
      </c>
      <c r="B242" s="39" t="str">
        <f t="shared" si="7"/>
        <v>SPS LAKEWAY ST CLAREMONT</v>
      </c>
      <c r="C242" s="4" t="s">
        <v>2218</v>
      </c>
      <c r="D242" s="4" t="s">
        <v>2219</v>
      </c>
      <c r="E242" s="4" t="s">
        <v>1497</v>
      </c>
      <c r="F242" s="4" t="s">
        <v>2220</v>
      </c>
      <c r="G242" s="4" t="s">
        <v>2140</v>
      </c>
      <c r="H242" s="4" t="s">
        <v>282</v>
      </c>
      <c r="I242" s="4" t="s">
        <v>2990</v>
      </c>
      <c r="J242" s="4"/>
      <c r="K242" s="4"/>
      <c r="L242" s="4" t="s">
        <v>2221</v>
      </c>
      <c r="M242" s="4" t="s">
        <v>2222</v>
      </c>
      <c r="N242" s="4" t="s">
        <v>273</v>
      </c>
      <c r="O242" s="4">
        <v>1973</v>
      </c>
      <c r="P242" s="4"/>
      <c r="Q242" s="4" t="s">
        <v>222</v>
      </c>
      <c r="R242" s="4" t="s">
        <v>2223</v>
      </c>
      <c r="S242" s="4" t="s">
        <v>571</v>
      </c>
      <c r="T242" s="4" t="s">
        <v>2224</v>
      </c>
      <c r="U242" s="4" t="s">
        <v>566</v>
      </c>
      <c r="V242" s="4" t="s">
        <v>222</v>
      </c>
      <c r="W242" s="4" t="s">
        <v>222</v>
      </c>
      <c r="X242" s="4" t="s">
        <v>222</v>
      </c>
      <c r="Y242" s="4" t="s">
        <v>222</v>
      </c>
      <c r="Z242" s="4" t="s">
        <v>222</v>
      </c>
      <c r="AA242" s="4" t="s">
        <v>222</v>
      </c>
      <c r="AB242" s="4" t="s">
        <v>222</v>
      </c>
      <c r="AC242" s="4" t="s">
        <v>2225</v>
      </c>
      <c r="AD242" s="4" t="s">
        <v>950</v>
      </c>
      <c r="AE242" s="4" t="s">
        <v>183</v>
      </c>
      <c r="AF242" s="4" t="s">
        <v>839</v>
      </c>
      <c r="AG242" s="4"/>
      <c r="AH242" s="1" t="s">
        <v>183</v>
      </c>
      <c r="AI242" s="1" t="s">
        <v>2819</v>
      </c>
      <c r="AJ242" s="1" t="s">
        <v>183</v>
      </c>
      <c r="AK242" s="1" t="s">
        <v>183</v>
      </c>
    </row>
    <row r="243" spans="1:37" x14ac:dyDescent="0.3">
      <c r="A243" s="94">
        <f t="shared" si="6"/>
        <v>242</v>
      </c>
      <c r="B243" s="39" t="str">
        <f t="shared" si="7"/>
        <v>SPS PARK LANE CLAREMONT</v>
      </c>
      <c r="C243" s="4" t="s">
        <v>2370</v>
      </c>
      <c r="D243" s="4" t="s">
        <v>2371</v>
      </c>
      <c r="E243" s="4" t="s">
        <v>1497</v>
      </c>
      <c r="F243" s="4" t="s">
        <v>2372</v>
      </c>
      <c r="G243" s="4" t="s">
        <v>2140</v>
      </c>
      <c r="H243" s="4" t="s">
        <v>282</v>
      </c>
      <c r="I243" s="4" t="s">
        <v>3008</v>
      </c>
      <c r="J243" s="4"/>
      <c r="K243" s="4"/>
      <c r="L243" s="4" t="s">
        <v>2373</v>
      </c>
      <c r="M243" s="4" t="s">
        <v>2374</v>
      </c>
      <c r="N243" s="4" t="s">
        <v>2154</v>
      </c>
      <c r="O243" s="4">
        <v>1994</v>
      </c>
      <c r="P243" s="4"/>
      <c r="Q243" s="4" t="s">
        <v>612</v>
      </c>
      <c r="R243" s="4" t="s">
        <v>2375</v>
      </c>
      <c r="S243" s="4" t="s">
        <v>571</v>
      </c>
      <c r="T243" s="4" t="s">
        <v>2376</v>
      </c>
      <c r="U243" s="4" t="s">
        <v>566</v>
      </c>
      <c r="V243" s="4" t="s">
        <v>222</v>
      </c>
      <c r="W243" s="4">
        <v>415</v>
      </c>
      <c r="X243" s="4" t="s">
        <v>222</v>
      </c>
      <c r="Y243" s="4" t="s">
        <v>222</v>
      </c>
      <c r="Z243" s="4" t="s">
        <v>222</v>
      </c>
      <c r="AA243" s="4" t="s">
        <v>222</v>
      </c>
      <c r="AB243" s="4" t="s">
        <v>222</v>
      </c>
      <c r="AC243" s="4" t="s">
        <v>2377</v>
      </c>
      <c r="AD243" s="4" t="s">
        <v>950</v>
      </c>
      <c r="AE243" s="4" t="s">
        <v>183</v>
      </c>
      <c r="AF243" s="4" t="s">
        <v>849</v>
      </c>
      <c r="AG243" s="4"/>
      <c r="AH243" s="1" t="s">
        <v>183</v>
      </c>
      <c r="AI243" s="1" t="s">
        <v>2815</v>
      </c>
      <c r="AJ243" s="1" t="s">
        <v>183</v>
      </c>
      <c r="AK243" s="1" t="s">
        <v>184</v>
      </c>
    </row>
    <row r="244" spans="1:37" x14ac:dyDescent="0.3">
      <c r="A244" s="94">
        <f t="shared" si="6"/>
        <v>243</v>
      </c>
      <c r="B244" s="39" t="str">
        <f t="shared" si="7"/>
        <v>SPS SWANBOURNE MAIN SWANBOURNE</v>
      </c>
      <c r="C244" s="4" t="s">
        <v>84</v>
      </c>
      <c r="D244" s="4" t="s">
        <v>85</v>
      </c>
      <c r="E244" s="4" t="s">
        <v>831</v>
      </c>
      <c r="F244" s="4" t="s">
        <v>280</v>
      </c>
      <c r="G244" s="4" t="s">
        <v>281</v>
      </c>
      <c r="H244" s="4" t="s">
        <v>282</v>
      </c>
      <c r="I244" s="4" t="s">
        <v>854</v>
      </c>
      <c r="J244" s="4" t="s">
        <v>560</v>
      </c>
      <c r="K244" s="4" t="s">
        <v>599</v>
      </c>
      <c r="L244" s="4" t="s">
        <v>283</v>
      </c>
      <c r="M244" s="4" t="s">
        <v>284</v>
      </c>
      <c r="N244" s="4" t="s">
        <v>285</v>
      </c>
      <c r="O244" s="4">
        <v>1997</v>
      </c>
      <c r="P244" s="4" t="s">
        <v>855</v>
      </c>
      <c r="Q244" s="4" t="s">
        <v>569</v>
      </c>
      <c r="R244" s="4" t="s">
        <v>600</v>
      </c>
      <c r="S244" s="4" t="s">
        <v>571</v>
      </c>
      <c r="T244" s="4" t="s">
        <v>601</v>
      </c>
      <c r="U244" s="4">
        <v>315</v>
      </c>
      <c r="V244" s="4">
        <v>6.6109999999999998</v>
      </c>
      <c r="W244" s="4">
        <v>440</v>
      </c>
      <c r="X244" s="4">
        <v>415</v>
      </c>
      <c r="Y244" s="4">
        <v>590</v>
      </c>
      <c r="Z244" s="4" t="s">
        <v>222</v>
      </c>
      <c r="AA244" s="4" t="s">
        <v>602</v>
      </c>
      <c r="AB244" s="4" t="s">
        <v>222</v>
      </c>
      <c r="AC244" s="4" t="s">
        <v>772</v>
      </c>
      <c r="AD244" s="4"/>
      <c r="AE244" s="4" t="s">
        <v>184</v>
      </c>
      <c r="AF244" s="4" t="s">
        <v>836</v>
      </c>
      <c r="AG244" s="4"/>
      <c r="AH244" s="1" t="s">
        <v>183</v>
      </c>
      <c r="AI244" s="1" t="s">
        <v>2815</v>
      </c>
      <c r="AJ244" s="1" t="s">
        <v>183</v>
      </c>
      <c r="AK244" s="1" t="s">
        <v>184</v>
      </c>
    </row>
    <row r="245" spans="1:37" x14ac:dyDescent="0.3">
      <c r="A245" s="94">
        <f t="shared" si="6"/>
        <v>244</v>
      </c>
      <c r="B245" s="39" t="str">
        <f t="shared" si="7"/>
        <v>SPS HACKETT DR CRAWLEY</v>
      </c>
      <c r="C245" s="4" t="s">
        <v>2036</v>
      </c>
      <c r="D245" s="4" t="s">
        <v>2037</v>
      </c>
      <c r="E245" s="4" t="s">
        <v>1497</v>
      </c>
      <c r="F245" s="4" t="s">
        <v>2038</v>
      </c>
      <c r="G245" s="4" t="s">
        <v>1055</v>
      </c>
      <c r="H245" s="4" t="s">
        <v>1056</v>
      </c>
      <c r="I245" s="4" t="s">
        <v>2969</v>
      </c>
      <c r="J245" s="4"/>
      <c r="K245" s="4"/>
      <c r="L245" s="4" t="s">
        <v>2039</v>
      </c>
      <c r="M245" s="4" t="s">
        <v>2040</v>
      </c>
      <c r="N245" s="4" t="s">
        <v>1089</v>
      </c>
      <c r="O245" s="4">
        <v>1976</v>
      </c>
      <c r="P245" s="4"/>
      <c r="Q245" s="4" t="s">
        <v>222</v>
      </c>
      <c r="R245" s="4" t="s">
        <v>2041</v>
      </c>
      <c r="S245" s="4" t="s">
        <v>222</v>
      </c>
      <c r="T245" s="4" t="s">
        <v>2042</v>
      </c>
      <c r="U245" s="4" t="s">
        <v>566</v>
      </c>
      <c r="V245" s="4" t="s">
        <v>222</v>
      </c>
      <c r="W245" s="4" t="s">
        <v>222</v>
      </c>
      <c r="X245" s="4" t="s">
        <v>222</v>
      </c>
      <c r="Y245" s="4" t="s">
        <v>222</v>
      </c>
      <c r="Z245" s="4" t="s">
        <v>222</v>
      </c>
      <c r="AA245" s="4" t="s">
        <v>222</v>
      </c>
      <c r="AB245" s="4" t="s">
        <v>222</v>
      </c>
      <c r="AC245" s="4" t="s">
        <v>2043</v>
      </c>
      <c r="AD245" s="4" t="s">
        <v>950</v>
      </c>
      <c r="AE245" s="4" t="s">
        <v>183</v>
      </c>
      <c r="AF245" s="4" t="s">
        <v>836</v>
      </c>
      <c r="AG245" s="4"/>
      <c r="AH245" s="1" t="s">
        <v>183</v>
      </c>
      <c r="AI245" s="1" t="s">
        <v>2819</v>
      </c>
      <c r="AJ245" s="1" t="s">
        <v>183</v>
      </c>
      <c r="AK245" s="1" t="s">
        <v>183</v>
      </c>
    </row>
    <row r="246" spans="1:37" x14ac:dyDescent="0.3">
      <c r="A246" s="94">
        <f t="shared" si="6"/>
        <v>245</v>
      </c>
      <c r="B246" s="39" t="str">
        <f t="shared" si="7"/>
        <v>SPS MINORA RD DALKEITH</v>
      </c>
      <c r="C246" s="4" t="s">
        <v>2326</v>
      </c>
      <c r="D246" s="4" t="s">
        <v>2327</v>
      </c>
      <c r="E246" s="4" t="s">
        <v>1497</v>
      </c>
      <c r="F246" s="4" t="s">
        <v>2328</v>
      </c>
      <c r="G246" s="4" t="s">
        <v>2329</v>
      </c>
      <c r="H246" s="4" t="s">
        <v>1056</v>
      </c>
      <c r="I246" s="4" t="s">
        <v>3003</v>
      </c>
      <c r="J246" s="4"/>
      <c r="K246" s="4"/>
      <c r="L246" s="4" t="s">
        <v>2330</v>
      </c>
      <c r="M246" s="4" t="s">
        <v>2331</v>
      </c>
      <c r="N246" s="4" t="s">
        <v>436</v>
      </c>
      <c r="O246" s="4">
        <v>1995</v>
      </c>
      <c r="P246" s="4"/>
      <c r="Q246" s="4" t="s">
        <v>222</v>
      </c>
      <c r="R246" s="4" t="s">
        <v>2332</v>
      </c>
      <c r="S246" s="4" t="s">
        <v>222</v>
      </c>
      <c r="T246" s="4" t="s">
        <v>2333</v>
      </c>
      <c r="U246" s="4" t="s">
        <v>566</v>
      </c>
      <c r="V246" s="4" t="s">
        <v>222</v>
      </c>
      <c r="W246" s="4" t="s">
        <v>222</v>
      </c>
      <c r="X246" s="4" t="s">
        <v>222</v>
      </c>
      <c r="Y246" s="4" t="s">
        <v>222</v>
      </c>
      <c r="Z246" s="4" t="s">
        <v>222</v>
      </c>
      <c r="AA246" s="4" t="s">
        <v>222</v>
      </c>
      <c r="AB246" s="4" t="s">
        <v>222</v>
      </c>
      <c r="AC246" s="4" t="s">
        <v>2334</v>
      </c>
      <c r="AD246" s="4" t="s">
        <v>950</v>
      </c>
      <c r="AE246" s="4" t="s">
        <v>183</v>
      </c>
      <c r="AF246" s="4" t="s">
        <v>839</v>
      </c>
      <c r="AG246" s="4"/>
      <c r="AH246" s="1" t="s">
        <v>183</v>
      </c>
      <c r="AI246" s="1" t="s">
        <v>2815</v>
      </c>
      <c r="AJ246" s="1" t="s">
        <v>184</v>
      </c>
      <c r="AK246" s="1" t="s">
        <v>183</v>
      </c>
    </row>
    <row r="247" spans="1:37" x14ac:dyDescent="0.3">
      <c r="A247" s="94">
        <f t="shared" si="6"/>
        <v>246</v>
      </c>
      <c r="B247" s="39" t="str">
        <f t="shared" si="7"/>
        <v>SPS PELICAN PT KIOSK CRAWLEY</v>
      </c>
      <c r="C247" s="4" t="s">
        <v>2404</v>
      </c>
      <c r="D247" s="4" t="s">
        <v>2405</v>
      </c>
      <c r="E247" s="4" t="s">
        <v>1497</v>
      </c>
      <c r="F247" s="4" t="s">
        <v>2406</v>
      </c>
      <c r="G247" s="4" t="s">
        <v>1055</v>
      </c>
      <c r="H247" s="4" t="s">
        <v>1056</v>
      </c>
      <c r="I247" s="4" t="s">
        <v>3012</v>
      </c>
      <c r="J247" s="4"/>
      <c r="K247" s="4"/>
      <c r="L247" s="4" t="s">
        <v>2407</v>
      </c>
      <c r="M247" s="4" t="s">
        <v>2408</v>
      </c>
      <c r="N247" s="4" t="s">
        <v>1059</v>
      </c>
      <c r="O247" s="4">
        <v>1984</v>
      </c>
      <c r="P247" s="4"/>
      <c r="Q247" s="4" t="s">
        <v>222</v>
      </c>
      <c r="R247" s="4" t="s">
        <v>2409</v>
      </c>
      <c r="S247" s="4" t="s">
        <v>222</v>
      </c>
      <c r="T247" s="4" t="s">
        <v>222</v>
      </c>
      <c r="U247" s="4" t="s">
        <v>566</v>
      </c>
      <c r="V247" s="4" t="s">
        <v>222</v>
      </c>
      <c r="W247" s="4" t="s">
        <v>222</v>
      </c>
      <c r="X247" s="4" t="s">
        <v>222</v>
      </c>
      <c r="Y247" s="4" t="s">
        <v>222</v>
      </c>
      <c r="Z247" s="4" t="s">
        <v>222</v>
      </c>
      <c r="AA247" s="4" t="s">
        <v>222</v>
      </c>
      <c r="AB247" s="4" t="s">
        <v>222</v>
      </c>
      <c r="AC247" s="4" t="s">
        <v>222</v>
      </c>
      <c r="AD247" s="4"/>
      <c r="AE247" s="4" t="s">
        <v>183</v>
      </c>
      <c r="AF247" s="4" t="s">
        <v>1750</v>
      </c>
      <c r="AG247" s="4"/>
      <c r="AH247" s="1" t="s">
        <v>183</v>
      </c>
      <c r="AI247" s="1" t="s">
        <v>2819</v>
      </c>
      <c r="AJ247" s="1" t="s">
        <v>184</v>
      </c>
      <c r="AK247" s="1" t="s">
        <v>183</v>
      </c>
    </row>
    <row r="248" spans="1:37" x14ac:dyDescent="0.3">
      <c r="A248" s="94">
        <f t="shared" si="6"/>
        <v>247</v>
      </c>
      <c r="B248" s="39" t="str">
        <f t="shared" si="7"/>
        <v>SPS PELICAN PT MATILDA BAY CRAWLEY</v>
      </c>
      <c r="C248" s="4" t="s">
        <v>2410</v>
      </c>
      <c r="D248" s="4" t="s">
        <v>2411</v>
      </c>
      <c r="E248" s="4" t="s">
        <v>1497</v>
      </c>
      <c r="F248" s="4" t="s">
        <v>2412</v>
      </c>
      <c r="G248" s="4" t="s">
        <v>1055</v>
      </c>
      <c r="H248" s="4" t="s">
        <v>1056</v>
      </c>
      <c r="I248" s="4" t="s">
        <v>3013</v>
      </c>
      <c r="J248" s="4"/>
      <c r="K248" s="4"/>
      <c r="L248" s="4" t="s">
        <v>2413</v>
      </c>
      <c r="M248" s="4" t="s">
        <v>2414</v>
      </c>
      <c r="N248" s="4" t="s">
        <v>1059</v>
      </c>
      <c r="O248" s="4">
        <v>1984</v>
      </c>
      <c r="P248" s="4"/>
      <c r="Q248" s="4" t="s">
        <v>222</v>
      </c>
      <c r="R248" s="4" t="s">
        <v>2415</v>
      </c>
      <c r="S248" s="4" t="s">
        <v>222</v>
      </c>
      <c r="T248" s="4" t="s">
        <v>222</v>
      </c>
      <c r="U248" s="4" t="s">
        <v>566</v>
      </c>
      <c r="V248" s="4" t="s">
        <v>222</v>
      </c>
      <c r="W248" s="4" t="s">
        <v>222</v>
      </c>
      <c r="X248" s="4" t="s">
        <v>222</v>
      </c>
      <c r="Y248" s="4" t="s">
        <v>222</v>
      </c>
      <c r="Z248" s="4" t="s">
        <v>222</v>
      </c>
      <c r="AA248" s="4" t="s">
        <v>222</v>
      </c>
      <c r="AB248" s="4" t="s">
        <v>222</v>
      </c>
      <c r="AC248" s="4" t="s">
        <v>222</v>
      </c>
      <c r="AD248" s="4"/>
      <c r="AE248" s="4" t="s">
        <v>183</v>
      </c>
      <c r="AF248" s="4" t="s">
        <v>1750</v>
      </c>
      <c r="AG248" s="4"/>
      <c r="AH248" s="1" t="s">
        <v>183</v>
      </c>
      <c r="AI248" s="1" t="s">
        <v>2815</v>
      </c>
      <c r="AJ248" s="1" t="s">
        <v>183</v>
      </c>
      <c r="AK248" s="1" t="s">
        <v>184</v>
      </c>
    </row>
    <row r="249" spans="1:37" x14ac:dyDescent="0.3">
      <c r="A249" s="94">
        <f t="shared" si="6"/>
        <v>248</v>
      </c>
      <c r="B249" s="39" t="str">
        <f t="shared" si="7"/>
        <v>SPS PELICAN PT NAT PARKS CRAWLEY</v>
      </c>
      <c r="C249" s="4" t="s">
        <v>2416</v>
      </c>
      <c r="D249" s="4" t="s">
        <v>2417</v>
      </c>
      <c r="E249" s="4" t="s">
        <v>1497</v>
      </c>
      <c r="F249" s="4" t="s">
        <v>2412</v>
      </c>
      <c r="G249" s="4" t="s">
        <v>1055</v>
      </c>
      <c r="H249" s="4" t="s">
        <v>1056</v>
      </c>
      <c r="I249" s="4" t="s">
        <v>3014</v>
      </c>
      <c r="J249" s="4"/>
      <c r="K249" s="4"/>
      <c r="L249" s="4" t="s">
        <v>2418</v>
      </c>
      <c r="M249" s="4" t="s">
        <v>2419</v>
      </c>
      <c r="N249" s="4" t="s">
        <v>1059</v>
      </c>
      <c r="O249" s="4">
        <v>1984</v>
      </c>
      <c r="P249" s="4"/>
      <c r="Q249" s="4" t="s">
        <v>222</v>
      </c>
      <c r="R249" s="4" t="s">
        <v>2420</v>
      </c>
      <c r="S249" s="4" t="s">
        <v>222</v>
      </c>
      <c r="T249" s="4" t="s">
        <v>222</v>
      </c>
      <c r="U249" s="4" t="s">
        <v>566</v>
      </c>
      <c r="V249" s="4" t="s">
        <v>222</v>
      </c>
      <c r="W249" s="4" t="s">
        <v>222</v>
      </c>
      <c r="X249" s="4" t="s">
        <v>222</v>
      </c>
      <c r="Y249" s="4" t="s">
        <v>222</v>
      </c>
      <c r="Z249" s="4" t="s">
        <v>222</v>
      </c>
      <c r="AA249" s="4" t="s">
        <v>222</v>
      </c>
      <c r="AB249" s="4" t="s">
        <v>222</v>
      </c>
      <c r="AC249" s="4" t="s">
        <v>222</v>
      </c>
      <c r="AD249" s="4"/>
      <c r="AE249" s="4" t="s">
        <v>183</v>
      </c>
      <c r="AF249" s="4" t="s">
        <v>1750</v>
      </c>
      <c r="AG249" s="4"/>
      <c r="AH249" s="1" t="s">
        <v>183</v>
      </c>
      <c r="AI249" s="1" t="s">
        <v>2819</v>
      </c>
      <c r="AJ249" s="1" t="s">
        <v>183</v>
      </c>
      <c r="AK249" s="1" t="s">
        <v>183</v>
      </c>
    </row>
    <row r="250" spans="1:37" x14ac:dyDescent="0.3">
      <c r="A250" s="94">
        <f t="shared" si="6"/>
        <v>249</v>
      </c>
      <c r="B250" s="39" t="str">
        <f t="shared" si="7"/>
        <v>SPS PELICAN PT RPYC CRAWLEY</v>
      </c>
      <c r="C250" s="4" t="s">
        <v>2421</v>
      </c>
      <c r="D250" s="4" t="s">
        <v>2422</v>
      </c>
      <c r="E250" s="4" t="s">
        <v>1497</v>
      </c>
      <c r="F250" s="4" t="s">
        <v>2423</v>
      </c>
      <c r="G250" s="4" t="s">
        <v>1055</v>
      </c>
      <c r="H250" s="4" t="s">
        <v>1056</v>
      </c>
      <c r="I250" s="4" t="s">
        <v>3015</v>
      </c>
      <c r="J250" s="4"/>
      <c r="K250" s="4"/>
      <c r="L250" s="4" t="s">
        <v>2424</v>
      </c>
      <c r="M250" s="4" t="s">
        <v>2425</v>
      </c>
      <c r="N250" s="4" t="s">
        <v>1059</v>
      </c>
      <c r="O250" s="4">
        <v>1984</v>
      </c>
      <c r="P250" s="4"/>
      <c r="Q250" s="4" t="s">
        <v>222</v>
      </c>
      <c r="R250" s="4" t="s">
        <v>2426</v>
      </c>
      <c r="S250" s="4" t="s">
        <v>222</v>
      </c>
      <c r="T250" s="4" t="s">
        <v>222</v>
      </c>
      <c r="U250" s="4" t="s">
        <v>566</v>
      </c>
      <c r="V250" s="4" t="s">
        <v>222</v>
      </c>
      <c r="W250" s="4" t="s">
        <v>222</v>
      </c>
      <c r="X250" s="4" t="s">
        <v>222</v>
      </c>
      <c r="Y250" s="4" t="s">
        <v>222</v>
      </c>
      <c r="Z250" s="4" t="s">
        <v>222</v>
      </c>
      <c r="AA250" s="4" t="s">
        <v>222</v>
      </c>
      <c r="AB250" s="4" t="s">
        <v>222</v>
      </c>
      <c r="AC250" s="4" t="s">
        <v>222</v>
      </c>
      <c r="AD250" s="4"/>
      <c r="AE250" s="4" t="s">
        <v>183</v>
      </c>
      <c r="AF250" s="4" t="s">
        <v>1750</v>
      </c>
      <c r="AG250" s="4"/>
      <c r="AH250" s="1" t="s">
        <v>183</v>
      </c>
      <c r="AI250" s="1" t="s">
        <v>2815</v>
      </c>
      <c r="AJ250" s="1" t="s">
        <v>183</v>
      </c>
      <c r="AK250" s="1" t="s">
        <v>184</v>
      </c>
    </row>
    <row r="251" spans="1:37" x14ac:dyDescent="0.3">
      <c r="A251" s="94">
        <f t="shared" si="6"/>
        <v>250</v>
      </c>
      <c r="B251" s="39" t="str">
        <f t="shared" si="7"/>
        <v>SPS PELICAN PT RPYC JR CRAWLEY</v>
      </c>
      <c r="C251" s="4" t="s">
        <v>2427</v>
      </c>
      <c r="D251" s="4" t="s">
        <v>2428</v>
      </c>
      <c r="E251" s="4" t="s">
        <v>1497</v>
      </c>
      <c r="F251" s="4" t="s">
        <v>2423</v>
      </c>
      <c r="G251" s="4" t="s">
        <v>1055</v>
      </c>
      <c r="H251" s="4" t="s">
        <v>1056</v>
      </c>
      <c r="I251" s="4" t="s">
        <v>3016</v>
      </c>
      <c r="J251" s="4"/>
      <c r="K251" s="4"/>
      <c r="L251" s="4" t="s">
        <v>2429</v>
      </c>
      <c r="M251" s="4" t="s">
        <v>2430</v>
      </c>
      <c r="N251" s="4" t="s">
        <v>1059</v>
      </c>
      <c r="O251" s="4">
        <v>1984</v>
      </c>
      <c r="P251" s="4"/>
      <c r="Q251" s="4" t="s">
        <v>222</v>
      </c>
      <c r="R251" s="4" t="s">
        <v>2431</v>
      </c>
      <c r="S251" s="4" t="s">
        <v>222</v>
      </c>
      <c r="T251" s="4" t="s">
        <v>222</v>
      </c>
      <c r="U251" s="4" t="s">
        <v>566</v>
      </c>
      <c r="V251" s="4" t="s">
        <v>222</v>
      </c>
      <c r="W251" s="4" t="s">
        <v>222</v>
      </c>
      <c r="X251" s="4" t="s">
        <v>222</v>
      </c>
      <c r="Y251" s="4" t="s">
        <v>222</v>
      </c>
      <c r="Z251" s="4" t="s">
        <v>222</v>
      </c>
      <c r="AA251" s="4" t="s">
        <v>222</v>
      </c>
      <c r="AB251" s="4" t="s">
        <v>222</v>
      </c>
      <c r="AC251" s="4" t="s">
        <v>222</v>
      </c>
      <c r="AD251" s="4"/>
      <c r="AE251" s="4" t="s">
        <v>183</v>
      </c>
      <c r="AF251" s="4" t="s">
        <v>1750</v>
      </c>
      <c r="AG251" s="4"/>
      <c r="AH251" s="1" t="s">
        <v>183</v>
      </c>
      <c r="AI251" s="1" t="s">
        <v>2815</v>
      </c>
      <c r="AJ251" s="1" t="s">
        <v>183</v>
      </c>
      <c r="AK251" s="1" t="s">
        <v>184</v>
      </c>
    </row>
    <row r="252" spans="1:37" x14ac:dyDescent="0.3">
      <c r="A252" s="94">
        <f t="shared" si="6"/>
        <v>251</v>
      </c>
      <c r="B252" s="39" t="str">
        <f t="shared" si="7"/>
        <v>SPS PELICAN PT SAIL CLUB CRAWLEY</v>
      </c>
      <c r="C252" s="4" t="s">
        <v>2432</v>
      </c>
      <c r="D252" s="4" t="s">
        <v>2433</v>
      </c>
      <c r="E252" s="4" t="s">
        <v>1497</v>
      </c>
      <c r="F252" s="4" t="s">
        <v>2434</v>
      </c>
      <c r="G252" s="4" t="s">
        <v>1055</v>
      </c>
      <c r="H252" s="4" t="s">
        <v>1056</v>
      </c>
      <c r="I252" s="4" t="s">
        <v>3017</v>
      </c>
      <c r="J252" s="4"/>
      <c r="K252" s="4"/>
      <c r="L252" s="4" t="s">
        <v>2435</v>
      </c>
      <c r="M252" s="4" t="s">
        <v>2436</v>
      </c>
      <c r="N252" s="4" t="s">
        <v>1059</v>
      </c>
      <c r="O252" s="4">
        <v>1984</v>
      </c>
      <c r="P252" s="4"/>
      <c r="Q252" s="4" t="s">
        <v>222</v>
      </c>
      <c r="R252" s="4" t="s">
        <v>2437</v>
      </c>
      <c r="S252" s="4" t="s">
        <v>222</v>
      </c>
      <c r="T252" s="4" t="s">
        <v>222</v>
      </c>
      <c r="U252" s="4" t="s">
        <v>566</v>
      </c>
      <c r="V252" s="4" t="s">
        <v>222</v>
      </c>
      <c r="W252" s="4" t="s">
        <v>222</v>
      </c>
      <c r="X252" s="4" t="s">
        <v>222</v>
      </c>
      <c r="Y252" s="4" t="s">
        <v>222</v>
      </c>
      <c r="Z252" s="4" t="s">
        <v>222</v>
      </c>
      <c r="AA252" s="4" t="s">
        <v>222</v>
      </c>
      <c r="AB252" s="4" t="s">
        <v>222</v>
      </c>
      <c r="AC252" s="4" t="s">
        <v>222</v>
      </c>
      <c r="AD252" s="4"/>
      <c r="AE252" s="4" t="s">
        <v>183</v>
      </c>
      <c r="AF252" s="4" t="s">
        <v>1750</v>
      </c>
      <c r="AG252" s="4"/>
      <c r="AH252" s="1" t="s">
        <v>183</v>
      </c>
      <c r="AI252" s="1" t="s">
        <v>2815</v>
      </c>
      <c r="AJ252" s="1" t="s">
        <v>183</v>
      </c>
      <c r="AK252" s="1" t="s">
        <v>184</v>
      </c>
    </row>
    <row r="253" spans="1:37" x14ac:dyDescent="0.3">
      <c r="A253" s="94">
        <f t="shared" si="6"/>
        <v>252</v>
      </c>
      <c r="B253" s="39" t="str">
        <f t="shared" si="7"/>
        <v>SPS PELICAN PT TOILETS CRAWLEY</v>
      </c>
      <c r="C253" s="4" t="s">
        <v>2438</v>
      </c>
      <c r="D253" s="4" t="s">
        <v>2439</v>
      </c>
      <c r="E253" s="4" t="s">
        <v>1497</v>
      </c>
      <c r="F253" s="4" t="s">
        <v>2440</v>
      </c>
      <c r="G253" s="4" t="s">
        <v>1055</v>
      </c>
      <c r="H253" s="4" t="s">
        <v>1056</v>
      </c>
      <c r="I253" s="4" t="s">
        <v>3018</v>
      </c>
      <c r="J253" s="4"/>
      <c r="K253" s="4"/>
      <c r="L253" s="4" t="s">
        <v>2441</v>
      </c>
      <c r="M253" s="4" t="s">
        <v>2442</v>
      </c>
      <c r="N253" s="4" t="s">
        <v>1059</v>
      </c>
      <c r="O253" s="4">
        <v>1984</v>
      </c>
      <c r="P253" s="4"/>
      <c r="Q253" s="4" t="s">
        <v>222</v>
      </c>
      <c r="R253" s="4" t="s">
        <v>2443</v>
      </c>
      <c r="S253" s="4" t="s">
        <v>222</v>
      </c>
      <c r="T253" s="4" t="s">
        <v>222</v>
      </c>
      <c r="U253" s="4" t="s">
        <v>566</v>
      </c>
      <c r="V253" s="4" t="s">
        <v>222</v>
      </c>
      <c r="W253" s="4" t="s">
        <v>222</v>
      </c>
      <c r="X253" s="4" t="s">
        <v>222</v>
      </c>
      <c r="Y253" s="4" t="s">
        <v>222</v>
      </c>
      <c r="Z253" s="4" t="s">
        <v>222</v>
      </c>
      <c r="AA253" s="4" t="s">
        <v>222</v>
      </c>
      <c r="AB253" s="4" t="s">
        <v>222</v>
      </c>
      <c r="AC253" s="4" t="s">
        <v>222</v>
      </c>
      <c r="AD253" s="4"/>
      <c r="AE253" s="4" t="s">
        <v>183</v>
      </c>
      <c r="AF253" s="4" t="s">
        <v>1750</v>
      </c>
      <c r="AG253" s="4"/>
      <c r="AH253" s="1" t="s">
        <v>183</v>
      </c>
      <c r="AI253" s="1" t="s">
        <v>2819</v>
      </c>
      <c r="AJ253" s="1" t="s">
        <v>184</v>
      </c>
      <c r="AK253" s="1" t="s">
        <v>183</v>
      </c>
    </row>
    <row r="254" spans="1:37" x14ac:dyDescent="0.3">
      <c r="A254" s="94">
        <f t="shared" si="6"/>
        <v>253</v>
      </c>
      <c r="B254" s="39" t="str">
        <f t="shared" si="7"/>
        <v>SPS VIKING RD DALKEITH</v>
      </c>
      <c r="C254" s="4" t="s">
        <v>2663</v>
      </c>
      <c r="D254" s="4" t="s">
        <v>2664</v>
      </c>
      <c r="E254" s="4" t="s">
        <v>1497</v>
      </c>
      <c r="F254" s="4" t="s">
        <v>2665</v>
      </c>
      <c r="G254" s="4" t="s">
        <v>2329</v>
      </c>
      <c r="H254" s="4" t="s">
        <v>1056</v>
      </c>
      <c r="I254" s="4" t="s">
        <v>3044</v>
      </c>
      <c r="J254" s="4"/>
      <c r="K254" s="4"/>
      <c r="L254" s="4" t="s">
        <v>2666</v>
      </c>
      <c r="M254" s="4" t="s">
        <v>2667</v>
      </c>
      <c r="N254" s="4" t="s">
        <v>1263</v>
      </c>
      <c r="O254" s="4">
        <v>1996</v>
      </c>
      <c r="P254" s="4"/>
      <c r="Q254" s="4" t="s">
        <v>631</v>
      </c>
      <c r="R254" s="4" t="s">
        <v>2668</v>
      </c>
      <c r="S254" s="4" t="s">
        <v>571</v>
      </c>
      <c r="T254" s="4" t="s">
        <v>2669</v>
      </c>
      <c r="U254" s="4">
        <v>200</v>
      </c>
      <c r="V254" s="4" t="s">
        <v>222</v>
      </c>
      <c r="W254" s="4">
        <v>415</v>
      </c>
      <c r="X254" s="4" t="s">
        <v>222</v>
      </c>
      <c r="Y254" s="4" t="s">
        <v>222</v>
      </c>
      <c r="Z254" s="4" t="s">
        <v>222</v>
      </c>
      <c r="AA254" s="4" t="s">
        <v>222</v>
      </c>
      <c r="AB254" s="4" t="s">
        <v>222</v>
      </c>
      <c r="AC254" s="4" t="s">
        <v>2670</v>
      </c>
      <c r="AD254" s="4" t="s">
        <v>950</v>
      </c>
      <c r="AE254" s="4" t="s">
        <v>183</v>
      </c>
      <c r="AF254" s="4" t="s">
        <v>839</v>
      </c>
      <c r="AG254" s="4"/>
      <c r="AH254" s="1" t="s">
        <v>183</v>
      </c>
      <c r="AI254" s="1" t="s">
        <v>2815</v>
      </c>
      <c r="AJ254" s="1" t="s">
        <v>184</v>
      </c>
      <c r="AK254" s="1" t="s">
        <v>184</v>
      </c>
    </row>
    <row r="255" spans="1:37" x14ac:dyDescent="0.3">
      <c r="A255" s="94">
        <f t="shared" si="6"/>
        <v>254</v>
      </c>
      <c r="B255" s="39" t="str">
        <f t="shared" si="7"/>
        <v>SPS WATTLE AV DALKEITH</v>
      </c>
      <c r="C255" s="4" t="s">
        <v>2679</v>
      </c>
      <c r="D255" s="4" t="s">
        <v>2680</v>
      </c>
      <c r="E255" s="4" t="s">
        <v>1497</v>
      </c>
      <c r="F255" s="4" t="s">
        <v>2681</v>
      </c>
      <c r="G255" s="4" t="s">
        <v>2329</v>
      </c>
      <c r="H255" s="4" t="s">
        <v>1056</v>
      </c>
      <c r="I255" s="4" t="s">
        <v>3046</v>
      </c>
      <c r="J255" s="4"/>
      <c r="K255" s="4"/>
      <c r="L255" s="4" t="s">
        <v>2682</v>
      </c>
      <c r="M255" s="4" t="s">
        <v>2683</v>
      </c>
      <c r="N255" s="4" t="s">
        <v>518</v>
      </c>
      <c r="O255" s="4">
        <v>1981</v>
      </c>
      <c r="P255" s="4"/>
      <c r="Q255" s="4" t="s">
        <v>612</v>
      </c>
      <c r="R255" s="4" t="s">
        <v>2684</v>
      </c>
      <c r="S255" s="4" t="s">
        <v>571</v>
      </c>
      <c r="T255" s="4" t="s">
        <v>2685</v>
      </c>
      <c r="U255" s="4" t="s">
        <v>566</v>
      </c>
      <c r="V255" s="4" t="s">
        <v>222</v>
      </c>
      <c r="W255" s="4" t="s">
        <v>222</v>
      </c>
      <c r="X255" s="4" t="s">
        <v>222</v>
      </c>
      <c r="Y255" s="4" t="s">
        <v>222</v>
      </c>
      <c r="Z255" s="4" t="s">
        <v>222</v>
      </c>
      <c r="AA255" s="4" t="s">
        <v>222</v>
      </c>
      <c r="AB255" s="4" t="s">
        <v>222</v>
      </c>
      <c r="AC255" s="4" t="s">
        <v>2686</v>
      </c>
      <c r="AD255" s="4" t="s">
        <v>950</v>
      </c>
      <c r="AE255" s="4" t="s">
        <v>183</v>
      </c>
      <c r="AF255" s="4" t="s">
        <v>844</v>
      </c>
      <c r="AG255" s="4"/>
      <c r="AH255" s="1" t="s">
        <v>183</v>
      </c>
      <c r="AI255" s="1" t="s">
        <v>2815</v>
      </c>
      <c r="AJ255" s="1" t="s">
        <v>183</v>
      </c>
      <c r="AK255" s="1" t="s">
        <v>184</v>
      </c>
    </row>
    <row r="256" spans="1:37" x14ac:dyDescent="0.3">
      <c r="A256" s="94">
        <f t="shared" si="6"/>
        <v>255</v>
      </c>
      <c r="B256" s="39" t="str">
        <f t="shared" si="7"/>
        <v>SPS KINGSTON ST NEDLANDS</v>
      </c>
      <c r="C256" s="4" t="s">
        <v>1195</v>
      </c>
      <c r="D256" s="4" t="s">
        <v>1196</v>
      </c>
      <c r="E256" s="4" t="s">
        <v>1106</v>
      </c>
      <c r="F256" s="4" t="s">
        <v>1197</v>
      </c>
      <c r="G256" s="4" t="s">
        <v>1198</v>
      </c>
      <c r="H256" s="4" t="s">
        <v>1056</v>
      </c>
      <c r="I256" s="4" t="s">
        <v>2780</v>
      </c>
      <c r="J256" s="4"/>
      <c r="K256" s="4"/>
      <c r="L256" s="4" t="s">
        <v>1199</v>
      </c>
      <c r="M256" s="4" t="s">
        <v>1200</v>
      </c>
      <c r="N256" s="4" t="s">
        <v>1201</v>
      </c>
      <c r="O256" s="4">
        <v>1972</v>
      </c>
      <c r="P256" s="4" t="s">
        <v>881</v>
      </c>
      <c r="Q256" s="4" t="s">
        <v>222</v>
      </c>
      <c r="R256" s="4" t="s">
        <v>1202</v>
      </c>
      <c r="S256" s="4" t="s">
        <v>222</v>
      </c>
      <c r="T256" s="4" t="s">
        <v>1203</v>
      </c>
      <c r="U256" s="4" t="s">
        <v>566</v>
      </c>
      <c r="V256" s="4" t="s">
        <v>222</v>
      </c>
      <c r="W256" s="4" t="s">
        <v>222</v>
      </c>
      <c r="X256" s="4" t="s">
        <v>222</v>
      </c>
      <c r="Y256" s="4" t="s">
        <v>222</v>
      </c>
      <c r="Z256" s="4" t="s">
        <v>222</v>
      </c>
      <c r="AA256" s="4" t="s">
        <v>222</v>
      </c>
      <c r="AB256" s="4" t="s">
        <v>222</v>
      </c>
      <c r="AC256" s="4" t="s">
        <v>1204</v>
      </c>
      <c r="AD256" s="4" t="s">
        <v>950</v>
      </c>
      <c r="AE256" s="4" t="s">
        <v>183</v>
      </c>
      <c r="AF256" s="4" t="s">
        <v>849</v>
      </c>
      <c r="AG256" s="4"/>
      <c r="AH256" s="1" t="s">
        <v>183</v>
      </c>
      <c r="AI256" s="1" t="s">
        <v>2815</v>
      </c>
      <c r="AJ256" s="1" t="s">
        <v>184</v>
      </c>
      <c r="AK256" s="1" t="s">
        <v>184</v>
      </c>
    </row>
    <row r="257" spans="1:37" x14ac:dyDescent="0.3">
      <c r="A257" s="94">
        <f t="shared" si="6"/>
        <v>256</v>
      </c>
      <c r="B257" s="39" t="str">
        <f t="shared" si="7"/>
        <v>SPS PARKWAY ST CRAWLEY</v>
      </c>
      <c r="C257" s="4" t="s">
        <v>1052</v>
      </c>
      <c r="D257" s="4" t="s">
        <v>1053</v>
      </c>
      <c r="E257" s="4" t="s">
        <v>931</v>
      </c>
      <c r="F257" s="4" t="s">
        <v>1054</v>
      </c>
      <c r="G257" s="4" t="s">
        <v>1055</v>
      </c>
      <c r="H257" s="4" t="s">
        <v>1056</v>
      </c>
      <c r="I257" s="4" t="s">
        <v>2767</v>
      </c>
      <c r="J257" s="4"/>
      <c r="K257" s="4"/>
      <c r="L257" s="4" t="s">
        <v>1057</v>
      </c>
      <c r="M257" s="4" t="s">
        <v>1058</v>
      </c>
      <c r="N257" s="4" t="s">
        <v>1059</v>
      </c>
      <c r="O257" s="4">
        <v>1991</v>
      </c>
      <c r="P257" s="4" t="s">
        <v>1060</v>
      </c>
      <c r="Q257" s="4" t="s">
        <v>222</v>
      </c>
      <c r="R257" s="4" t="s">
        <v>1061</v>
      </c>
      <c r="S257" s="4" t="s">
        <v>222</v>
      </c>
      <c r="T257" s="4" t="s">
        <v>1062</v>
      </c>
      <c r="U257" s="4" t="s">
        <v>566</v>
      </c>
      <c r="V257" s="4" t="s">
        <v>222</v>
      </c>
      <c r="W257" s="4" t="s">
        <v>222</v>
      </c>
      <c r="X257" s="4" t="s">
        <v>222</v>
      </c>
      <c r="Y257" s="4" t="s">
        <v>222</v>
      </c>
      <c r="Z257" s="4" t="s">
        <v>222</v>
      </c>
      <c r="AA257" s="4" t="s">
        <v>222</v>
      </c>
      <c r="AB257" s="4" t="s">
        <v>222</v>
      </c>
      <c r="AC257" s="4" t="s">
        <v>1063</v>
      </c>
      <c r="AD257" s="4" t="s">
        <v>950</v>
      </c>
      <c r="AE257" s="4" t="s">
        <v>183</v>
      </c>
      <c r="AF257" s="4" t="s">
        <v>849</v>
      </c>
      <c r="AG257" s="4"/>
      <c r="AH257" s="1" t="s">
        <v>183</v>
      </c>
      <c r="AI257" s="1" t="s">
        <v>2815</v>
      </c>
      <c r="AJ257" s="1" t="s">
        <v>184</v>
      </c>
      <c r="AK257" s="1" t="s">
        <v>184</v>
      </c>
    </row>
    <row r="258" spans="1:37" x14ac:dyDescent="0.3">
      <c r="A258" s="94">
        <f t="shared" ref="A258:A265" si="8">VLOOKUP(B258,AuditNum,2,FALSE)</f>
        <v>257</v>
      </c>
      <c r="B258" s="39" t="str">
        <f t="shared" ref="B258:B265" si="9">D258</f>
        <v>SPS ALBERT ST NORTH PERTH</v>
      </c>
      <c r="C258" s="4" t="s">
        <v>1505</v>
      </c>
      <c r="D258" s="4" t="s">
        <v>1506</v>
      </c>
      <c r="E258" s="4" t="s">
        <v>1497</v>
      </c>
      <c r="F258" s="4" t="s">
        <v>1507</v>
      </c>
      <c r="G258" s="4" t="s">
        <v>1508</v>
      </c>
      <c r="H258" s="4" t="s">
        <v>1509</v>
      </c>
      <c r="I258" s="4" t="s">
        <v>2908</v>
      </c>
      <c r="J258" s="4"/>
      <c r="K258" s="4"/>
      <c r="L258" s="4" t="s">
        <v>1510</v>
      </c>
      <c r="M258" s="4" t="s">
        <v>1511</v>
      </c>
      <c r="N258" s="4" t="s">
        <v>1512</v>
      </c>
      <c r="O258" s="4">
        <v>1967</v>
      </c>
      <c r="P258" s="4"/>
      <c r="Q258" s="4" t="s">
        <v>222</v>
      </c>
      <c r="R258" s="4" t="s">
        <v>1513</v>
      </c>
      <c r="S258" s="4" t="s">
        <v>571</v>
      </c>
      <c r="T258" s="4" t="s">
        <v>1514</v>
      </c>
      <c r="U258" s="4" t="s">
        <v>566</v>
      </c>
      <c r="V258" s="4" t="s">
        <v>222</v>
      </c>
      <c r="W258" s="4" t="s">
        <v>222</v>
      </c>
      <c r="X258" s="4" t="s">
        <v>222</v>
      </c>
      <c r="Y258" s="4" t="s">
        <v>222</v>
      </c>
      <c r="Z258" s="4" t="s">
        <v>222</v>
      </c>
      <c r="AA258" s="4" t="s">
        <v>222</v>
      </c>
      <c r="AB258" s="4" t="s">
        <v>222</v>
      </c>
      <c r="AC258" s="4" t="s">
        <v>1515</v>
      </c>
      <c r="AD258" s="4" t="s">
        <v>950</v>
      </c>
      <c r="AE258" s="4" t="s">
        <v>183</v>
      </c>
      <c r="AF258" s="4" t="s">
        <v>839</v>
      </c>
      <c r="AG258" s="4"/>
      <c r="AH258" s="1" t="s">
        <v>183</v>
      </c>
      <c r="AI258" s="1" t="s">
        <v>2815</v>
      </c>
      <c r="AJ258" s="1" t="s">
        <v>184</v>
      </c>
      <c r="AK258" s="1" t="s">
        <v>184</v>
      </c>
    </row>
    <row r="259" spans="1:37" x14ac:dyDescent="0.3">
      <c r="A259" s="94">
        <f t="shared" si="8"/>
        <v>258</v>
      </c>
      <c r="B259" s="39" t="str">
        <f t="shared" si="9"/>
        <v>SPS BARNET ST NORTH PERTH</v>
      </c>
      <c r="C259" s="4" t="s">
        <v>1549</v>
      </c>
      <c r="D259" s="4" t="s">
        <v>1550</v>
      </c>
      <c r="E259" s="4" t="s">
        <v>1497</v>
      </c>
      <c r="F259" s="4" t="s">
        <v>1551</v>
      </c>
      <c r="G259" s="4" t="s">
        <v>1508</v>
      </c>
      <c r="H259" s="4" t="s">
        <v>1509</v>
      </c>
      <c r="I259" s="4" t="s">
        <v>2913</v>
      </c>
      <c r="J259" s="4"/>
      <c r="K259" s="4"/>
      <c r="L259" s="4" t="s">
        <v>1552</v>
      </c>
      <c r="M259" s="4" t="s">
        <v>1553</v>
      </c>
      <c r="N259" s="4" t="s">
        <v>1554</v>
      </c>
      <c r="O259" s="4">
        <v>1983</v>
      </c>
      <c r="P259" s="4"/>
      <c r="Q259" s="4" t="s">
        <v>612</v>
      </c>
      <c r="R259" s="4" t="s">
        <v>1555</v>
      </c>
      <c r="S259" s="4" t="s">
        <v>602</v>
      </c>
      <c r="T259" s="4" t="s">
        <v>1556</v>
      </c>
      <c r="U259" s="4" t="s">
        <v>566</v>
      </c>
      <c r="V259" s="4" t="s">
        <v>222</v>
      </c>
      <c r="W259" s="4" t="s">
        <v>222</v>
      </c>
      <c r="X259" s="4" t="s">
        <v>222</v>
      </c>
      <c r="Y259" s="4" t="s">
        <v>222</v>
      </c>
      <c r="Z259" s="4" t="s">
        <v>222</v>
      </c>
      <c r="AA259" s="4" t="s">
        <v>222</v>
      </c>
      <c r="AB259" s="4" t="s">
        <v>222</v>
      </c>
      <c r="AC259" s="4" t="s">
        <v>1557</v>
      </c>
      <c r="AD259" s="4" t="s">
        <v>950</v>
      </c>
      <c r="AE259" s="4" t="s">
        <v>183</v>
      </c>
      <c r="AF259" s="4" t="s">
        <v>839</v>
      </c>
      <c r="AG259" s="4"/>
      <c r="AH259" s="1" t="s">
        <v>183</v>
      </c>
      <c r="AI259" s="1" t="s">
        <v>2819</v>
      </c>
      <c r="AJ259" s="1" t="s">
        <v>183</v>
      </c>
      <c r="AK259" s="1" t="s">
        <v>183</v>
      </c>
    </row>
    <row r="260" spans="1:37" x14ac:dyDescent="0.3">
      <c r="A260" s="94">
        <f t="shared" si="8"/>
        <v>259</v>
      </c>
      <c r="B260" s="39" t="str">
        <f t="shared" si="9"/>
        <v>SPS CAUSEWAY EAST PERTH</v>
      </c>
      <c r="C260" s="4" t="s">
        <v>1722</v>
      </c>
      <c r="D260" s="4" t="s">
        <v>1723</v>
      </c>
      <c r="E260" s="4" t="s">
        <v>1497</v>
      </c>
      <c r="F260" s="4" t="s">
        <v>1724</v>
      </c>
      <c r="G260" s="4" t="s">
        <v>287</v>
      </c>
      <c r="H260" s="4" t="s">
        <v>288</v>
      </c>
      <c r="I260" s="4" t="s">
        <v>2933</v>
      </c>
      <c r="J260" s="4"/>
      <c r="K260" s="4"/>
      <c r="L260" s="4" t="s">
        <v>1725</v>
      </c>
      <c r="M260" s="4" t="s">
        <v>1726</v>
      </c>
      <c r="N260" s="4" t="s">
        <v>307</v>
      </c>
      <c r="O260" s="4">
        <v>1991</v>
      </c>
      <c r="P260" s="4"/>
      <c r="Q260" s="4" t="s">
        <v>612</v>
      </c>
      <c r="R260" s="4" t="s">
        <v>1727</v>
      </c>
      <c r="S260" s="4" t="s">
        <v>571</v>
      </c>
      <c r="T260" s="4" t="s">
        <v>1728</v>
      </c>
      <c r="U260" s="4" t="s">
        <v>566</v>
      </c>
      <c r="V260" s="4" t="s">
        <v>222</v>
      </c>
      <c r="W260" s="4">
        <v>415</v>
      </c>
      <c r="X260" s="4" t="s">
        <v>222</v>
      </c>
      <c r="Y260" s="4" t="s">
        <v>222</v>
      </c>
      <c r="Z260" s="4" t="s">
        <v>222</v>
      </c>
      <c r="AA260" s="4" t="s">
        <v>222</v>
      </c>
      <c r="AB260" s="4" t="s">
        <v>222</v>
      </c>
      <c r="AC260" s="4" t="s">
        <v>1729</v>
      </c>
      <c r="AD260" s="4" t="s">
        <v>950</v>
      </c>
      <c r="AE260" s="4" t="s">
        <v>183</v>
      </c>
      <c r="AF260" s="4" t="s">
        <v>844</v>
      </c>
      <c r="AG260" s="4"/>
      <c r="AH260" s="1" t="s">
        <v>183</v>
      </c>
      <c r="AI260" s="1" t="s">
        <v>2815</v>
      </c>
      <c r="AJ260" s="1" t="s">
        <v>184</v>
      </c>
      <c r="AK260" s="1" t="s">
        <v>184</v>
      </c>
    </row>
    <row r="261" spans="1:37" x14ac:dyDescent="0.3">
      <c r="A261" s="94">
        <f t="shared" si="8"/>
        <v>260</v>
      </c>
      <c r="B261" s="39" t="str">
        <f t="shared" si="9"/>
        <v>SPS CLAISEBROOK MAIN EAST PERTH</v>
      </c>
      <c r="C261" s="4" t="s">
        <v>86</v>
      </c>
      <c r="D261" s="4" t="s">
        <v>87</v>
      </c>
      <c r="E261" s="4" t="s">
        <v>831</v>
      </c>
      <c r="F261" s="4" t="s">
        <v>286</v>
      </c>
      <c r="G261" s="4" t="s">
        <v>287</v>
      </c>
      <c r="H261" s="4" t="s">
        <v>288</v>
      </c>
      <c r="I261" s="4" t="s">
        <v>856</v>
      </c>
      <c r="J261" s="4" t="s">
        <v>560</v>
      </c>
      <c r="K261" s="4" t="s">
        <v>603</v>
      </c>
      <c r="L261" s="4" t="s">
        <v>289</v>
      </c>
      <c r="M261" s="4" t="s">
        <v>290</v>
      </c>
      <c r="N261" s="4" t="s">
        <v>291</v>
      </c>
      <c r="O261" s="4">
        <v>1993</v>
      </c>
      <c r="P261" s="4" t="s">
        <v>857</v>
      </c>
      <c r="Q261" s="4" t="s">
        <v>604</v>
      </c>
      <c r="R261" s="4" t="s">
        <v>605</v>
      </c>
      <c r="S261" s="4" t="s">
        <v>606</v>
      </c>
      <c r="T261" s="4" t="s">
        <v>607</v>
      </c>
      <c r="U261" s="4">
        <v>500</v>
      </c>
      <c r="V261" s="4">
        <v>11</v>
      </c>
      <c r="W261" s="4">
        <v>440</v>
      </c>
      <c r="X261" s="4">
        <v>415</v>
      </c>
      <c r="Y261" s="4" t="s">
        <v>222</v>
      </c>
      <c r="Z261" s="4" t="s">
        <v>222</v>
      </c>
      <c r="AA261" s="4" t="s">
        <v>222</v>
      </c>
      <c r="AB261" s="4" t="s">
        <v>222</v>
      </c>
      <c r="AC261" s="4" t="s">
        <v>773</v>
      </c>
      <c r="AD261" s="4"/>
      <c r="AE261" s="4" t="s">
        <v>184</v>
      </c>
      <c r="AF261" s="4" t="s">
        <v>844</v>
      </c>
      <c r="AG261" s="4"/>
      <c r="AH261" s="1" t="s">
        <v>183</v>
      </c>
      <c r="AI261" s="1" t="s">
        <v>2815</v>
      </c>
      <c r="AJ261" s="1" t="s">
        <v>184</v>
      </c>
      <c r="AK261" s="1" t="s">
        <v>184</v>
      </c>
    </row>
    <row r="262" spans="1:37" x14ac:dyDescent="0.3">
      <c r="A262" s="94">
        <f t="shared" si="8"/>
        <v>261</v>
      </c>
      <c r="B262" s="39" t="str">
        <f t="shared" si="9"/>
        <v>SPS GLOUCESTER PARK EAST PERTH</v>
      </c>
      <c r="C262" s="4" t="s">
        <v>2009</v>
      </c>
      <c r="D262" s="4" t="s">
        <v>2010</v>
      </c>
      <c r="E262" s="4" t="s">
        <v>1497</v>
      </c>
      <c r="F262" s="4" t="s">
        <v>2011</v>
      </c>
      <c r="G262" s="4" t="s">
        <v>287</v>
      </c>
      <c r="H262" s="4" t="s">
        <v>288</v>
      </c>
      <c r="I262" s="4" t="s">
        <v>2966</v>
      </c>
      <c r="J262" s="4"/>
      <c r="K262" s="4"/>
      <c r="L262" s="4" t="s">
        <v>2012</v>
      </c>
      <c r="M262" s="4" t="s">
        <v>2013</v>
      </c>
      <c r="N262" s="4" t="s">
        <v>2014</v>
      </c>
      <c r="O262" s="4">
        <v>1961</v>
      </c>
      <c r="P262" s="4"/>
      <c r="Q262" s="4" t="s">
        <v>222</v>
      </c>
      <c r="R262" s="4" t="s">
        <v>2015</v>
      </c>
      <c r="S262" s="4" t="s">
        <v>222</v>
      </c>
      <c r="T262" s="4" t="s">
        <v>2016</v>
      </c>
      <c r="U262" s="4" t="s">
        <v>566</v>
      </c>
      <c r="V262" s="4" t="s">
        <v>222</v>
      </c>
      <c r="W262" s="4" t="s">
        <v>222</v>
      </c>
      <c r="X262" s="4" t="s">
        <v>222</v>
      </c>
      <c r="Y262" s="4" t="s">
        <v>222</v>
      </c>
      <c r="Z262" s="4" t="s">
        <v>222</v>
      </c>
      <c r="AA262" s="4" t="s">
        <v>222</v>
      </c>
      <c r="AB262" s="4" t="s">
        <v>222</v>
      </c>
      <c r="AC262" s="4" t="s">
        <v>2017</v>
      </c>
      <c r="AD262" s="4" t="s">
        <v>950</v>
      </c>
      <c r="AE262" s="4" t="s">
        <v>183</v>
      </c>
      <c r="AF262" s="4" t="s">
        <v>844</v>
      </c>
      <c r="AG262" s="4"/>
      <c r="AH262" s="1" t="s">
        <v>183</v>
      </c>
      <c r="AI262" s="1" t="s">
        <v>1750</v>
      </c>
      <c r="AJ262" s="1" t="s">
        <v>183</v>
      </c>
      <c r="AK262" s="1" t="s">
        <v>184</v>
      </c>
    </row>
    <row r="263" spans="1:37" x14ac:dyDescent="0.3">
      <c r="A263" s="94">
        <f t="shared" si="8"/>
        <v>262</v>
      </c>
      <c r="B263" s="39" t="str">
        <f t="shared" si="9"/>
        <v>SPS HENRY LAWSON WK EAST PERTH</v>
      </c>
      <c r="C263" s="4" t="s">
        <v>2061</v>
      </c>
      <c r="D263" s="4" t="s">
        <v>2062</v>
      </c>
      <c r="E263" s="4" t="s">
        <v>1497</v>
      </c>
      <c r="F263" s="4" t="s">
        <v>2063</v>
      </c>
      <c r="G263" s="4" t="s">
        <v>287</v>
      </c>
      <c r="H263" s="4" t="s">
        <v>288</v>
      </c>
      <c r="I263" s="4" t="s">
        <v>2972</v>
      </c>
      <c r="J263" s="4"/>
      <c r="K263" s="4"/>
      <c r="L263" s="4" t="s">
        <v>2064</v>
      </c>
      <c r="M263" s="4" t="s">
        <v>2065</v>
      </c>
      <c r="N263" s="4" t="s">
        <v>416</v>
      </c>
      <c r="O263" s="4">
        <v>1995</v>
      </c>
      <c r="P263" s="4"/>
      <c r="Q263" s="4" t="s">
        <v>612</v>
      </c>
      <c r="R263" s="4" t="s">
        <v>2066</v>
      </c>
      <c r="S263" s="4" t="s">
        <v>571</v>
      </c>
      <c r="T263" s="4" t="s">
        <v>2067</v>
      </c>
      <c r="U263" s="4" t="s">
        <v>566</v>
      </c>
      <c r="V263" s="4" t="s">
        <v>222</v>
      </c>
      <c r="W263" s="4">
        <v>415</v>
      </c>
      <c r="X263" s="4" t="s">
        <v>222</v>
      </c>
      <c r="Y263" s="4" t="s">
        <v>222</v>
      </c>
      <c r="Z263" s="4" t="s">
        <v>222</v>
      </c>
      <c r="AA263" s="4" t="s">
        <v>222</v>
      </c>
      <c r="AB263" s="4" t="s">
        <v>222</v>
      </c>
      <c r="AC263" s="4" t="s">
        <v>2068</v>
      </c>
      <c r="AD263" s="4" t="s">
        <v>950</v>
      </c>
      <c r="AE263" s="4" t="s">
        <v>183</v>
      </c>
      <c r="AF263" s="4" t="s">
        <v>844</v>
      </c>
      <c r="AG263" s="4"/>
      <c r="AH263" s="1" t="s">
        <v>183</v>
      </c>
      <c r="AI263" s="1" t="s">
        <v>2819</v>
      </c>
      <c r="AJ263" s="1" t="s">
        <v>183</v>
      </c>
      <c r="AK263" s="1" t="s">
        <v>183</v>
      </c>
    </row>
    <row r="264" spans="1:37" x14ac:dyDescent="0.3">
      <c r="A264" s="94">
        <f t="shared" si="8"/>
        <v>263</v>
      </c>
      <c r="B264" s="39" t="str">
        <f t="shared" si="9"/>
        <v>SPS MILL ST PERTH</v>
      </c>
      <c r="C264" s="4" t="s">
        <v>2308</v>
      </c>
      <c r="D264" s="4" t="s">
        <v>2309</v>
      </c>
      <c r="E264" s="4" t="s">
        <v>1497</v>
      </c>
      <c r="F264" s="4" t="s">
        <v>2310</v>
      </c>
      <c r="G264" s="4" t="s">
        <v>309</v>
      </c>
      <c r="H264" s="4" t="s">
        <v>310</v>
      </c>
      <c r="I264" s="4" t="s">
        <v>3001</v>
      </c>
      <c r="J264" s="4"/>
      <c r="K264" s="4"/>
      <c r="L264" s="4" t="s">
        <v>2311</v>
      </c>
      <c r="M264" s="4" t="s">
        <v>2312</v>
      </c>
      <c r="N264" s="4" t="s">
        <v>2313</v>
      </c>
      <c r="O264" s="4">
        <v>2003</v>
      </c>
      <c r="P264" s="4"/>
      <c r="Q264" s="4" t="s">
        <v>222</v>
      </c>
      <c r="R264" s="4" t="s">
        <v>2314</v>
      </c>
      <c r="S264" s="4" t="s">
        <v>571</v>
      </c>
      <c r="T264" s="4" t="s">
        <v>2315</v>
      </c>
      <c r="U264" s="4">
        <v>300</v>
      </c>
      <c r="V264" s="4" t="s">
        <v>222</v>
      </c>
      <c r="W264" s="4" t="s">
        <v>222</v>
      </c>
      <c r="X264" s="4" t="s">
        <v>222</v>
      </c>
      <c r="Y264" s="4" t="s">
        <v>222</v>
      </c>
      <c r="Z264" s="4" t="s">
        <v>222</v>
      </c>
      <c r="AA264" s="4" t="s">
        <v>222</v>
      </c>
      <c r="AB264" s="4" t="s">
        <v>222</v>
      </c>
      <c r="AC264" s="4" t="s">
        <v>2316</v>
      </c>
      <c r="AD264" s="4"/>
      <c r="AE264" s="4" t="s">
        <v>183</v>
      </c>
      <c r="AF264" s="4" t="s">
        <v>839</v>
      </c>
      <c r="AG264" s="4"/>
      <c r="AH264" s="1" t="s">
        <v>183</v>
      </c>
      <c r="AI264" s="1" t="s">
        <v>2819</v>
      </c>
      <c r="AJ264" s="1" t="s">
        <v>183</v>
      </c>
      <c r="AK264" s="1" t="s">
        <v>183</v>
      </c>
    </row>
    <row r="265" spans="1:37" x14ac:dyDescent="0.3">
      <c r="A265" s="94">
        <f t="shared" si="8"/>
        <v>264</v>
      </c>
      <c r="B265" s="39" t="str">
        <f t="shared" si="9"/>
        <v>SPS PERTH CENTRAL PERTH</v>
      </c>
      <c r="C265" s="4" t="s">
        <v>94</v>
      </c>
      <c r="D265" s="4" t="s">
        <v>95</v>
      </c>
      <c r="E265" s="4" t="s">
        <v>831</v>
      </c>
      <c r="F265" s="4" t="s">
        <v>308</v>
      </c>
      <c r="G265" s="4" t="s">
        <v>309</v>
      </c>
      <c r="H265" s="4" t="s">
        <v>310</v>
      </c>
      <c r="I265" s="4" t="s">
        <v>864</v>
      </c>
      <c r="J265" s="4" t="s">
        <v>560</v>
      </c>
      <c r="K265" s="4" t="s">
        <v>620</v>
      </c>
      <c r="L265" s="4" t="s">
        <v>311</v>
      </c>
      <c r="M265" s="4" t="s">
        <v>312</v>
      </c>
      <c r="N265" s="4" t="s">
        <v>250</v>
      </c>
      <c r="O265" s="4">
        <v>1989</v>
      </c>
      <c r="P265" s="4" t="s">
        <v>855</v>
      </c>
      <c r="Q265" s="4" t="s">
        <v>569</v>
      </c>
      <c r="R265" s="4" t="s">
        <v>621</v>
      </c>
      <c r="S265" s="4" t="s">
        <v>622</v>
      </c>
      <c r="T265" s="4" t="s">
        <v>623</v>
      </c>
      <c r="U265" s="4">
        <v>315</v>
      </c>
      <c r="V265" s="4" t="s">
        <v>222</v>
      </c>
      <c r="W265" s="4" t="s">
        <v>222</v>
      </c>
      <c r="X265" s="4" t="s">
        <v>222</v>
      </c>
      <c r="Y265" s="4" t="s">
        <v>222</v>
      </c>
      <c r="Z265" s="4" t="s">
        <v>222</v>
      </c>
      <c r="AA265" s="4" t="s">
        <v>222</v>
      </c>
      <c r="AB265" s="4" t="s">
        <v>222</v>
      </c>
      <c r="AC265" s="4" t="s">
        <v>777</v>
      </c>
      <c r="AD265" s="4"/>
      <c r="AE265" s="4" t="s">
        <v>184</v>
      </c>
      <c r="AF265" s="4" t="s">
        <v>844</v>
      </c>
      <c r="AG265" s="4"/>
      <c r="AH265" s="1" t="s">
        <v>183</v>
      </c>
      <c r="AI265" s="1" t="s">
        <v>2819</v>
      </c>
      <c r="AJ265" s="1" t="s">
        <v>183</v>
      </c>
      <c r="AK265" s="1" t="s">
        <v>183</v>
      </c>
    </row>
  </sheetData>
  <autoFilter ref="B1:AG265" xr:uid="{00000000-0009-0000-0000-000002000000}">
    <sortState ref="B2:AH257">
      <sortCondition descending="1" ref="H1:H265"/>
    </sortState>
  </autoFilter>
  <pageMargins left="0.70866141732283472" right="0.70866141732283472" top="0.74803149606299213" bottom="0.74803149606299213" header="0.31496062992125984" footer="0.31496062992125984"/>
  <pageSetup paperSize="9" scale="67" fitToHeight="0"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
  <sheetViews>
    <sheetView workbookViewId="0">
      <selection activeCell="C37" sqref="C37"/>
    </sheetView>
  </sheetViews>
  <sheetFormatPr defaultRowHeight="14.4" x14ac:dyDescent="0.3"/>
  <cols>
    <col min="1" max="1" width="36.33203125" bestFit="1" customWidth="1"/>
  </cols>
  <sheetData>
    <row r="1" spans="1:3" x14ac:dyDescent="0.3">
      <c r="A1" t="s">
        <v>820</v>
      </c>
      <c r="C1" t="s">
        <v>821</v>
      </c>
    </row>
    <row r="3" spans="1:3" x14ac:dyDescent="0.3">
      <c r="C3" t="s">
        <v>825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26"/>
  <sheetViews>
    <sheetView topLeftCell="A85" workbookViewId="0">
      <selection activeCell="D11" sqref="D11"/>
    </sheetView>
  </sheetViews>
  <sheetFormatPr defaultRowHeight="14.4" x14ac:dyDescent="0.3"/>
  <cols>
    <col min="1" max="1" width="18.44140625" customWidth="1"/>
    <col min="2" max="2" width="8.109375" bestFit="1" customWidth="1"/>
    <col min="3" max="3" width="17.33203125" customWidth="1"/>
    <col min="4" max="4" width="41.88671875" customWidth="1"/>
    <col min="5" max="5" width="30" customWidth="1"/>
  </cols>
  <sheetData>
    <row r="1" spans="1:6" ht="15" thickBot="1" x14ac:dyDescent="0.35">
      <c r="A1" s="77" t="s">
        <v>2820</v>
      </c>
      <c r="B1" s="78" t="s">
        <v>2821</v>
      </c>
      <c r="C1" s="79" t="s">
        <v>2822</v>
      </c>
      <c r="D1" s="78" t="s">
        <v>1</v>
      </c>
      <c r="E1" s="79" t="s">
        <v>2823</v>
      </c>
      <c r="F1" s="80"/>
    </row>
    <row r="2" spans="1:6" ht="15" thickBot="1" x14ac:dyDescent="0.35">
      <c r="A2" s="81" t="s">
        <v>2820</v>
      </c>
      <c r="B2" s="76" t="s">
        <v>2824</v>
      </c>
      <c r="C2" s="75" t="s">
        <v>2822</v>
      </c>
      <c r="D2" s="76" t="s">
        <v>2825</v>
      </c>
      <c r="E2" s="75" t="s">
        <v>2823</v>
      </c>
      <c r="F2" s="82"/>
    </row>
    <row r="3" spans="1:6" ht="15" thickBot="1" x14ac:dyDescent="0.35">
      <c r="A3" s="81" t="s">
        <v>2820</v>
      </c>
      <c r="B3" s="76" t="s">
        <v>2821</v>
      </c>
      <c r="C3" s="75" t="s">
        <v>2822</v>
      </c>
      <c r="D3" s="76" t="s">
        <v>0</v>
      </c>
      <c r="E3" s="75" t="s">
        <v>2823</v>
      </c>
      <c r="F3" s="82"/>
    </row>
    <row r="4" spans="1:6" ht="15" thickBot="1" x14ac:dyDescent="0.35">
      <c r="A4" s="81" t="s">
        <v>2820</v>
      </c>
      <c r="B4" s="76" t="s">
        <v>2826</v>
      </c>
      <c r="C4" s="75" t="s">
        <v>2822</v>
      </c>
      <c r="D4" s="76" t="s">
        <v>2827</v>
      </c>
      <c r="E4" s="75" t="s">
        <v>2823</v>
      </c>
      <c r="F4" s="82"/>
    </row>
    <row r="5" spans="1:6" ht="15" thickBot="1" x14ac:dyDescent="0.35">
      <c r="A5" s="81" t="s">
        <v>2820</v>
      </c>
      <c r="B5" s="76" t="s">
        <v>2821</v>
      </c>
      <c r="C5" s="75" t="s">
        <v>2822</v>
      </c>
      <c r="D5" s="76" t="s">
        <v>2828</v>
      </c>
      <c r="E5" s="75" t="s">
        <v>2823</v>
      </c>
      <c r="F5" s="82"/>
    </row>
    <row r="6" spans="1:6" ht="15" thickBot="1" x14ac:dyDescent="0.35">
      <c r="A6" s="81" t="s">
        <v>2820</v>
      </c>
      <c r="B6" s="76" t="s">
        <v>2821</v>
      </c>
      <c r="C6" s="75" t="s">
        <v>2822</v>
      </c>
      <c r="D6" s="76" t="s">
        <v>2</v>
      </c>
      <c r="E6" s="75" t="s">
        <v>2823</v>
      </c>
      <c r="F6" s="82"/>
    </row>
    <row r="7" spans="1:6" ht="15" thickBot="1" x14ac:dyDescent="0.35">
      <c r="A7" s="81" t="s">
        <v>2820</v>
      </c>
      <c r="B7" s="76" t="s">
        <v>2829</v>
      </c>
      <c r="C7" s="75" t="s">
        <v>2822</v>
      </c>
      <c r="D7" s="76" t="s">
        <v>2830</v>
      </c>
      <c r="E7" s="75" t="s">
        <v>2823</v>
      </c>
      <c r="F7" s="82"/>
    </row>
    <row r="8" spans="1:6" ht="15" thickBot="1" x14ac:dyDescent="0.35">
      <c r="A8" s="81" t="s">
        <v>2820</v>
      </c>
      <c r="B8" s="76" t="s">
        <v>2829</v>
      </c>
      <c r="C8" s="75" t="s">
        <v>2822</v>
      </c>
      <c r="D8" s="76" t="s">
        <v>2831</v>
      </c>
      <c r="E8" s="75" t="s">
        <v>2823</v>
      </c>
      <c r="F8" s="82"/>
    </row>
    <row r="9" spans="1:6" ht="15" thickBot="1" x14ac:dyDescent="0.35">
      <c r="A9" s="81" t="s">
        <v>2820</v>
      </c>
      <c r="B9" s="76" t="s">
        <v>2832</v>
      </c>
      <c r="C9" s="75" t="s">
        <v>2822</v>
      </c>
      <c r="D9" s="76" t="s">
        <v>2833</v>
      </c>
      <c r="E9" s="75" t="s">
        <v>2823</v>
      </c>
      <c r="F9" s="82"/>
    </row>
    <row r="10" spans="1:6" ht="15" thickBot="1" x14ac:dyDescent="0.35">
      <c r="A10" s="81" t="s">
        <v>2820</v>
      </c>
      <c r="B10" s="76" t="s">
        <v>2829</v>
      </c>
      <c r="C10" s="75" t="s">
        <v>2822</v>
      </c>
      <c r="D10" s="76" t="s">
        <v>2834</v>
      </c>
      <c r="E10" s="75" t="s">
        <v>2823</v>
      </c>
      <c r="F10" s="82"/>
    </row>
    <row r="11" spans="1:6" ht="15" thickBot="1" x14ac:dyDescent="0.35">
      <c r="A11" s="81" t="s">
        <v>2820</v>
      </c>
      <c r="B11" s="76" t="s">
        <v>2821</v>
      </c>
      <c r="C11" s="75" t="s">
        <v>2822</v>
      </c>
      <c r="D11" s="76" t="s">
        <v>528</v>
      </c>
      <c r="E11" s="75" t="s">
        <v>2823</v>
      </c>
      <c r="F11" s="82"/>
    </row>
    <row r="12" spans="1:6" ht="15" thickBot="1" x14ac:dyDescent="0.35">
      <c r="A12" s="81" t="s">
        <v>2820</v>
      </c>
      <c r="B12" s="76" t="s">
        <v>2821</v>
      </c>
      <c r="C12" s="75" t="s">
        <v>2822</v>
      </c>
      <c r="D12" s="76" t="s">
        <v>214</v>
      </c>
      <c r="E12" s="75" t="s">
        <v>2823</v>
      </c>
      <c r="F12" s="82"/>
    </row>
    <row r="13" spans="1:6" ht="15" thickBot="1" x14ac:dyDescent="0.35">
      <c r="A13" s="81" t="s">
        <v>2820</v>
      </c>
      <c r="B13" s="76" t="s">
        <v>2821</v>
      </c>
      <c r="C13" s="75" t="s">
        <v>2822</v>
      </c>
      <c r="D13" s="76" t="s">
        <v>2835</v>
      </c>
      <c r="E13" s="75" t="s">
        <v>2823</v>
      </c>
      <c r="F13" s="82"/>
    </row>
    <row r="14" spans="1:6" ht="15" thickBot="1" x14ac:dyDescent="0.35">
      <c r="A14" s="81" t="s">
        <v>2820</v>
      </c>
      <c r="B14" s="76" t="s">
        <v>2821</v>
      </c>
      <c r="C14" s="75" t="s">
        <v>2822</v>
      </c>
      <c r="D14" s="76" t="s">
        <v>761</v>
      </c>
      <c r="E14" s="75" t="s">
        <v>2823</v>
      </c>
      <c r="F14" s="82"/>
    </row>
    <row r="15" spans="1:6" ht="15" thickBot="1" x14ac:dyDescent="0.35">
      <c r="A15" s="81" t="s">
        <v>2820</v>
      </c>
      <c r="B15" s="76" t="s">
        <v>2821</v>
      </c>
      <c r="C15" s="75" t="s">
        <v>2822</v>
      </c>
      <c r="D15" s="76" t="s">
        <v>215</v>
      </c>
      <c r="E15" s="75" t="s">
        <v>2823</v>
      </c>
      <c r="F15" s="82"/>
    </row>
    <row r="16" spans="1:6" ht="15" thickBot="1" x14ac:dyDescent="0.35">
      <c r="A16" s="81" t="s">
        <v>2820</v>
      </c>
      <c r="B16" s="76" t="s">
        <v>2821</v>
      </c>
      <c r="C16" s="75" t="s">
        <v>2822</v>
      </c>
      <c r="D16" s="76" t="s">
        <v>529</v>
      </c>
      <c r="E16" s="75" t="s">
        <v>2823</v>
      </c>
      <c r="F16" s="82"/>
    </row>
    <row r="17" spans="1:6" ht="15" thickBot="1" x14ac:dyDescent="0.35">
      <c r="A17" s="81" t="s">
        <v>2820</v>
      </c>
      <c r="B17" s="76" t="s">
        <v>2832</v>
      </c>
      <c r="C17" s="75" t="s">
        <v>2822</v>
      </c>
      <c r="D17" s="76" t="s">
        <v>2836</v>
      </c>
      <c r="E17" s="75" t="s">
        <v>2823</v>
      </c>
      <c r="F17" s="82"/>
    </row>
    <row r="18" spans="1:6" ht="15" thickBot="1" x14ac:dyDescent="0.35">
      <c r="A18" s="81" t="s">
        <v>2820</v>
      </c>
      <c r="B18" s="76" t="s">
        <v>2829</v>
      </c>
      <c r="C18" s="75" t="s">
        <v>2822</v>
      </c>
      <c r="D18" s="76" t="s">
        <v>2837</v>
      </c>
      <c r="E18" s="75" t="s">
        <v>2823</v>
      </c>
      <c r="F18" s="82"/>
    </row>
    <row r="19" spans="1:6" ht="15" thickBot="1" x14ac:dyDescent="0.35">
      <c r="A19" s="81" t="s">
        <v>2820</v>
      </c>
      <c r="B19" s="76" t="s">
        <v>2829</v>
      </c>
      <c r="C19" s="75" t="s">
        <v>2822</v>
      </c>
      <c r="D19" s="76" t="s">
        <v>6</v>
      </c>
      <c r="E19" s="75" t="s">
        <v>2823</v>
      </c>
      <c r="F19" s="82"/>
    </row>
    <row r="20" spans="1:6" ht="15" thickBot="1" x14ac:dyDescent="0.35">
      <c r="A20" s="81" t="s">
        <v>2820</v>
      </c>
      <c r="B20" s="76" t="s">
        <v>2838</v>
      </c>
      <c r="C20" s="75" t="s">
        <v>2822</v>
      </c>
      <c r="D20" s="76" t="s">
        <v>2839</v>
      </c>
      <c r="E20" s="75" t="s">
        <v>2823</v>
      </c>
      <c r="F20" s="82"/>
    </row>
    <row r="21" spans="1:6" ht="15" thickBot="1" x14ac:dyDescent="0.35">
      <c r="A21" s="81" t="s">
        <v>2820</v>
      </c>
      <c r="B21" s="76" t="s">
        <v>2821</v>
      </c>
      <c r="C21" s="75" t="s">
        <v>2822</v>
      </c>
      <c r="D21" s="76" t="s">
        <v>2840</v>
      </c>
      <c r="E21" s="75" t="s">
        <v>2823</v>
      </c>
      <c r="F21" s="82"/>
    </row>
    <row r="22" spans="1:6" ht="15" thickBot="1" x14ac:dyDescent="0.35">
      <c r="A22" s="81" t="s">
        <v>2820</v>
      </c>
      <c r="B22" s="76" t="s">
        <v>2821</v>
      </c>
      <c r="C22" s="75" t="s">
        <v>2822</v>
      </c>
      <c r="D22" s="76" t="s">
        <v>64</v>
      </c>
      <c r="E22" s="75" t="s">
        <v>2823</v>
      </c>
      <c r="F22" s="82"/>
    </row>
    <row r="23" spans="1:6" ht="15" thickBot="1" x14ac:dyDescent="0.35">
      <c r="A23" s="81" t="s">
        <v>2820</v>
      </c>
      <c r="B23" s="76" t="s">
        <v>2832</v>
      </c>
      <c r="C23" s="75" t="s">
        <v>2822</v>
      </c>
      <c r="D23" s="76" t="s">
        <v>2841</v>
      </c>
      <c r="E23" s="75" t="s">
        <v>2823</v>
      </c>
      <c r="F23" s="82"/>
    </row>
    <row r="24" spans="1:6" ht="15" thickBot="1" x14ac:dyDescent="0.35">
      <c r="A24" s="81" t="s">
        <v>2820</v>
      </c>
      <c r="B24" s="76" t="s">
        <v>2829</v>
      </c>
      <c r="C24" s="75" t="s">
        <v>2822</v>
      </c>
      <c r="D24" s="76" t="s">
        <v>3</v>
      </c>
      <c r="E24" s="75" t="s">
        <v>2823</v>
      </c>
      <c r="F24" s="82"/>
    </row>
    <row r="25" spans="1:6" ht="15" thickBot="1" x14ac:dyDescent="0.35">
      <c r="A25" s="81" t="s">
        <v>2820</v>
      </c>
      <c r="B25" s="76" t="s">
        <v>2838</v>
      </c>
      <c r="C25" s="75" t="s">
        <v>2822</v>
      </c>
      <c r="D25" s="76" t="s">
        <v>2842</v>
      </c>
      <c r="E25" s="75" t="s">
        <v>2823</v>
      </c>
      <c r="F25" s="82"/>
    </row>
    <row r="26" spans="1:6" ht="15" thickBot="1" x14ac:dyDescent="0.35">
      <c r="A26" s="81" t="s">
        <v>2820</v>
      </c>
      <c r="B26" s="76" t="s">
        <v>2821</v>
      </c>
      <c r="C26" s="75" t="s">
        <v>2822</v>
      </c>
      <c r="D26" s="76" t="s">
        <v>2843</v>
      </c>
      <c r="E26" s="75" t="s">
        <v>2823</v>
      </c>
      <c r="F26" s="82"/>
    </row>
    <row r="27" spans="1:6" ht="15" thickBot="1" x14ac:dyDescent="0.35">
      <c r="A27" s="81" t="s">
        <v>2820</v>
      </c>
      <c r="B27" s="76" t="s">
        <v>2838</v>
      </c>
      <c r="C27" s="75" t="s">
        <v>2822</v>
      </c>
      <c r="D27" s="76" t="s">
        <v>2844</v>
      </c>
      <c r="E27" s="75" t="s">
        <v>2823</v>
      </c>
      <c r="F27" s="82"/>
    </row>
    <row r="28" spans="1:6" ht="15" thickBot="1" x14ac:dyDescent="0.35">
      <c r="A28" s="81" t="s">
        <v>2820</v>
      </c>
      <c r="B28" s="76" t="s">
        <v>2829</v>
      </c>
      <c r="C28" s="75" t="s">
        <v>2822</v>
      </c>
      <c r="D28" s="76" t="s">
        <v>5</v>
      </c>
      <c r="E28" s="75" t="s">
        <v>2823</v>
      </c>
      <c r="F28" s="82"/>
    </row>
    <row r="29" spans="1:6" ht="15" thickBot="1" x14ac:dyDescent="0.35">
      <c r="A29" s="81" t="s">
        <v>2820</v>
      </c>
      <c r="B29" s="76" t="s">
        <v>2838</v>
      </c>
      <c r="C29" s="75" t="s">
        <v>2822</v>
      </c>
      <c r="D29" s="76" t="s">
        <v>2845</v>
      </c>
      <c r="E29" s="75" t="s">
        <v>2823</v>
      </c>
      <c r="F29" s="82"/>
    </row>
    <row r="30" spans="1:6" ht="15" thickBot="1" x14ac:dyDescent="0.35">
      <c r="A30" s="81" t="s">
        <v>2820</v>
      </c>
      <c r="B30" s="76" t="s">
        <v>2829</v>
      </c>
      <c r="C30" s="75" t="s">
        <v>2822</v>
      </c>
      <c r="D30" s="76" t="s">
        <v>7</v>
      </c>
      <c r="E30" s="75" t="s">
        <v>2823</v>
      </c>
      <c r="F30" s="82"/>
    </row>
    <row r="31" spans="1:6" ht="15" thickBot="1" x14ac:dyDescent="0.35">
      <c r="A31" s="81" t="s">
        <v>2820</v>
      </c>
      <c r="B31" s="76" t="s">
        <v>2838</v>
      </c>
      <c r="C31" s="75" t="s">
        <v>2822</v>
      </c>
      <c r="D31" s="76" t="s">
        <v>2846</v>
      </c>
      <c r="E31" s="75" t="s">
        <v>2823</v>
      </c>
      <c r="F31" s="82"/>
    </row>
    <row r="32" spans="1:6" ht="15" thickBot="1" x14ac:dyDescent="0.35">
      <c r="A32" s="81" t="s">
        <v>2820</v>
      </c>
      <c r="B32" s="76" t="s">
        <v>2829</v>
      </c>
      <c r="C32" s="75" t="s">
        <v>2822</v>
      </c>
      <c r="D32" s="76" t="s">
        <v>2847</v>
      </c>
      <c r="E32" s="75" t="s">
        <v>2823</v>
      </c>
      <c r="F32" s="82"/>
    </row>
    <row r="33" spans="1:6" ht="15" thickBot="1" x14ac:dyDescent="0.35">
      <c r="A33" s="81" t="s">
        <v>2820</v>
      </c>
      <c r="B33" s="76" t="s">
        <v>2838</v>
      </c>
      <c r="C33" s="75" t="s">
        <v>2822</v>
      </c>
      <c r="D33" s="76" t="s">
        <v>822</v>
      </c>
      <c r="E33" s="75" t="s">
        <v>2823</v>
      </c>
      <c r="F33" s="82"/>
    </row>
    <row r="34" spans="1:6" ht="15" thickBot="1" x14ac:dyDescent="0.35">
      <c r="A34" s="81" t="s">
        <v>2820</v>
      </c>
      <c r="B34" s="76" t="s">
        <v>2829</v>
      </c>
      <c r="C34" s="75" t="s">
        <v>2822</v>
      </c>
      <c r="D34" s="76" t="s">
        <v>9</v>
      </c>
      <c r="E34" s="75" t="s">
        <v>2823</v>
      </c>
      <c r="F34" s="82"/>
    </row>
    <row r="35" spans="1:6" ht="15" thickBot="1" x14ac:dyDescent="0.35">
      <c r="A35" s="81" t="s">
        <v>2820</v>
      </c>
      <c r="B35" s="76" t="s">
        <v>2838</v>
      </c>
      <c r="C35" s="75" t="s">
        <v>2822</v>
      </c>
      <c r="D35" s="76" t="s">
        <v>213</v>
      </c>
      <c r="E35" s="75" t="s">
        <v>2823</v>
      </c>
      <c r="F35" s="82"/>
    </row>
    <row r="36" spans="1:6" ht="15" thickBot="1" x14ac:dyDescent="0.35">
      <c r="A36" s="81" t="s">
        <v>2820</v>
      </c>
      <c r="B36" s="76" t="s">
        <v>2838</v>
      </c>
      <c r="C36" s="75" t="s">
        <v>2822</v>
      </c>
      <c r="D36" s="76" t="s">
        <v>2848</v>
      </c>
      <c r="E36" s="75" t="s">
        <v>2823</v>
      </c>
      <c r="F36" s="82"/>
    </row>
    <row r="37" spans="1:6" ht="15" thickBot="1" x14ac:dyDescent="0.35">
      <c r="A37" s="81" t="s">
        <v>2820</v>
      </c>
      <c r="B37" s="76" t="s">
        <v>2829</v>
      </c>
      <c r="C37" s="75" t="s">
        <v>2822</v>
      </c>
      <c r="D37" s="76" t="s">
        <v>8</v>
      </c>
      <c r="E37" s="75" t="s">
        <v>2823</v>
      </c>
      <c r="F37" s="82"/>
    </row>
    <row r="38" spans="1:6" ht="15" thickBot="1" x14ac:dyDescent="0.35">
      <c r="A38" s="81" t="s">
        <v>2820</v>
      </c>
      <c r="B38" s="76" t="s">
        <v>2829</v>
      </c>
      <c r="C38" s="75" t="s">
        <v>2822</v>
      </c>
      <c r="D38" s="76" t="s">
        <v>10</v>
      </c>
      <c r="E38" s="75" t="s">
        <v>2823</v>
      </c>
      <c r="F38" s="82"/>
    </row>
    <row r="39" spans="1:6" ht="15" thickBot="1" x14ac:dyDescent="0.35">
      <c r="A39" s="81" t="s">
        <v>2820</v>
      </c>
      <c r="B39" s="76" t="s">
        <v>2838</v>
      </c>
      <c r="C39" s="75" t="s">
        <v>2822</v>
      </c>
      <c r="D39" s="76" t="s">
        <v>2849</v>
      </c>
      <c r="E39" s="75" t="s">
        <v>2823</v>
      </c>
      <c r="F39" s="82"/>
    </row>
    <row r="40" spans="1:6" ht="15" thickBot="1" x14ac:dyDescent="0.35">
      <c r="A40" s="81" t="s">
        <v>2820</v>
      </c>
      <c r="B40" s="76" t="s">
        <v>2838</v>
      </c>
      <c r="C40" s="75" t="s">
        <v>2822</v>
      </c>
      <c r="D40" s="76" t="s">
        <v>2850</v>
      </c>
      <c r="E40" s="75" t="s">
        <v>2823</v>
      </c>
      <c r="F40" s="82"/>
    </row>
    <row r="41" spans="1:6" ht="15" thickBot="1" x14ac:dyDescent="0.35">
      <c r="A41" s="81" t="s">
        <v>2820</v>
      </c>
      <c r="B41" s="76" t="s">
        <v>2821</v>
      </c>
      <c r="C41" s="75" t="s">
        <v>2822</v>
      </c>
      <c r="D41" s="76" t="s">
        <v>2851</v>
      </c>
      <c r="E41" s="75" t="s">
        <v>2823</v>
      </c>
      <c r="F41" s="82"/>
    </row>
    <row r="42" spans="1:6" ht="15" thickBot="1" x14ac:dyDescent="0.35">
      <c r="A42" s="81" t="s">
        <v>2820</v>
      </c>
      <c r="B42" s="76" t="s">
        <v>2829</v>
      </c>
      <c r="C42" s="75" t="s">
        <v>2822</v>
      </c>
      <c r="D42" s="76" t="s">
        <v>11</v>
      </c>
      <c r="E42" s="75" t="s">
        <v>2823</v>
      </c>
      <c r="F42" s="82"/>
    </row>
    <row r="43" spans="1:6" ht="15" thickBot="1" x14ac:dyDescent="0.35">
      <c r="A43" s="81" t="s">
        <v>2820</v>
      </c>
      <c r="B43" s="76" t="s">
        <v>2838</v>
      </c>
      <c r="C43" s="75" t="s">
        <v>2822</v>
      </c>
      <c r="D43" s="76" t="s">
        <v>2852</v>
      </c>
      <c r="E43" s="75" t="s">
        <v>2823</v>
      </c>
      <c r="F43" s="82"/>
    </row>
    <row r="44" spans="1:6" ht="15" thickBot="1" x14ac:dyDescent="0.35">
      <c r="A44" s="81" t="s">
        <v>2820</v>
      </c>
      <c r="B44" s="76" t="s">
        <v>2853</v>
      </c>
      <c r="C44" s="75" t="s">
        <v>2822</v>
      </c>
      <c r="D44" s="76" t="s">
        <v>15</v>
      </c>
      <c r="E44" s="75" t="s">
        <v>2823</v>
      </c>
      <c r="F44" s="82"/>
    </row>
    <row r="45" spans="1:6" ht="15" thickBot="1" x14ac:dyDescent="0.35">
      <c r="A45" s="81" t="s">
        <v>2820</v>
      </c>
      <c r="B45" s="76" t="s">
        <v>2832</v>
      </c>
      <c r="C45" s="75" t="s">
        <v>2822</v>
      </c>
      <c r="D45" s="76" t="s">
        <v>2854</v>
      </c>
      <c r="E45" s="75" t="s">
        <v>2823</v>
      </c>
      <c r="F45" s="82"/>
    </row>
    <row r="46" spans="1:6" ht="15" thickBot="1" x14ac:dyDescent="0.35">
      <c r="A46" s="81" t="s">
        <v>2820</v>
      </c>
      <c r="B46" s="76" t="s">
        <v>2829</v>
      </c>
      <c r="C46" s="75" t="s">
        <v>2822</v>
      </c>
      <c r="D46" s="76" t="s">
        <v>12</v>
      </c>
      <c r="E46" s="75" t="s">
        <v>2823</v>
      </c>
      <c r="F46" s="82"/>
    </row>
    <row r="47" spans="1:6" ht="15" thickBot="1" x14ac:dyDescent="0.35">
      <c r="A47" s="81" t="s">
        <v>2820</v>
      </c>
      <c r="B47" s="76" t="s">
        <v>2821</v>
      </c>
      <c r="C47" s="75" t="s">
        <v>2822</v>
      </c>
      <c r="D47" s="76" t="s">
        <v>2855</v>
      </c>
      <c r="E47" s="75" t="s">
        <v>2823</v>
      </c>
      <c r="F47" s="82"/>
    </row>
    <row r="48" spans="1:6" ht="15" thickBot="1" x14ac:dyDescent="0.35">
      <c r="A48" s="81" t="s">
        <v>2820</v>
      </c>
      <c r="B48" s="76" t="s">
        <v>2838</v>
      </c>
      <c r="C48" s="75" t="s">
        <v>2822</v>
      </c>
      <c r="D48" s="76" t="s">
        <v>2856</v>
      </c>
      <c r="E48" s="75" t="s">
        <v>2823</v>
      </c>
      <c r="F48" s="82"/>
    </row>
    <row r="49" spans="1:6" ht="15" thickBot="1" x14ac:dyDescent="0.35">
      <c r="A49" s="81" t="s">
        <v>2820</v>
      </c>
      <c r="B49" s="76" t="s">
        <v>2829</v>
      </c>
      <c r="C49" s="75" t="s">
        <v>2822</v>
      </c>
      <c r="D49" s="76" t="s">
        <v>13</v>
      </c>
      <c r="E49" s="75" t="s">
        <v>2823</v>
      </c>
      <c r="F49" s="82"/>
    </row>
    <row r="50" spans="1:6" ht="15" thickBot="1" x14ac:dyDescent="0.35">
      <c r="A50" s="81" t="s">
        <v>2820</v>
      </c>
      <c r="B50" s="76" t="s">
        <v>2838</v>
      </c>
      <c r="C50" s="75" t="s">
        <v>2822</v>
      </c>
      <c r="D50" s="76" t="s">
        <v>2857</v>
      </c>
      <c r="E50" s="75" t="s">
        <v>2823</v>
      </c>
      <c r="F50" s="82"/>
    </row>
    <row r="51" spans="1:6" ht="15" thickBot="1" x14ac:dyDescent="0.35">
      <c r="A51" s="81" t="s">
        <v>2820</v>
      </c>
      <c r="B51" s="76" t="s">
        <v>2821</v>
      </c>
      <c r="C51" s="75" t="s">
        <v>2822</v>
      </c>
      <c r="D51" s="76" t="s">
        <v>2858</v>
      </c>
      <c r="E51" s="75" t="s">
        <v>2823</v>
      </c>
      <c r="F51" s="82"/>
    </row>
    <row r="52" spans="1:6" ht="15" thickBot="1" x14ac:dyDescent="0.35">
      <c r="A52" s="81" t="s">
        <v>2820</v>
      </c>
      <c r="B52" s="76" t="s">
        <v>2821</v>
      </c>
      <c r="C52" s="75" t="s">
        <v>2822</v>
      </c>
      <c r="D52" s="76" t="s">
        <v>2859</v>
      </c>
      <c r="E52" s="75" t="s">
        <v>2823</v>
      </c>
      <c r="F52" s="82"/>
    </row>
    <row r="53" spans="1:6" ht="15" thickBot="1" x14ac:dyDescent="0.35">
      <c r="A53" s="81" t="s">
        <v>2820</v>
      </c>
      <c r="B53" s="76" t="s">
        <v>2821</v>
      </c>
      <c r="C53" s="75" t="s">
        <v>2822</v>
      </c>
      <c r="D53" s="76" t="s">
        <v>14</v>
      </c>
      <c r="E53" s="75" t="s">
        <v>2823</v>
      </c>
      <c r="F53" s="82"/>
    </row>
    <row r="54" spans="1:6" ht="15" thickBot="1" x14ac:dyDescent="0.35">
      <c r="A54" s="81" t="s">
        <v>2820</v>
      </c>
      <c r="B54" s="76" t="s">
        <v>2829</v>
      </c>
      <c r="C54" s="75" t="s">
        <v>2822</v>
      </c>
      <c r="D54" s="76" t="s">
        <v>16</v>
      </c>
      <c r="E54" s="75" t="s">
        <v>2823</v>
      </c>
      <c r="F54" s="82"/>
    </row>
    <row r="55" spans="1:6" ht="15" thickBot="1" x14ac:dyDescent="0.35">
      <c r="A55" s="81" t="s">
        <v>2820</v>
      </c>
      <c r="B55" s="76" t="s">
        <v>2838</v>
      </c>
      <c r="C55" s="75" t="s">
        <v>2822</v>
      </c>
      <c r="D55" s="76" t="s">
        <v>2860</v>
      </c>
      <c r="E55" s="75" t="s">
        <v>2823</v>
      </c>
      <c r="F55" s="82"/>
    </row>
    <row r="56" spans="1:6" ht="15" thickBot="1" x14ac:dyDescent="0.35">
      <c r="A56" s="81" t="s">
        <v>2820</v>
      </c>
      <c r="B56" s="76" t="s">
        <v>2821</v>
      </c>
      <c r="C56" s="75" t="s">
        <v>2822</v>
      </c>
      <c r="D56" s="76" t="s">
        <v>2861</v>
      </c>
      <c r="E56" s="75" t="s">
        <v>2823</v>
      </c>
      <c r="F56" s="82"/>
    </row>
    <row r="57" spans="1:6" ht="15" thickBot="1" x14ac:dyDescent="0.35">
      <c r="A57" s="81" t="s">
        <v>2820</v>
      </c>
      <c r="B57" s="76" t="s">
        <v>2838</v>
      </c>
      <c r="C57" s="75" t="s">
        <v>2822</v>
      </c>
      <c r="D57" s="76" t="s">
        <v>2862</v>
      </c>
      <c r="E57" s="75" t="s">
        <v>2823</v>
      </c>
      <c r="F57" s="82"/>
    </row>
    <row r="58" spans="1:6" ht="15" thickBot="1" x14ac:dyDescent="0.35">
      <c r="A58" s="81" t="s">
        <v>2820</v>
      </c>
      <c r="B58" s="76" t="s">
        <v>2821</v>
      </c>
      <c r="C58" s="75" t="s">
        <v>2822</v>
      </c>
      <c r="D58" s="76" t="s">
        <v>189</v>
      </c>
      <c r="E58" s="75" t="s">
        <v>2823</v>
      </c>
      <c r="F58" s="82"/>
    </row>
    <row r="59" spans="1:6" ht="15" thickBot="1" x14ac:dyDescent="0.35">
      <c r="A59" s="81" t="s">
        <v>2820</v>
      </c>
      <c r="B59" s="76" t="s">
        <v>2838</v>
      </c>
      <c r="C59" s="75" t="s">
        <v>2822</v>
      </c>
      <c r="D59" s="76" t="s">
        <v>2863</v>
      </c>
      <c r="E59" s="75" t="s">
        <v>2823</v>
      </c>
      <c r="F59" s="82"/>
    </row>
    <row r="60" spans="1:6" ht="15" thickBot="1" x14ac:dyDescent="0.35">
      <c r="A60" s="81" t="s">
        <v>2820</v>
      </c>
      <c r="B60" s="76" t="s">
        <v>2832</v>
      </c>
      <c r="C60" s="75" t="s">
        <v>2822</v>
      </c>
      <c r="D60" s="76" t="s">
        <v>2864</v>
      </c>
      <c r="E60" s="75" t="s">
        <v>2823</v>
      </c>
      <c r="F60" s="82"/>
    </row>
    <row r="61" spans="1:6" ht="15" thickBot="1" x14ac:dyDescent="0.35">
      <c r="A61" s="81" t="s">
        <v>2820</v>
      </c>
      <c r="B61" s="76" t="s">
        <v>2829</v>
      </c>
      <c r="C61" s="75" t="s">
        <v>2822</v>
      </c>
      <c r="D61" s="76" t="s">
        <v>18</v>
      </c>
      <c r="E61" s="75" t="s">
        <v>2823</v>
      </c>
      <c r="F61" s="82"/>
    </row>
    <row r="62" spans="1:6" ht="15" thickBot="1" x14ac:dyDescent="0.35">
      <c r="A62" s="81" t="s">
        <v>2820</v>
      </c>
      <c r="B62" s="76" t="s">
        <v>2853</v>
      </c>
      <c r="C62" s="75" t="s">
        <v>2822</v>
      </c>
      <c r="D62" s="76" t="s">
        <v>20</v>
      </c>
      <c r="E62" s="75" t="s">
        <v>2823</v>
      </c>
      <c r="F62" s="82"/>
    </row>
    <row r="63" spans="1:6" ht="15" thickBot="1" x14ac:dyDescent="0.35">
      <c r="A63" s="81" t="s">
        <v>2820</v>
      </c>
      <c r="B63" s="76" t="s">
        <v>2821</v>
      </c>
      <c r="C63" s="75" t="s">
        <v>2822</v>
      </c>
      <c r="D63" s="76" t="s">
        <v>19</v>
      </c>
      <c r="E63" s="75" t="s">
        <v>2823</v>
      </c>
      <c r="F63" s="82"/>
    </row>
    <row r="64" spans="1:6" ht="15" thickBot="1" x14ac:dyDescent="0.35">
      <c r="A64" s="81" t="s">
        <v>2820</v>
      </c>
      <c r="B64" s="76" t="s">
        <v>2829</v>
      </c>
      <c r="C64" s="75" t="s">
        <v>2822</v>
      </c>
      <c r="D64" s="76" t="s">
        <v>21</v>
      </c>
      <c r="E64" s="75" t="s">
        <v>2823</v>
      </c>
      <c r="F64" s="82"/>
    </row>
    <row r="65" spans="1:6" ht="15" thickBot="1" x14ac:dyDescent="0.35">
      <c r="A65" s="81" t="s">
        <v>2820</v>
      </c>
      <c r="B65" s="76" t="s">
        <v>2865</v>
      </c>
      <c r="C65" s="75" t="s">
        <v>2822</v>
      </c>
      <c r="D65" s="76" t="s">
        <v>2866</v>
      </c>
      <c r="E65" s="75" t="s">
        <v>2823</v>
      </c>
      <c r="F65" s="82"/>
    </row>
    <row r="66" spans="1:6" ht="15" thickBot="1" x14ac:dyDescent="0.35">
      <c r="A66" s="81" t="s">
        <v>2820</v>
      </c>
      <c r="B66" s="76" t="s">
        <v>2838</v>
      </c>
      <c r="C66" s="75" t="s">
        <v>2822</v>
      </c>
      <c r="D66" s="76" t="s">
        <v>2867</v>
      </c>
      <c r="E66" s="75" t="s">
        <v>2823</v>
      </c>
      <c r="F66" s="82"/>
    </row>
    <row r="67" spans="1:6" ht="15" thickBot="1" x14ac:dyDescent="0.35">
      <c r="A67" s="81" t="s">
        <v>2820</v>
      </c>
      <c r="B67" s="76" t="s">
        <v>2853</v>
      </c>
      <c r="C67" s="75" t="s">
        <v>2822</v>
      </c>
      <c r="D67" s="76" t="s">
        <v>22</v>
      </c>
      <c r="E67" s="75" t="s">
        <v>2823</v>
      </c>
      <c r="F67" s="82"/>
    </row>
    <row r="68" spans="1:6" ht="15" thickBot="1" x14ac:dyDescent="0.35">
      <c r="A68" s="81" t="s">
        <v>2820</v>
      </c>
      <c r="B68" s="76" t="s">
        <v>2829</v>
      </c>
      <c r="C68" s="75" t="s">
        <v>2822</v>
      </c>
      <c r="D68" s="76" t="s">
        <v>23</v>
      </c>
      <c r="E68" s="75" t="s">
        <v>2823</v>
      </c>
      <c r="F68" s="82"/>
    </row>
    <row r="69" spans="1:6" ht="15" thickBot="1" x14ac:dyDescent="0.35">
      <c r="A69" s="81" t="s">
        <v>2820</v>
      </c>
      <c r="B69" s="76" t="s">
        <v>2821</v>
      </c>
      <c r="C69" s="75" t="s">
        <v>2822</v>
      </c>
      <c r="D69" s="76" t="s">
        <v>2868</v>
      </c>
      <c r="E69" s="75" t="s">
        <v>2823</v>
      </c>
      <c r="F69" s="82"/>
    </row>
    <row r="70" spans="1:6" ht="15" thickBot="1" x14ac:dyDescent="0.35">
      <c r="A70" s="81" t="s">
        <v>2820</v>
      </c>
      <c r="B70" s="76" t="s">
        <v>2821</v>
      </c>
      <c r="C70" s="75" t="s">
        <v>2822</v>
      </c>
      <c r="D70" s="76" t="s">
        <v>2869</v>
      </c>
      <c r="E70" s="75" t="s">
        <v>2823</v>
      </c>
      <c r="F70" s="82"/>
    </row>
    <row r="71" spans="1:6" ht="15" thickBot="1" x14ac:dyDescent="0.35">
      <c r="A71" s="81" t="s">
        <v>2820</v>
      </c>
      <c r="B71" s="76" t="s">
        <v>2821</v>
      </c>
      <c r="C71" s="75" t="s">
        <v>2822</v>
      </c>
      <c r="D71" s="76" t="s">
        <v>2870</v>
      </c>
      <c r="E71" s="75" t="s">
        <v>2823</v>
      </c>
      <c r="F71" s="82"/>
    </row>
    <row r="72" spans="1:6" ht="15" thickBot="1" x14ac:dyDescent="0.35">
      <c r="A72" s="81" t="s">
        <v>2820</v>
      </c>
      <c r="B72" s="76" t="s">
        <v>2829</v>
      </c>
      <c r="C72" s="75" t="s">
        <v>2822</v>
      </c>
      <c r="D72" s="76" t="s">
        <v>2871</v>
      </c>
      <c r="E72" s="75" t="s">
        <v>2823</v>
      </c>
      <c r="F72" s="82"/>
    </row>
    <row r="73" spans="1:6" ht="15" thickBot="1" x14ac:dyDescent="0.35">
      <c r="A73" s="81" t="s">
        <v>2820</v>
      </c>
      <c r="B73" s="76" t="s">
        <v>2821</v>
      </c>
      <c r="C73" s="75" t="s">
        <v>2822</v>
      </c>
      <c r="D73" s="76" t="s">
        <v>25</v>
      </c>
      <c r="E73" s="75" t="s">
        <v>2823</v>
      </c>
      <c r="F73" s="82"/>
    </row>
    <row r="74" spans="1:6" ht="15" thickBot="1" x14ac:dyDescent="0.35">
      <c r="A74" s="81" t="s">
        <v>2820</v>
      </c>
      <c r="B74" s="76" t="s">
        <v>2821</v>
      </c>
      <c r="C74" s="75" t="s">
        <v>2822</v>
      </c>
      <c r="D74" s="76" t="s">
        <v>2872</v>
      </c>
      <c r="E74" s="75" t="s">
        <v>2823</v>
      </c>
      <c r="F74" s="82"/>
    </row>
    <row r="75" spans="1:6" ht="15" thickBot="1" x14ac:dyDescent="0.35">
      <c r="A75" s="81" t="s">
        <v>2820</v>
      </c>
      <c r="B75" s="76" t="s">
        <v>2821</v>
      </c>
      <c r="C75" s="75" t="s">
        <v>2822</v>
      </c>
      <c r="D75" s="76" t="s">
        <v>2873</v>
      </c>
      <c r="E75" s="75" t="s">
        <v>2823</v>
      </c>
      <c r="F75" s="82"/>
    </row>
    <row r="76" spans="1:6" ht="15" thickBot="1" x14ac:dyDescent="0.35">
      <c r="A76" s="81" t="s">
        <v>2820</v>
      </c>
      <c r="B76" s="76" t="s">
        <v>2821</v>
      </c>
      <c r="C76" s="75" t="s">
        <v>2822</v>
      </c>
      <c r="D76" s="76" t="s">
        <v>2874</v>
      </c>
      <c r="E76" s="75" t="s">
        <v>2823</v>
      </c>
      <c r="F76" s="82"/>
    </row>
    <row r="77" spans="1:6" ht="15" thickBot="1" x14ac:dyDescent="0.35">
      <c r="A77" s="81" t="s">
        <v>2820</v>
      </c>
      <c r="B77" s="76" t="s">
        <v>2821</v>
      </c>
      <c r="C77" s="75" t="s">
        <v>2822</v>
      </c>
      <c r="D77" s="76" t="s">
        <v>2875</v>
      </c>
      <c r="E77" s="75" t="s">
        <v>2823</v>
      </c>
      <c r="F77" s="82"/>
    </row>
    <row r="78" spans="1:6" ht="15" thickBot="1" x14ac:dyDescent="0.35">
      <c r="A78" s="81" t="s">
        <v>2820</v>
      </c>
      <c r="B78" s="76" t="s">
        <v>2829</v>
      </c>
      <c r="C78" s="75" t="s">
        <v>2822</v>
      </c>
      <c r="D78" s="76" t="s">
        <v>2876</v>
      </c>
      <c r="E78" s="75" t="s">
        <v>2823</v>
      </c>
      <c r="F78" s="82"/>
    </row>
    <row r="79" spans="1:6" ht="15" thickBot="1" x14ac:dyDescent="0.35">
      <c r="A79" s="81" t="s">
        <v>2820</v>
      </c>
      <c r="B79" s="76" t="s">
        <v>2865</v>
      </c>
      <c r="C79" s="75" t="s">
        <v>2822</v>
      </c>
      <c r="D79" s="76" t="s">
        <v>2877</v>
      </c>
      <c r="E79" s="75" t="s">
        <v>2823</v>
      </c>
      <c r="F79" s="82"/>
    </row>
    <row r="80" spans="1:6" ht="15" thickBot="1" x14ac:dyDescent="0.35">
      <c r="A80" s="81" t="s">
        <v>2820</v>
      </c>
      <c r="B80" s="76" t="s">
        <v>2829</v>
      </c>
      <c r="C80" s="75" t="s">
        <v>2822</v>
      </c>
      <c r="D80" s="76" t="s">
        <v>2878</v>
      </c>
      <c r="E80" s="75" t="s">
        <v>2823</v>
      </c>
      <c r="F80" s="82"/>
    </row>
    <row r="81" spans="1:6" ht="15" thickBot="1" x14ac:dyDescent="0.35">
      <c r="A81" s="81" t="s">
        <v>2820</v>
      </c>
      <c r="B81" s="76" t="s">
        <v>2821</v>
      </c>
      <c r="C81" s="75" t="s">
        <v>2822</v>
      </c>
      <c r="D81" s="76" t="s">
        <v>2879</v>
      </c>
      <c r="E81" s="75" t="s">
        <v>2823</v>
      </c>
      <c r="F81" s="82"/>
    </row>
    <row r="82" spans="1:6" ht="15" thickBot="1" x14ac:dyDescent="0.35">
      <c r="A82" s="81" t="s">
        <v>2820</v>
      </c>
      <c r="B82" s="76" t="s">
        <v>2829</v>
      </c>
      <c r="C82" s="75" t="s">
        <v>2822</v>
      </c>
      <c r="D82" s="76" t="s">
        <v>24</v>
      </c>
      <c r="E82" s="75" t="s">
        <v>2823</v>
      </c>
      <c r="F82" s="82"/>
    </row>
    <row r="83" spans="1:6" ht="15" thickBot="1" x14ac:dyDescent="0.35">
      <c r="A83" s="81" t="s">
        <v>2820</v>
      </c>
      <c r="B83" s="76" t="s">
        <v>2832</v>
      </c>
      <c r="C83" s="75" t="s">
        <v>2822</v>
      </c>
      <c r="D83" s="76" t="s">
        <v>2880</v>
      </c>
      <c r="E83" s="75" t="s">
        <v>2823</v>
      </c>
      <c r="F83" s="82"/>
    </row>
    <row r="84" spans="1:6" ht="15" thickBot="1" x14ac:dyDescent="0.35">
      <c r="A84" s="81" t="s">
        <v>2820</v>
      </c>
      <c r="B84" s="76" t="s">
        <v>2829</v>
      </c>
      <c r="C84" s="75" t="s">
        <v>2822</v>
      </c>
      <c r="D84" s="76" t="s">
        <v>26</v>
      </c>
      <c r="E84" s="75" t="s">
        <v>2823</v>
      </c>
      <c r="F84" s="82"/>
    </row>
    <row r="85" spans="1:6" ht="15" thickBot="1" x14ac:dyDescent="0.35">
      <c r="A85" s="81" t="s">
        <v>2820</v>
      </c>
      <c r="B85" s="76" t="s">
        <v>2821</v>
      </c>
      <c r="C85" s="75" t="s">
        <v>2822</v>
      </c>
      <c r="D85" s="76" t="s">
        <v>27</v>
      </c>
      <c r="E85" s="75" t="s">
        <v>2823</v>
      </c>
      <c r="F85" s="82"/>
    </row>
    <row r="86" spans="1:6" ht="15" thickBot="1" x14ac:dyDescent="0.35">
      <c r="A86" s="81" t="s">
        <v>2820</v>
      </c>
      <c r="B86" s="76" t="s">
        <v>2829</v>
      </c>
      <c r="C86" s="75" t="s">
        <v>2822</v>
      </c>
      <c r="D86" s="76" t="s">
        <v>28</v>
      </c>
      <c r="E86" s="75" t="s">
        <v>2823</v>
      </c>
      <c r="F86" s="82"/>
    </row>
    <row r="87" spans="1:6" ht="15" thickBot="1" x14ac:dyDescent="0.35">
      <c r="A87" s="81" t="s">
        <v>2820</v>
      </c>
      <c r="B87" s="76" t="s">
        <v>2821</v>
      </c>
      <c r="C87" s="75" t="s">
        <v>2822</v>
      </c>
      <c r="D87" s="76" t="s">
        <v>29</v>
      </c>
      <c r="E87" s="75" t="s">
        <v>2823</v>
      </c>
      <c r="F87" s="82"/>
    </row>
    <row r="88" spans="1:6" ht="15" thickBot="1" x14ac:dyDescent="0.35">
      <c r="A88" s="81" t="s">
        <v>2820</v>
      </c>
      <c r="B88" s="76" t="s">
        <v>2821</v>
      </c>
      <c r="C88" s="75" t="s">
        <v>2822</v>
      </c>
      <c r="D88" s="76" t="s">
        <v>30</v>
      </c>
      <c r="E88" s="75" t="s">
        <v>2823</v>
      </c>
      <c r="F88" s="82"/>
    </row>
    <row r="89" spans="1:6" ht="15" thickBot="1" x14ac:dyDescent="0.35">
      <c r="A89" s="81" t="s">
        <v>2820</v>
      </c>
      <c r="B89" s="76" t="s">
        <v>2829</v>
      </c>
      <c r="C89" s="75" t="s">
        <v>2822</v>
      </c>
      <c r="D89" s="76" t="s">
        <v>2881</v>
      </c>
      <c r="E89" s="75" t="s">
        <v>2823</v>
      </c>
      <c r="F89" s="82"/>
    </row>
    <row r="90" spans="1:6" ht="15" thickBot="1" x14ac:dyDescent="0.35">
      <c r="A90" s="81" t="s">
        <v>2820</v>
      </c>
      <c r="B90" s="76" t="s">
        <v>2821</v>
      </c>
      <c r="C90" s="75" t="s">
        <v>2822</v>
      </c>
      <c r="D90" s="76" t="s">
        <v>32</v>
      </c>
      <c r="E90" s="75" t="s">
        <v>2823</v>
      </c>
      <c r="F90" s="82"/>
    </row>
    <row r="91" spans="1:6" ht="15" thickBot="1" x14ac:dyDescent="0.35">
      <c r="A91" s="81" t="s">
        <v>2820</v>
      </c>
      <c r="B91" s="76" t="s">
        <v>2821</v>
      </c>
      <c r="C91" s="75" t="s">
        <v>2822</v>
      </c>
      <c r="D91" s="76" t="s">
        <v>203</v>
      </c>
      <c r="E91" s="75" t="s">
        <v>2823</v>
      </c>
      <c r="F91" s="82"/>
    </row>
    <row r="92" spans="1:6" ht="15" thickBot="1" x14ac:dyDescent="0.35">
      <c r="A92" s="81" t="s">
        <v>2820</v>
      </c>
      <c r="B92" s="76" t="s">
        <v>2865</v>
      </c>
      <c r="C92" s="75" t="s">
        <v>2822</v>
      </c>
      <c r="D92" s="76" t="s">
        <v>204</v>
      </c>
      <c r="E92" s="75" t="s">
        <v>2823</v>
      </c>
      <c r="F92" s="82"/>
    </row>
    <row r="93" spans="1:6" ht="15" thickBot="1" x14ac:dyDescent="0.35">
      <c r="A93" s="81" t="s">
        <v>2820</v>
      </c>
      <c r="B93" s="76" t="s">
        <v>2821</v>
      </c>
      <c r="C93" s="75" t="s">
        <v>2822</v>
      </c>
      <c r="D93" s="76" t="s">
        <v>33</v>
      </c>
      <c r="E93" s="75" t="s">
        <v>2823</v>
      </c>
      <c r="F93" s="82"/>
    </row>
    <row r="94" spans="1:6" ht="15" thickBot="1" x14ac:dyDescent="0.35">
      <c r="A94" s="81" t="s">
        <v>2820</v>
      </c>
      <c r="B94" s="76" t="s">
        <v>2832</v>
      </c>
      <c r="C94" s="75" t="s">
        <v>2822</v>
      </c>
      <c r="D94" s="76" t="s">
        <v>2882</v>
      </c>
      <c r="E94" s="75" t="s">
        <v>2823</v>
      </c>
      <c r="F94" s="82"/>
    </row>
    <row r="95" spans="1:6" ht="15" thickBot="1" x14ac:dyDescent="0.35">
      <c r="A95" s="81" t="s">
        <v>2820</v>
      </c>
      <c r="B95" s="76" t="s">
        <v>2829</v>
      </c>
      <c r="C95" s="75" t="s">
        <v>2822</v>
      </c>
      <c r="D95" s="76" t="s">
        <v>34</v>
      </c>
      <c r="E95" s="75" t="s">
        <v>2823</v>
      </c>
      <c r="F95" s="82"/>
    </row>
    <row r="96" spans="1:6" ht="15" thickBot="1" x14ac:dyDescent="0.35">
      <c r="A96" s="81" t="s">
        <v>2820</v>
      </c>
      <c r="B96" s="76" t="s">
        <v>2821</v>
      </c>
      <c r="C96" s="75" t="s">
        <v>2822</v>
      </c>
      <c r="D96" s="76" t="s">
        <v>35</v>
      </c>
      <c r="E96" s="75" t="s">
        <v>2823</v>
      </c>
      <c r="F96" s="82"/>
    </row>
    <row r="97" spans="1:6" ht="15" thickBot="1" x14ac:dyDescent="0.35">
      <c r="A97" s="81" t="s">
        <v>2820</v>
      </c>
      <c r="B97" s="76" t="s">
        <v>2829</v>
      </c>
      <c r="C97" s="75" t="s">
        <v>2822</v>
      </c>
      <c r="D97" s="76" t="s">
        <v>2883</v>
      </c>
      <c r="E97" s="75" t="s">
        <v>2823</v>
      </c>
      <c r="F97" s="82"/>
    </row>
    <row r="98" spans="1:6" ht="15" thickBot="1" x14ac:dyDescent="0.35">
      <c r="A98" s="81" t="s">
        <v>2820</v>
      </c>
      <c r="B98" s="76" t="s">
        <v>2821</v>
      </c>
      <c r="C98" s="75" t="s">
        <v>2822</v>
      </c>
      <c r="D98" s="76" t="s">
        <v>37</v>
      </c>
      <c r="E98" s="75" t="s">
        <v>2823</v>
      </c>
      <c r="F98" s="82"/>
    </row>
    <row r="99" spans="1:6" ht="15" thickBot="1" x14ac:dyDescent="0.35">
      <c r="A99" s="81" t="s">
        <v>2820</v>
      </c>
      <c r="B99" s="76" t="s">
        <v>2821</v>
      </c>
      <c r="C99" s="75" t="s">
        <v>2822</v>
      </c>
      <c r="D99" s="76" t="s">
        <v>38</v>
      </c>
      <c r="E99" s="75" t="s">
        <v>2823</v>
      </c>
      <c r="F99" s="82"/>
    </row>
    <row r="100" spans="1:6" ht="15" thickBot="1" x14ac:dyDescent="0.35">
      <c r="A100" s="81" t="s">
        <v>2820</v>
      </c>
      <c r="B100" s="76" t="s">
        <v>2829</v>
      </c>
      <c r="C100" s="75" t="s">
        <v>2822</v>
      </c>
      <c r="D100" s="76" t="s">
        <v>2884</v>
      </c>
      <c r="E100" s="75" t="s">
        <v>2823</v>
      </c>
      <c r="F100" s="82"/>
    </row>
    <row r="101" spans="1:6" ht="15" thickBot="1" x14ac:dyDescent="0.35">
      <c r="A101" s="81" t="s">
        <v>2820</v>
      </c>
      <c r="B101" s="76" t="s">
        <v>2821</v>
      </c>
      <c r="C101" s="75" t="s">
        <v>2822</v>
      </c>
      <c r="D101" s="76" t="s">
        <v>41</v>
      </c>
      <c r="E101" s="75" t="s">
        <v>2823</v>
      </c>
      <c r="F101" s="82"/>
    </row>
    <row r="102" spans="1:6" ht="15" thickBot="1" x14ac:dyDescent="0.35">
      <c r="A102" s="81" t="s">
        <v>2820</v>
      </c>
      <c r="B102" s="76" t="s">
        <v>2821</v>
      </c>
      <c r="C102" s="75" t="s">
        <v>2822</v>
      </c>
      <c r="D102" s="76" t="s">
        <v>2885</v>
      </c>
      <c r="E102" s="75" t="s">
        <v>2823</v>
      </c>
      <c r="F102" s="82"/>
    </row>
    <row r="103" spans="1:6" ht="15" thickBot="1" x14ac:dyDescent="0.35">
      <c r="A103" s="81" t="s">
        <v>2820</v>
      </c>
      <c r="B103" s="76" t="s">
        <v>2829</v>
      </c>
      <c r="C103" s="75" t="s">
        <v>2822</v>
      </c>
      <c r="D103" s="76" t="s">
        <v>2886</v>
      </c>
      <c r="E103" s="75" t="s">
        <v>2823</v>
      </c>
      <c r="F103" s="82"/>
    </row>
    <row r="104" spans="1:6" ht="15" thickBot="1" x14ac:dyDescent="0.35">
      <c r="A104" s="81" t="s">
        <v>2820</v>
      </c>
      <c r="B104" s="76" t="s">
        <v>2832</v>
      </c>
      <c r="C104" s="75" t="s">
        <v>2822</v>
      </c>
      <c r="D104" s="76" t="s">
        <v>2887</v>
      </c>
      <c r="E104" s="75" t="s">
        <v>2823</v>
      </c>
      <c r="F104" s="82"/>
    </row>
    <row r="105" spans="1:6" ht="15" thickBot="1" x14ac:dyDescent="0.35">
      <c r="A105" s="81" t="s">
        <v>2820</v>
      </c>
      <c r="B105" s="76" t="s">
        <v>2829</v>
      </c>
      <c r="C105" s="75" t="s">
        <v>2822</v>
      </c>
      <c r="D105" s="76" t="s">
        <v>2888</v>
      </c>
      <c r="E105" s="75" t="s">
        <v>2823</v>
      </c>
      <c r="F105" s="82"/>
    </row>
    <row r="106" spans="1:6" ht="15" thickBot="1" x14ac:dyDescent="0.35">
      <c r="A106" s="81" t="s">
        <v>2820</v>
      </c>
      <c r="B106" s="76" t="s">
        <v>2829</v>
      </c>
      <c r="C106" s="75" t="s">
        <v>2822</v>
      </c>
      <c r="D106" s="76" t="s">
        <v>2889</v>
      </c>
      <c r="E106" s="75" t="s">
        <v>2823</v>
      </c>
      <c r="F106" s="82"/>
    </row>
    <row r="107" spans="1:6" ht="15" thickBot="1" x14ac:dyDescent="0.35">
      <c r="A107" s="81" t="s">
        <v>2820</v>
      </c>
      <c r="B107" s="76" t="s">
        <v>2829</v>
      </c>
      <c r="C107" s="75" t="s">
        <v>2822</v>
      </c>
      <c r="D107" s="76" t="s">
        <v>2890</v>
      </c>
      <c r="E107" s="75" t="s">
        <v>2823</v>
      </c>
      <c r="F107" s="82"/>
    </row>
    <row r="108" spans="1:6" ht="15" thickBot="1" x14ac:dyDescent="0.35">
      <c r="A108" s="81" t="s">
        <v>2820</v>
      </c>
      <c r="B108" s="76" t="s">
        <v>2853</v>
      </c>
      <c r="C108" s="75" t="s">
        <v>2822</v>
      </c>
      <c r="D108" s="76" t="s">
        <v>2891</v>
      </c>
      <c r="E108" s="75" t="s">
        <v>2823</v>
      </c>
      <c r="F108" s="82"/>
    </row>
    <row r="109" spans="1:6" ht="15" thickBot="1" x14ac:dyDescent="0.35">
      <c r="A109" s="81" t="s">
        <v>2820</v>
      </c>
      <c r="B109" s="76" t="s">
        <v>2821</v>
      </c>
      <c r="C109" s="75" t="s">
        <v>2822</v>
      </c>
      <c r="D109" s="76" t="s">
        <v>2892</v>
      </c>
      <c r="E109" s="75" t="s">
        <v>2823</v>
      </c>
      <c r="F109" s="82"/>
    </row>
    <row r="110" spans="1:6" ht="15" thickBot="1" x14ac:dyDescent="0.35">
      <c r="A110" s="81" t="s">
        <v>2820</v>
      </c>
      <c r="B110" s="76" t="s">
        <v>2829</v>
      </c>
      <c r="C110" s="75" t="s">
        <v>2822</v>
      </c>
      <c r="D110" s="76" t="s">
        <v>2893</v>
      </c>
      <c r="E110" s="75" t="s">
        <v>2823</v>
      </c>
      <c r="F110" s="82"/>
    </row>
    <row r="111" spans="1:6" ht="15" thickBot="1" x14ac:dyDescent="0.35">
      <c r="A111" s="81" t="s">
        <v>2820</v>
      </c>
      <c r="B111" s="76" t="s">
        <v>2829</v>
      </c>
      <c r="C111" s="75" t="s">
        <v>2822</v>
      </c>
      <c r="D111" s="76" t="s">
        <v>2894</v>
      </c>
      <c r="E111" s="75" t="s">
        <v>2823</v>
      </c>
      <c r="F111" s="82"/>
    </row>
    <row r="112" spans="1:6" ht="15" thickBot="1" x14ac:dyDescent="0.35">
      <c r="A112" s="81" t="s">
        <v>2820</v>
      </c>
      <c r="B112" s="76" t="s">
        <v>2821</v>
      </c>
      <c r="C112" s="75" t="s">
        <v>2822</v>
      </c>
      <c r="D112" s="76" t="s">
        <v>2895</v>
      </c>
      <c r="E112" s="75" t="s">
        <v>2823</v>
      </c>
      <c r="F112" s="82"/>
    </row>
    <row r="113" spans="1:6" ht="15" thickBot="1" x14ac:dyDescent="0.35">
      <c r="A113" s="81" t="s">
        <v>2820</v>
      </c>
      <c r="B113" s="76" t="s">
        <v>2829</v>
      </c>
      <c r="C113" s="75" t="s">
        <v>2822</v>
      </c>
      <c r="D113" s="76" t="s">
        <v>2896</v>
      </c>
      <c r="E113" s="75" t="s">
        <v>2823</v>
      </c>
      <c r="F113" s="82"/>
    </row>
    <row r="114" spans="1:6" ht="15" thickBot="1" x14ac:dyDescent="0.35">
      <c r="A114" s="81" t="s">
        <v>2820</v>
      </c>
      <c r="B114" s="76" t="s">
        <v>2821</v>
      </c>
      <c r="C114" s="75" t="s">
        <v>2822</v>
      </c>
      <c r="D114" s="76" t="s">
        <v>2897</v>
      </c>
      <c r="E114" s="75" t="s">
        <v>2823</v>
      </c>
      <c r="F114" s="82"/>
    </row>
    <row r="115" spans="1:6" ht="15" thickBot="1" x14ac:dyDescent="0.35">
      <c r="A115" s="81" t="s">
        <v>2820</v>
      </c>
      <c r="B115" s="76" t="s">
        <v>2832</v>
      </c>
      <c r="C115" s="75" t="s">
        <v>2822</v>
      </c>
      <c r="D115" s="76" t="s">
        <v>2898</v>
      </c>
      <c r="E115" s="75" t="s">
        <v>2823</v>
      </c>
      <c r="F115" s="82"/>
    </row>
    <row r="116" spans="1:6" ht="15" thickBot="1" x14ac:dyDescent="0.35">
      <c r="A116" s="81" t="s">
        <v>2820</v>
      </c>
      <c r="B116" s="76" t="s">
        <v>2829</v>
      </c>
      <c r="C116" s="75" t="s">
        <v>2822</v>
      </c>
      <c r="D116" s="76" t="s">
        <v>46</v>
      </c>
      <c r="E116" s="75" t="s">
        <v>2823</v>
      </c>
      <c r="F116" s="82"/>
    </row>
    <row r="117" spans="1:6" ht="15" thickBot="1" x14ac:dyDescent="0.35">
      <c r="A117" s="81" t="s">
        <v>2820</v>
      </c>
      <c r="B117" s="76" t="s">
        <v>2829</v>
      </c>
      <c r="C117" s="75" t="s">
        <v>2822</v>
      </c>
      <c r="D117" s="76" t="s">
        <v>2899</v>
      </c>
      <c r="E117" s="75" t="s">
        <v>2823</v>
      </c>
      <c r="F117" s="82"/>
    </row>
    <row r="118" spans="1:6" ht="15" thickBot="1" x14ac:dyDescent="0.35">
      <c r="A118" s="81" t="s">
        <v>2820</v>
      </c>
      <c r="B118" s="76" t="s">
        <v>2821</v>
      </c>
      <c r="C118" s="75" t="s">
        <v>2822</v>
      </c>
      <c r="D118" s="76" t="s">
        <v>2900</v>
      </c>
      <c r="E118" s="75" t="s">
        <v>2823</v>
      </c>
      <c r="F118" s="82"/>
    </row>
    <row r="119" spans="1:6" ht="15" thickBot="1" x14ac:dyDescent="0.35">
      <c r="A119" s="81" t="s">
        <v>2820</v>
      </c>
      <c r="B119" s="76" t="s">
        <v>2821</v>
      </c>
      <c r="C119" s="75" t="s">
        <v>2822</v>
      </c>
      <c r="D119" s="76" t="s">
        <v>47</v>
      </c>
      <c r="E119" s="75" t="s">
        <v>2823</v>
      </c>
      <c r="F119" s="82"/>
    </row>
    <row r="120" spans="1:6" ht="15" thickBot="1" x14ac:dyDescent="0.35">
      <c r="A120" s="81" t="s">
        <v>2820</v>
      </c>
      <c r="B120" s="76" t="s">
        <v>2821</v>
      </c>
      <c r="C120" s="75" t="s">
        <v>2822</v>
      </c>
      <c r="D120" s="76" t="s">
        <v>48</v>
      </c>
      <c r="E120" s="75" t="s">
        <v>2823</v>
      </c>
      <c r="F120" s="82"/>
    </row>
    <row r="121" spans="1:6" ht="15" thickBot="1" x14ac:dyDescent="0.35">
      <c r="A121" s="81" t="s">
        <v>2820</v>
      </c>
      <c r="B121" s="76" t="s">
        <v>2832</v>
      </c>
      <c r="C121" s="75" t="s">
        <v>2822</v>
      </c>
      <c r="D121" s="76" t="s">
        <v>2901</v>
      </c>
      <c r="E121" s="75" t="s">
        <v>2823</v>
      </c>
      <c r="F121" s="82"/>
    </row>
    <row r="122" spans="1:6" ht="15" thickBot="1" x14ac:dyDescent="0.35">
      <c r="A122" s="81" t="s">
        <v>2820</v>
      </c>
      <c r="B122" s="76" t="s">
        <v>2829</v>
      </c>
      <c r="C122" s="75" t="s">
        <v>2822</v>
      </c>
      <c r="D122" s="76" t="s">
        <v>2902</v>
      </c>
      <c r="E122" s="75" t="s">
        <v>2823</v>
      </c>
      <c r="F122" s="82"/>
    </row>
    <row r="123" spans="1:6" ht="15" thickBot="1" x14ac:dyDescent="0.35">
      <c r="A123" s="81" t="s">
        <v>2820</v>
      </c>
      <c r="B123" s="76" t="s">
        <v>2829</v>
      </c>
      <c r="C123" s="75" t="s">
        <v>2822</v>
      </c>
      <c r="D123" s="76" t="s">
        <v>2903</v>
      </c>
      <c r="E123" s="75" t="s">
        <v>2823</v>
      </c>
      <c r="F123" s="82"/>
    </row>
    <row r="124" spans="1:6" ht="15" thickBot="1" x14ac:dyDescent="0.35">
      <c r="A124" s="81" t="s">
        <v>2820</v>
      </c>
      <c r="B124" s="76" t="s">
        <v>2821</v>
      </c>
      <c r="C124" s="75" t="s">
        <v>2822</v>
      </c>
      <c r="D124" s="76" t="s">
        <v>2904</v>
      </c>
      <c r="E124" s="75" t="s">
        <v>2823</v>
      </c>
      <c r="F124" s="82"/>
    </row>
    <row r="125" spans="1:6" ht="15" thickBot="1" x14ac:dyDescent="0.35">
      <c r="A125" s="81" t="s">
        <v>2820</v>
      </c>
      <c r="B125" s="76" t="s">
        <v>2905</v>
      </c>
      <c r="C125" s="75" t="s">
        <v>2822</v>
      </c>
      <c r="D125" s="76" t="s">
        <v>2906</v>
      </c>
      <c r="E125" s="75" t="s">
        <v>2823</v>
      </c>
      <c r="F125" s="82"/>
    </row>
    <row r="126" spans="1:6" x14ac:dyDescent="0.3">
      <c r="A126" s="83" t="s">
        <v>2820</v>
      </c>
      <c r="B126" s="84" t="s">
        <v>2824</v>
      </c>
      <c r="C126" s="85" t="s">
        <v>2822</v>
      </c>
      <c r="D126" s="84" t="s">
        <v>2753</v>
      </c>
      <c r="E126" s="85" t="s">
        <v>2823</v>
      </c>
      <c r="F126" s="8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65"/>
  <sheetViews>
    <sheetView workbookViewId="0">
      <selection sqref="A1:B265"/>
    </sheetView>
  </sheetViews>
  <sheetFormatPr defaultRowHeight="14.4" x14ac:dyDescent="0.3"/>
  <cols>
    <col min="1" max="1" width="41" bestFit="1" customWidth="1"/>
    <col min="2" max="2" width="17.6640625" bestFit="1" customWidth="1"/>
  </cols>
  <sheetData>
    <row r="1" spans="1:2" x14ac:dyDescent="0.3">
      <c r="A1" t="s">
        <v>1</v>
      </c>
      <c r="B1" s="93" t="s">
        <v>3064</v>
      </c>
    </row>
    <row r="2" spans="1:2" x14ac:dyDescent="0.3">
      <c r="A2" t="s">
        <v>141</v>
      </c>
      <c r="B2" s="93">
        <v>1</v>
      </c>
    </row>
    <row r="3" spans="1:2" x14ac:dyDescent="0.3">
      <c r="A3" t="s">
        <v>161</v>
      </c>
      <c r="B3" s="93">
        <v>2</v>
      </c>
    </row>
    <row r="4" spans="1:2" x14ac:dyDescent="0.3">
      <c r="A4" t="s">
        <v>1216</v>
      </c>
      <c r="B4" s="93">
        <v>3</v>
      </c>
    </row>
    <row r="5" spans="1:2" x14ac:dyDescent="0.3">
      <c r="A5" t="s">
        <v>143</v>
      </c>
      <c r="B5" s="93">
        <v>4</v>
      </c>
    </row>
    <row r="6" spans="1:2" x14ac:dyDescent="0.3">
      <c r="A6" t="s">
        <v>101</v>
      </c>
      <c r="B6" s="93">
        <v>5</v>
      </c>
    </row>
    <row r="7" spans="1:2" x14ac:dyDescent="0.3">
      <c r="A7" t="s">
        <v>175</v>
      </c>
      <c r="B7" s="93">
        <v>6</v>
      </c>
    </row>
    <row r="8" spans="1:2" x14ac:dyDescent="0.3">
      <c r="A8" t="s">
        <v>930</v>
      </c>
      <c r="B8" s="93">
        <v>7</v>
      </c>
    </row>
    <row r="9" spans="1:2" x14ac:dyDescent="0.3">
      <c r="A9" t="s">
        <v>1002</v>
      </c>
      <c r="B9" s="93">
        <v>8</v>
      </c>
    </row>
    <row r="10" spans="1:2" x14ac:dyDescent="0.3">
      <c r="A10" t="s">
        <v>961</v>
      </c>
      <c r="B10" s="93">
        <v>9</v>
      </c>
    </row>
    <row r="11" spans="1:2" x14ac:dyDescent="0.3">
      <c r="A11" t="s">
        <v>1147</v>
      </c>
      <c r="B11" s="93">
        <v>10</v>
      </c>
    </row>
    <row r="12" spans="1:2" x14ac:dyDescent="0.3">
      <c r="A12" t="s">
        <v>1431</v>
      </c>
      <c r="B12" s="93">
        <v>11</v>
      </c>
    </row>
    <row r="13" spans="1:2" x14ac:dyDescent="0.3">
      <c r="A13" t="s">
        <v>1450</v>
      </c>
      <c r="B13" s="93">
        <v>12</v>
      </c>
    </row>
    <row r="14" spans="1:2" x14ac:dyDescent="0.3">
      <c r="A14" t="s">
        <v>1374</v>
      </c>
      <c r="B14" s="93">
        <v>13</v>
      </c>
    </row>
    <row r="15" spans="1:2" x14ac:dyDescent="0.3">
      <c r="A15" t="s">
        <v>1278</v>
      </c>
      <c r="B15" s="93">
        <v>14</v>
      </c>
    </row>
    <row r="16" spans="1:2" x14ac:dyDescent="0.3">
      <c r="A16" t="s">
        <v>79</v>
      </c>
      <c r="B16" s="93">
        <v>15</v>
      </c>
    </row>
    <row r="17" spans="1:2" x14ac:dyDescent="0.3">
      <c r="A17" t="s">
        <v>99</v>
      </c>
      <c r="B17" s="93">
        <v>16</v>
      </c>
    </row>
    <row r="18" spans="1:2" x14ac:dyDescent="0.3">
      <c r="A18" t="s">
        <v>73</v>
      </c>
      <c r="B18" s="93">
        <v>17</v>
      </c>
    </row>
    <row r="19" spans="1:2" x14ac:dyDescent="0.3">
      <c r="A19" t="s">
        <v>111</v>
      </c>
      <c r="B19" s="93">
        <v>18</v>
      </c>
    </row>
    <row r="20" spans="1:2" x14ac:dyDescent="0.3">
      <c r="A20" t="s">
        <v>117</v>
      </c>
      <c r="B20" s="93">
        <v>19</v>
      </c>
    </row>
    <row r="21" spans="1:2" x14ac:dyDescent="0.3">
      <c r="A21" t="s">
        <v>179</v>
      </c>
      <c r="B21" s="93">
        <v>20</v>
      </c>
    </row>
    <row r="22" spans="1:2" x14ac:dyDescent="0.3">
      <c r="A22" t="s">
        <v>67</v>
      </c>
      <c r="B22" s="93">
        <v>21</v>
      </c>
    </row>
    <row r="23" spans="1:2" x14ac:dyDescent="0.3">
      <c r="A23" t="s">
        <v>169</v>
      </c>
      <c r="B23" s="93">
        <v>22</v>
      </c>
    </row>
    <row r="24" spans="1:2" x14ac:dyDescent="0.3">
      <c r="A24" t="s">
        <v>2336</v>
      </c>
      <c r="B24" s="93">
        <v>23</v>
      </c>
    </row>
    <row r="25" spans="1:2" x14ac:dyDescent="0.3">
      <c r="A25" t="s">
        <v>137</v>
      </c>
      <c r="B25" s="93">
        <v>24</v>
      </c>
    </row>
    <row r="26" spans="1:2" x14ac:dyDescent="0.3">
      <c r="A26" t="s">
        <v>1486</v>
      </c>
      <c r="B26" s="93">
        <v>25</v>
      </c>
    </row>
    <row r="27" spans="1:2" x14ac:dyDescent="0.3">
      <c r="A27" t="s">
        <v>171</v>
      </c>
      <c r="B27" s="93">
        <v>26</v>
      </c>
    </row>
    <row r="28" spans="1:2" x14ac:dyDescent="0.3">
      <c r="A28" t="s">
        <v>113</v>
      </c>
      <c r="B28" s="93">
        <v>27</v>
      </c>
    </row>
    <row r="29" spans="1:2" x14ac:dyDescent="0.3">
      <c r="A29" t="s">
        <v>1916</v>
      </c>
      <c r="B29" s="93">
        <v>28</v>
      </c>
    </row>
    <row r="30" spans="1:2" x14ac:dyDescent="0.3">
      <c r="A30" t="s">
        <v>1992</v>
      </c>
      <c r="B30" s="93">
        <v>29</v>
      </c>
    </row>
    <row r="31" spans="1:2" x14ac:dyDescent="0.3">
      <c r="A31" t="s">
        <v>167</v>
      </c>
      <c r="B31" s="93">
        <v>30</v>
      </c>
    </row>
    <row r="32" spans="1:2" x14ac:dyDescent="0.3">
      <c r="A32" t="s">
        <v>1316</v>
      </c>
      <c r="B32" s="93">
        <v>31</v>
      </c>
    </row>
    <row r="33" spans="1:2" x14ac:dyDescent="0.3">
      <c r="A33" t="s">
        <v>2277</v>
      </c>
      <c r="B33" s="93">
        <v>32</v>
      </c>
    </row>
    <row r="34" spans="1:2" x14ac:dyDescent="0.3">
      <c r="A34" t="s">
        <v>1653</v>
      </c>
      <c r="B34" s="93">
        <v>33</v>
      </c>
    </row>
    <row r="35" spans="1:2" x14ac:dyDescent="0.3">
      <c r="A35" t="s">
        <v>2647</v>
      </c>
      <c r="B35" s="93">
        <v>34</v>
      </c>
    </row>
    <row r="36" spans="1:2" x14ac:dyDescent="0.3">
      <c r="A36" t="s">
        <v>177</v>
      </c>
      <c r="B36" s="93">
        <v>35</v>
      </c>
    </row>
    <row r="37" spans="1:2" x14ac:dyDescent="0.3">
      <c r="A37" t="s">
        <v>2474</v>
      </c>
      <c r="B37" s="93">
        <v>36</v>
      </c>
    </row>
    <row r="38" spans="1:2" x14ac:dyDescent="0.3">
      <c r="A38" t="s">
        <v>1609</v>
      </c>
      <c r="B38" s="93">
        <v>37</v>
      </c>
    </row>
    <row r="39" spans="1:2" x14ac:dyDescent="0.3">
      <c r="A39" t="s">
        <v>1796</v>
      </c>
      <c r="B39" s="93">
        <v>38</v>
      </c>
    </row>
    <row r="40" spans="1:2" x14ac:dyDescent="0.3">
      <c r="A40" t="s">
        <v>121</v>
      </c>
      <c r="B40" s="93">
        <v>39</v>
      </c>
    </row>
    <row r="41" spans="1:2" x14ac:dyDescent="0.3">
      <c r="A41" t="s">
        <v>1395</v>
      </c>
      <c r="B41" s="93">
        <v>40</v>
      </c>
    </row>
    <row r="42" spans="1:2" x14ac:dyDescent="0.3">
      <c r="A42" t="s">
        <v>1663</v>
      </c>
      <c r="B42" s="93">
        <v>41</v>
      </c>
    </row>
    <row r="43" spans="1:2" x14ac:dyDescent="0.3">
      <c r="A43" t="s">
        <v>139</v>
      </c>
      <c r="B43" s="93">
        <v>42</v>
      </c>
    </row>
    <row r="44" spans="1:2" x14ac:dyDescent="0.3">
      <c r="A44" t="s">
        <v>2490</v>
      </c>
      <c r="B44" s="93">
        <v>43</v>
      </c>
    </row>
    <row r="45" spans="1:2" x14ac:dyDescent="0.3">
      <c r="A45" t="s">
        <v>155</v>
      </c>
      <c r="B45" s="93">
        <v>44</v>
      </c>
    </row>
    <row r="46" spans="1:2" x14ac:dyDescent="0.3">
      <c r="A46" t="s">
        <v>2531</v>
      </c>
      <c r="B46" s="93">
        <v>45</v>
      </c>
    </row>
    <row r="47" spans="1:2" x14ac:dyDescent="0.3">
      <c r="A47" t="s">
        <v>1386</v>
      </c>
      <c r="B47" s="93">
        <v>46</v>
      </c>
    </row>
    <row r="48" spans="1:2" x14ac:dyDescent="0.3">
      <c r="A48" t="s">
        <v>1335</v>
      </c>
      <c r="B48" s="93">
        <v>47</v>
      </c>
    </row>
    <row r="49" spans="1:2" x14ac:dyDescent="0.3">
      <c r="A49" t="s">
        <v>159</v>
      </c>
      <c r="B49" s="93">
        <v>48</v>
      </c>
    </row>
    <row r="50" spans="1:2" x14ac:dyDescent="0.3">
      <c r="A50" t="s">
        <v>1517</v>
      </c>
      <c r="B50" s="93">
        <v>49</v>
      </c>
    </row>
    <row r="51" spans="1:2" x14ac:dyDescent="0.3">
      <c r="A51" t="s">
        <v>1042</v>
      </c>
      <c r="B51" s="93">
        <v>50</v>
      </c>
    </row>
    <row r="52" spans="1:2" x14ac:dyDescent="0.3">
      <c r="A52" t="s">
        <v>1696</v>
      </c>
      <c r="B52" s="93">
        <v>51</v>
      </c>
    </row>
    <row r="53" spans="1:2" x14ac:dyDescent="0.3">
      <c r="A53" t="s">
        <v>1831</v>
      </c>
      <c r="B53" s="93">
        <v>52</v>
      </c>
    </row>
    <row r="54" spans="1:2" x14ac:dyDescent="0.3">
      <c r="A54" t="s">
        <v>1849</v>
      </c>
      <c r="B54" s="93">
        <v>53</v>
      </c>
    </row>
    <row r="55" spans="1:2" x14ac:dyDescent="0.3">
      <c r="A55" t="s">
        <v>1857</v>
      </c>
      <c r="B55" s="93">
        <v>54</v>
      </c>
    </row>
    <row r="56" spans="1:2" x14ac:dyDescent="0.3">
      <c r="A56" t="s">
        <v>952</v>
      </c>
      <c r="B56" s="93">
        <v>55</v>
      </c>
    </row>
    <row r="57" spans="1:2" x14ac:dyDescent="0.3">
      <c r="A57" t="s">
        <v>1075</v>
      </c>
      <c r="B57" s="93">
        <v>56</v>
      </c>
    </row>
    <row r="58" spans="1:2" x14ac:dyDescent="0.3">
      <c r="A58" t="s">
        <v>109</v>
      </c>
      <c r="B58" s="93">
        <v>57</v>
      </c>
    </row>
    <row r="59" spans="1:2" x14ac:dyDescent="0.3">
      <c r="A59" t="s">
        <v>129</v>
      </c>
      <c r="B59" s="93">
        <v>58</v>
      </c>
    </row>
    <row r="60" spans="1:2" x14ac:dyDescent="0.3">
      <c r="A60" t="s">
        <v>2590</v>
      </c>
      <c r="B60" s="93">
        <v>59</v>
      </c>
    </row>
    <row r="61" spans="1:2" x14ac:dyDescent="0.3">
      <c r="A61" t="s">
        <v>2623</v>
      </c>
      <c r="B61" s="93">
        <v>60</v>
      </c>
    </row>
    <row r="62" spans="1:2" x14ac:dyDescent="0.3">
      <c r="A62" t="s">
        <v>2631</v>
      </c>
      <c r="B62" s="93">
        <v>61</v>
      </c>
    </row>
    <row r="63" spans="1:2" x14ac:dyDescent="0.3">
      <c r="A63" t="s">
        <v>2639</v>
      </c>
      <c r="B63" s="93">
        <v>62</v>
      </c>
    </row>
    <row r="64" spans="1:2" x14ac:dyDescent="0.3">
      <c r="A64" t="s">
        <v>1591</v>
      </c>
      <c r="B64" s="93">
        <v>63</v>
      </c>
    </row>
    <row r="65" spans="1:2" x14ac:dyDescent="0.3">
      <c r="A65" t="s">
        <v>1873</v>
      </c>
      <c r="B65" s="93">
        <v>64</v>
      </c>
    </row>
    <row r="66" spans="1:2" x14ac:dyDescent="0.3">
      <c r="A66" t="s">
        <v>1084</v>
      </c>
      <c r="B66" s="93">
        <v>65</v>
      </c>
    </row>
    <row r="67" spans="1:2" x14ac:dyDescent="0.3">
      <c r="A67" t="s">
        <v>135</v>
      </c>
      <c r="B67" s="93">
        <v>66</v>
      </c>
    </row>
    <row r="68" spans="1:2" x14ac:dyDescent="0.3">
      <c r="A68" t="s">
        <v>133</v>
      </c>
      <c r="B68" s="93">
        <v>67</v>
      </c>
    </row>
    <row r="69" spans="1:2" x14ac:dyDescent="0.3">
      <c r="A69" t="s">
        <v>2029</v>
      </c>
      <c r="B69" s="93">
        <v>68</v>
      </c>
    </row>
    <row r="70" spans="1:2" x14ac:dyDescent="0.3">
      <c r="A70" t="s">
        <v>2095</v>
      </c>
      <c r="B70" s="93">
        <v>69</v>
      </c>
    </row>
    <row r="71" spans="1:2" x14ac:dyDescent="0.3">
      <c r="A71" t="s">
        <v>2194</v>
      </c>
      <c r="B71" s="93">
        <v>70</v>
      </c>
    </row>
    <row r="72" spans="1:2" x14ac:dyDescent="0.3">
      <c r="A72" t="s">
        <v>2482</v>
      </c>
      <c r="B72" s="93">
        <v>71</v>
      </c>
    </row>
    <row r="73" spans="1:2" x14ac:dyDescent="0.3">
      <c r="A73" t="s">
        <v>173</v>
      </c>
      <c r="B73" s="93">
        <v>72</v>
      </c>
    </row>
    <row r="74" spans="1:2" x14ac:dyDescent="0.3">
      <c r="A74" t="s">
        <v>2294</v>
      </c>
      <c r="B74" s="93">
        <v>73</v>
      </c>
    </row>
    <row r="75" spans="1:2" x14ac:dyDescent="0.3">
      <c r="A75" t="s">
        <v>2302</v>
      </c>
      <c r="B75" s="93">
        <v>74</v>
      </c>
    </row>
    <row r="76" spans="1:2" x14ac:dyDescent="0.3">
      <c r="A76" t="s">
        <v>1731</v>
      </c>
      <c r="B76" s="93">
        <v>75</v>
      </c>
    </row>
    <row r="77" spans="1:2" x14ac:dyDescent="0.3">
      <c r="A77" t="s">
        <v>1812</v>
      </c>
      <c r="B77" s="93">
        <v>76</v>
      </c>
    </row>
    <row r="78" spans="1:2" x14ac:dyDescent="0.3">
      <c r="A78" t="s">
        <v>2397</v>
      </c>
      <c r="B78" s="93">
        <v>77</v>
      </c>
    </row>
    <row r="79" spans="1:2" x14ac:dyDescent="0.3">
      <c r="A79" t="s">
        <v>1574</v>
      </c>
      <c r="B79" s="93">
        <v>78</v>
      </c>
    </row>
    <row r="80" spans="1:2" x14ac:dyDescent="0.3">
      <c r="A80" t="s">
        <v>1688</v>
      </c>
      <c r="B80" s="93">
        <v>79</v>
      </c>
    </row>
    <row r="81" spans="1:2" x14ac:dyDescent="0.3">
      <c r="A81" t="s">
        <v>1762</v>
      </c>
      <c r="B81" s="93">
        <v>80</v>
      </c>
    </row>
    <row r="82" spans="1:2" x14ac:dyDescent="0.3">
      <c r="A82" t="s">
        <v>1865</v>
      </c>
      <c r="B82" s="93">
        <v>81</v>
      </c>
    </row>
    <row r="83" spans="1:2" x14ac:dyDescent="0.3">
      <c r="A83" t="s">
        <v>1933</v>
      </c>
      <c r="B83" s="93">
        <v>82</v>
      </c>
    </row>
    <row r="84" spans="1:2" x14ac:dyDescent="0.3">
      <c r="A84" t="s">
        <v>1942</v>
      </c>
      <c r="B84" s="93">
        <v>83</v>
      </c>
    </row>
    <row r="85" spans="1:2" x14ac:dyDescent="0.3">
      <c r="A85" t="s">
        <v>1355</v>
      </c>
      <c r="B85" s="93">
        <v>84</v>
      </c>
    </row>
    <row r="86" spans="1:2" x14ac:dyDescent="0.3">
      <c r="A86" t="s">
        <v>105</v>
      </c>
      <c r="B86" s="93">
        <v>85</v>
      </c>
    </row>
    <row r="87" spans="1:2" x14ac:dyDescent="0.3">
      <c r="A87" t="s">
        <v>1984</v>
      </c>
      <c r="B87" s="93">
        <v>86</v>
      </c>
    </row>
    <row r="88" spans="1:2" x14ac:dyDescent="0.3">
      <c r="A88" t="s">
        <v>2078</v>
      </c>
      <c r="B88" s="93">
        <v>87</v>
      </c>
    </row>
    <row r="89" spans="1:2" x14ac:dyDescent="0.3">
      <c r="A89" t="s">
        <v>2705</v>
      </c>
      <c r="B89" s="93">
        <v>88</v>
      </c>
    </row>
    <row r="90" spans="1:2" x14ac:dyDescent="0.3">
      <c r="A90" t="s">
        <v>1618</v>
      </c>
      <c r="B90" s="93">
        <v>89</v>
      </c>
    </row>
    <row r="91" spans="1:2" x14ac:dyDescent="0.3">
      <c r="A91" t="s">
        <v>1891</v>
      </c>
      <c r="B91" s="93">
        <v>90</v>
      </c>
    </row>
    <row r="92" spans="1:2" x14ac:dyDescent="0.3">
      <c r="A92" t="s">
        <v>1168</v>
      </c>
      <c r="B92" s="93">
        <v>91</v>
      </c>
    </row>
    <row r="93" spans="1:2" x14ac:dyDescent="0.3">
      <c r="A93" t="s">
        <v>1065</v>
      </c>
      <c r="B93" s="93">
        <v>92</v>
      </c>
    </row>
    <row r="94" spans="1:2" x14ac:dyDescent="0.3">
      <c r="A94" t="s">
        <v>2523</v>
      </c>
      <c r="B94" s="93">
        <v>93</v>
      </c>
    </row>
    <row r="95" spans="1:2" x14ac:dyDescent="0.3">
      <c r="A95" t="s">
        <v>2656</v>
      </c>
      <c r="B95" s="93">
        <v>94</v>
      </c>
    </row>
    <row r="96" spans="1:2" x14ac:dyDescent="0.3">
      <c r="A96" t="s">
        <v>1958</v>
      </c>
      <c r="B96" s="93">
        <v>95</v>
      </c>
    </row>
    <row r="97" spans="1:2" x14ac:dyDescent="0.3">
      <c r="A97" t="s">
        <v>971</v>
      </c>
      <c r="B97" s="93">
        <v>96</v>
      </c>
    </row>
    <row r="98" spans="1:2" x14ac:dyDescent="0.3">
      <c r="A98" t="s">
        <v>1289</v>
      </c>
      <c r="B98" s="93">
        <v>97</v>
      </c>
    </row>
    <row r="99" spans="1:2" x14ac:dyDescent="0.3">
      <c r="A99" t="s">
        <v>91</v>
      </c>
      <c r="B99" s="93">
        <v>98</v>
      </c>
    </row>
    <row r="100" spans="1:2" x14ac:dyDescent="0.3">
      <c r="A100" t="s">
        <v>77</v>
      </c>
      <c r="B100" s="93">
        <v>99</v>
      </c>
    </row>
    <row r="101" spans="1:2" x14ac:dyDescent="0.3">
      <c r="A101" t="s">
        <v>2696</v>
      </c>
      <c r="B101" s="93">
        <v>100</v>
      </c>
    </row>
    <row r="102" spans="1:2" x14ac:dyDescent="0.3">
      <c r="A102" t="s">
        <v>1627</v>
      </c>
      <c r="B102" s="93">
        <v>101</v>
      </c>
    </row>
    <row r="103" spans="1:2" x14ac:dyDescent="0.3">
      <c r="A103" t="s">
        <v>1644</v>
      </c>
      <c r="B103" s="93">
        <v>102</v>
      </c>
    </row>
    <row r="104" spans="1:2" x14ac:dyDescent="0.3">
      <c r="A104" t="s">
        <v>1680</v>
      </c>
      <c r="B104" s="93">
        <v>103</v>
      </c>
    </row>
    <row r="105" spans="1:2" x14ac:dyDescent="0.3">
      <c r="A105" t="s">
        <v>1839</v>
      </c>
      <c r="B105" s="93">
        <v>104</v>
      </c>
    </row>
    <row r="106" spans="1:2" x14ac:dyDescent="0.3">
      <c r="A106" t="s">
        <v>153</v>
      </c>
      <c r="B106" s="93">
        <v>105</v>
      </c>
    </row>
    <row r="107" spans="1:2" x14ac:dyDescent="0.3">
      <c r="A107" t="s">
        <v>2286</v>
      </c>
      <c r="B107" s="93">
        <v>106</v>
      </c>
    </row>
    <row r="108" spans="1:2" x14ac:dyDescent="0.3">
      <c r="A108" t="s">
        <v>2363</v>
      </c>
      <c r="B108" s="93">
        <v>107</v>
      </c>
    </row>
    <row r="109" spans="1:2" x14ac:dyDescent="0.3">
      <c r="A109" t="s">
        <v>2464</v>
      </c>
      <c r="B109" s="93">
        <v>108</v>
      </c>
    </row>
    <row r="110" spans="1:2" x14ac:dyDescent="0.3">
      <c r="A110" t="s">
        <v>2599</v>
      </c>
      <c r="B110" s="93">
        <v>109</v>
      </c>
    </row>
    <row r="111" spans="1:2" x14ac:dyDescent="0.3">
      <c r="A111" t="s">
        <v>75</v>
      </c>
      <c r="B111" s="93">
        <v>110</v>
      </c>
    </row>
    <row r="112" spans="1:2" x14ac:dyDescent="0.3">
      <c r="A112" t="s">
        <v>1542</v>
      </c>
      <c r="B112" s="93">
        <v>111</v>
      </c>
    </row>
    <row r="113" spans="1:2" x14ac:dyDescent="0.3">
      <c r="A113" t="s">
        <v>1559</v>
      </c>
      <c r="B113" s="93">
        <v>112</v>
      </c>
    </row>
    <row r="114" spans="1:2" x14ac:dyDescent="0.3">
      <c r="A114" t="s">
        <v>1788</v>
      </c>
      <c r="B114" s="93">
        <v>113</v>
      </c>
    </row>
    <row r="115" spans="1:2" x14ac:dyDescent="0.3">
      <c r="A115" t="s">
        <v>1011</v>
      </c>
      <c r="B115" s="93">
        <v>114</v>
      </c>
    </row>
    <row r="116" spans="1:2" x14ac:dyDescent="0.3">
      <c r="A116" t="s">
        <v>89</v>
      </c>
      <c r="B116" s="93">
        <v>115</v>
      </c>
    </row>
    <row r="117" spans="1:2" x14ac:dyDescent="0.3">
      <c r="A117" t="s">
        <v>2111</v>
      </c>
      <c r="B117" s="93">
        <v>116</v>
      </c>
    </row>
    <row r="118" spans="1:2" x14ac:dyDescent="0.3">
      <c r="A118" t="s">
        <v>2318</v>
      </c>
      <c r="B118" s="93">
        <v>117</v>
      </c>
    </row>
    <row r="119" spans="1:2" x14ac:dyDescent="0.3">
      <c r="A119" t="s">
        <v>1526</v>
      </c>
      <c r="B119" s="93">
        <v>118</v>
      </c>
    </row>
    <row r="120" spans="1:2" x14ac:dyDescent="0.3">
      <c r="A120" t="s">
        <v>151</v>
      </c>
      <c r="B120" s="93">
        <v>119</v>
      </c>
    </row>
    <row r="121" spans="1:2" x14ac:dyDescent="0.3">
      <c r="A121" t="s">
        <v>2070</v>
      </c>
      <c r="B121" s="93">
        <v>120</v>
      </c>
    </row>
    <row r="122" spans="1:2" x14ac:dyDescent="0.3">
      <c r="A122" t="s">
        <v>2269</v>
      </c>
      <c r="B122" s="93">
        <v>121</v>
      </c>
    </row>
    <row r="123" spans="1:2" x14ac:dyDescent="0.3">
      <c r="A123" t="s">
        <v>1770</v>
      </c>
      <c r="B123" s="93">
        <v>122</v>
      </c>
    </row>
    <row r="124" spans="1:2" x14ac:dyDescent="0.3">
      <c r="A124" t="s">
        <v>1804</v>
      </c>
      <c r="B124" s="93">
        <v>123</v>
      </c>
    </row>
    <row r="125" spans="1:2" x14ac:dyDescent="0.3">
      <c r="A125" t="s">
        <v>2261</v>
      </c>
      <c r="B125" s="93">
        <v>124</v>
      </c>
    </row>
    <row r="126" spans="1:2" x14ac:dyDescent="0.3">
      <c r="A126" t="s">
        <v>1924</v>
      </c>
      <c r="B126" s="93">
        <v>125</v>
      </c>
    </row>
    <row r="127" spans="1:2" x14ac:dyDescent="0.3">
      <c r="A127" t="s">
        <v>1976</v>
      </c>
      <c r="B127" s="93">
        <v>126</v>
      </c>
    </row>
    <row r="128" spans="1:2" x14ac:dyDescent="0.3">
      <c r="A128" t="s">
        <v>131</v>
      </c>
      <c r="B128" s="93">
        <v>127</v>
      </c>
    </row>
    <row r="129" spans="1:2" x14ac:dyDescent="0.3">
      <c r="A129" t="s">
        <v>115</v>
      </c>
      <c r="B129" s="93">
        <v>128</v>
      </c>
    </row>
    <row r="130" spans="1:2" x14ac:dyDescent="0.3">
      <c r="A130" t="s">
        <v>2211</v>
      </c>
      <c r="B130" s="93">
        <v>129</v>
      </c>
    </row>
    <row r="131" spans="1:2" x14ac:dyDescent="0.3">
      <c r="A131" t="s">
        <v>2243</v>
      </c>
      <c r="B131" s="93">
        <v>130</v>
      </c>
    </row>
    <row r="132" spans="1:2" x14ac:dyDescent="0.3">
      <c r="A132" t="s">
        <v>2252</v>
      </c>
      <c r="B132" s="93">
        <v>131</v>
      </c>
    </row>
    <row r="133" spans="1:2" x14ac:dyDescent="0.3">
      <c r="A133" t="s">
        <v>2355</v>
      </c>
      <c r="B133" s="93">
        <v>132</v>
      </c>
    </row>
    <row r="134" spans="1:2" x14ac:dyDescent="0.3">
      <c r="A134" t="s">
        <v>2379</v>
      </c>
      <c r="B134" s="93">
        <v>133</v>
      </c>
    </row>
    <row r="135" spans="1:2" x14ac:dyDescent="0.3">
      <c r="A135" t="s">
        <v>83</v>
      </c>
      <c r="B135" s="93">
        <v>134</v>
      </c>
    </row>
    <row r="136" spans="1:2" x14ac:dyDescent="0.3">
      <c r="A136" t="s">
        <v>2498</v>
      </c>
      <c r="B136" s="93">
        <v>135</v>
      </c>
    </row>
    <row r="137" spans="1:2" x14ac:dyDescent="0.3">
      <c r="A137" t="s">
        <v>2539</v>
      </c>
      <c r="B137" s="93">
        <v>136</v>
      </c>
    </row>
    <row r="138" spans="1:2" x14ac:dyDescent="0.3">
      <c r="A138" t="s">
        <v>2547</v>
      </c>
      <c r="B138" s="93">
        <v>137</v>
      </c>
    </row>
    <row r="139" spans="1:2" x14ac:dyDescent="0.3">
      <c r="A139" t="s">
        <v>2688</v>
      </c>
      <c r="B139" s="93">
        <v>138</v>
      </c>
    </row>
    <row r="140" spans="1:2" x14ac:dyDescent="0.3">
      <c r="A140" t="s">
        <v>1752</v>
      </c>
      <c r="B140" s="93">
        <v>139</v>
      </c>
    </row>
    <row r="141" spans="1:2" x14ac:dyDescent="0.3">
      <c r="A141" t="s">
        <v>1496</v>
      </c>
      <c r="B141" s="93">
        <v>140</v>
      </c>
    </row>
    <row r="142" spans="1:2" x14ac:dyDescent="0.3">
      <c r="A142" t="s">
        <v>1534</v>
      </c>
      <c r="B142" s="93">
        <v>141</v>
      </c>
    </row>
    <row r="143" spans="1:2" x14ac:dyDescent="0.3">
      <c r="A143" t="s">
        <v>1780</v>
      </c>
      <c r="B143" s="93">
        <v>142</v>
      </c>
    </row>
    <row r="144" spans="1:2" x14ac:dyDescent="0.3">
      <c r="A144" t="s">
        <v>1117</v>
      </c>
      <c r="B144" s="93">
        <v>143</v>
      </c>
    </row>
    <row r="145" spans="1:2" x14ac:dyDescent="0.3">
      <c r="A145" t="s">
        <v>1422</v>
      </c>
      <c r="B145" s="93">
        <v>144</v>
      </c>
    </row>
    <row r="146" spans="1:2" x14ac:dyDescent="0.3">
      <c r="A146" t="s">
        <v>2572</v>
      </c>
      <c r="B146" s="93">
        <v>145</v>
      </c>
    </row>
    <row r="147" spans="1:2" x14ac:dyDescent="0.3">
      <c r="A147" t="s">
        <v>1105</v>
      </c>
      <c r="B147" s="93">
        <v>146</v>
      </c>
    </row>
    <row r="148" spans="1:2" x14ac:dyDescent="0.3">
      <c r="A148" t="s">
        <v>71</v>
      </c>
      <c r="B148" s="93">
        <v>147</v>
      </c>
    </row>
    <row r="149" spans="1:2" x14ac:dyDescent="0.3">
      <c r="A149" t="s">
        <v>1176</v>
      </c>
      <c r="B149" s="93">
        <v>148</v>
      </c>
    </row>
    <row r="150" spans="1:2" x14ac:dyDescent="0.3">
      <c r="A150" t="s">
        <v>2054</v>
      </c>
      <c r="B150" s="93">
        <v>149</v>
      </c>
    </row>
    <row r="151" spans="1:2" x14ac:dyDescent="0.3">
      <c r="A151" t="s">
        <v>1186</v>
      </c>
      <c r="B151" s="93">
        <v>150</v>
      </c>
    </row>
    <row r="152" spans="1:2" x14ac:dyDescent="0.3">
      <c r="A152" t="s">
        <v>1741</v>
      </c>
      <c r="B152" s="93">
        <v>151</v>
      </c>
    </row>
    <row r="153" spans="1:2" x14ac:dyDescent="0.3">
      <c r="A153" t="s">
        <v>2515</v>
      </c>
      <c r="B153" s="93">
        <v>152</v>
      </c>
    </row>
    <row r="154" spans="1:2" x14ac:dyDescent="0.3">
      <c r="A154" t="s">
        <v>107</v>
      </c>
      <c r="B154" s="93">
        <v>153</v>
      </c>
    </row>
    <row r="155" spans="1:2" x14ac:dyDescent="0.3">
      <c r="A155" t="s">
        <v>2580</v>
      </c>
      <c r="B155" s="93">
        <v>154</v>
      </c>
    </row>
    <row r="156" spans="1:2" x14ac:dyDescent="0.3">
      <c r="A156" t="s">
        <v>119</v>
      </c>
      <c r="B156" s="93">
        <v>155</v>
      </c>
    </row>
    <row r="157" spans="1:2" x14ac:dyDescent="0.3">
      <c r="A157" t="s">
        <v>1250</v>
      </c>
      <c r="B157" s="93">
        <v>156</v>
      </c>
    </row>
    <row r="158" spans="1:2" x14ac:dyDescent="0.3">
      <c r="A158" t="s">
        <v>1308</v>
      </c>
      <c r="B158" s="93">
        <v>157</v>
      </c>
    </row>
    <row r="159" spans="1:2" x14ac:dyDescent="0.3">
      <c r="A159" t="s">
        <v>165</v>
      </c>
      <c r="B159" s="93">
        <v>158</v>
      </c>
    </row>
    <row r="160" spans="1:2" x14ac:dyDescent="0.3">
      <c r="A160" t="s">
        <v>1206</v>
      </c>
      <c r="B160" s="93">
        <v>159</v>
      </c>
    </row>
    <row r="161" spans="1:2" x14ac:dyDescent="0.3">
      <c r="A161" t="s">
        <v>97</v>
      </c>
      <c r="B161" s="93">
        <v>160</v>
      </c>
    </row>
    <row r="162" spans="1:2" x14ac:dyDescent="0.3">
      <c r="A162" t="s">
        <v>2455</v>
      </c>
      <c r="B162" s="93">
        <v>161</v>
      </c>
    </row>
    <row r="163" spans="1:2" x14ac:dyDescent="0.3">
      <c r="A163" t="s">
        <v>125</v>
      </c>
      <c r="B163" s="93">
        <v>162</v>
      </c>
    </row>
    <row r="164" spans="1:2" x14ac:dyDescent="0.3">
      <c r="A164" t="s">
        <v>1412</v>
      </c>
      <c r="B164" s="93">
        <v>163</v>
      </c>
    </row>
    <row r="165" spans="1:2" x14ac:dyDescent="0.3">
      <c r="A165" t="s">
        <v>149</v>
      </c>
      <c r="B165" s="93">
        <v>164</v>
      </c>
    </row>
    <row r="166" spans="1:2" x14ac:dyDescent="0.3">
      <c r="A166" t="s">
        <v>1404</v>
      </c>
      <c r="B166" s="93">
        <v>165</v>
      </c>
    </row>
    <row r="167" spans="1:2" x14ac:dyDescent="0.3">
      <c r="A167" t="s">
        <v>69</v>
      </c>
      <c r="B167" s="93">
        <v>166</v>
      </c>
    </row>
    <row r="168" spans="1:2" x14ac:dyDescent="0.3">
      <c r="A168" t="s">
        <v>1460</v>
      </c>
      <c r="B168" s="93">
        <v>167</v>
      </c>
    </row>
    <row r="169" spans="1:2" x14ac:dyDescent="0.3">
      <c r="A169" t="s">
        <v>1238</v>
      </c>
      <c r="B169" s="93">
        <v>168</v>
      </c>
    </row>
    <row r="170" spans="1:2" x14ac:dyDescent="0.3">
      <c r="A170" t="s">
        <v>123</v>
      </c>
      <c r="B170" s="93">
        <v>169</v>
      </c>
    </row>
    <row r="171" spans="1:2" x14ac:dyDescent="0.3">
      <c r="A171" t="s">
        <v>2737</v>
      </c>
      <c r="B171" s="93">
        <v>170</v>
      </c>
    </row>
    <row r="172" spans="1:2" x14ac:dyDescent="0.3">
      <c r="A172" t="s">
        <v>1822</v>
      </c>
      <c r="B172" s="93">
        <v>171</v>
      </c>
    </row>
    <row r="173" spans="1:2" x14ac:dyDescent="0.3">
      <c r="A173" t="s">
        <v>1882</v>
      </c>
      <c r="B173" s="93">
        <v>172</v>
      </c>
    </row>
    <row r="174" spans="1:2" x14ac:dyDescent="0.3">
      <c r="A174" t="s">
        <v>1899</v>
      </c>
      <c r="B174" s="93">
        <v>173</v>
      </c>
    </row>
    <row r="175" spans="1:2" x14ac:dyDescent="0.3">
      <c r="A175" t="s">
        <v>1908</v>
      </c>
      <c r="B175" s="93">
        <v>174</v>
      </c>
    </row>
    <row r="176" spans="1:2" x14ac:dyDescent="0.3">
      <c r="A176" t="s">
        <v>81</v>
      </c>
      <c r="B176" s="93">
        <v>175</v>
      </c>
    </row>
    <row r="177" spans="1:2" x14ac:dyDescent="0.3">
      <c r="A177" t="s">
        <v>2045</v>
      </c>
      <c r="B177" s="93">
        <v>176</v>
      </c>
    </row>
    <row r="178" spans="1:2" x14ac:dyDescent="0.3">
      <c r="A178" t="s">
        <v>2227</v>
      </c>
      <c r="B178" s="93">
        <v>177</v>
      </c>
    </row>
    <row r="179" spans="1:2" x14ac:dyDescent="0.3">
      <c r="A179" t="s">
        <v>181</v>
      </c>
      <c r="B179" s="93">
        <v>178</v>
      </c>
    </row>
    <row r="180" spans="1:2" x14ac:dyDescent="0.3">
      <c r="A180" t="s">
        <v>2388</v>
      </c>
      <c r="B180" s="93">
        <v>179</v>
      </c>
    </row>
    <row r="181" spans="1:2" x14ac:dyDescent="0.3">
      <c r="A181" t="s">
        <v>1476</v>
      </c>
      <c r="B181" s="93">
        <v>180</v>
      </c>
    </row>
    <row r="182" spans="1:2" x14ac:dyDescent="0.3">
      <c r="A182" t="s">
        <v>1032</v>
      </c>
      <c r="B182" s="93">
        <v>181</v>
      </c>
    </row>
    <row r="183" spans="1:2" x14ac:dyDescent="0.3">
      <c r="A183" t="s">
        <v>1567</v>
      </c>
      <c r="B183" s="93">
        <v>182</v>
      </c>
    </row>
    <row r="184" spans="1:2" x14ac:dyDescent="0.3">
      <c r="A184" t="s">
        <v>1636</v>
      </c>
      <c r="B184" s="93">
        <v>183</v>
      </c>
    </row>
    <row r="185" spans="1:2" x14ac:dyDescent="0.3">
      <c r="A185" t="s">
        <v>145</v>
      </c>
      <c r="B185" s="93">
        <v>184</v>
      </c>
    </row>
    <row r="186" spans="1:2" x14ac:dyDescent="0.3">
      <c r="A186" t="s">
        <v>1094</v>
      </c>
      <c r="B186" s="93">
        <v>185</v>
      </c>
    </row>
    <row r="187" spans="1:2" x14ac:dyDescent="0.3">
      <c r="A187" t="s">
        <v>2555</v>
      </c>
      <c r="B187" s="93">
        <v>186</v>
      </c>
    </row>
    <row r="188" spans="1:2" x14ac:dyDescent="0.3">
      <c r="A188" t="s">
        <v>2615</v>
      </c>
      <c r="B188" s="93">
        <v>187</v>
      </c>
    </row>
    <row r="189" spans="1:2" x14ac:dyDescent="0.3">
      <c r="A189" t="s">
        <v>2713</v>
      </c>
      <c r="B189" s="93">
        <v>188</v>
      </c>
    </row>
    <row r="190" spans="1:2" x14ac:dyDescent="0.3">
      <c r="A190" t="s">
        <v>1583</v>
      </c>
      <c r="B190" s="93">
        <v>189</v>
      </c>
    </row>
    <row r="191" spans="1:2" x14ac:dyDescent="0.3">
      <c r="A191" t="s">
        <v>2119</v>
      </c>
      <c r="B191" s="93">
        <v>190</v>
      </c>
    </row>
    <row r="192" spans="1:2" x14ac:dyDescent="0.3">
      <c r="A192" t="s">
        <v>2235</v>
      </c>
      <c r="B192" s="93">
        <v>191</v>
      </c>
    </row>
    <row r="193" spans="1:2" x14ac:dyDescent="0.3">
      <c r="A193" t="s">
        <v>1298</v>
      </c>
      <c r="B193" s="93">
        <v>192</v>
      </c>
    </row>
    <row r="194" spans="1:2" x14ac:dyDescent="0.3">
      <c r="A194" t="s">
        <v>1021</v>
      </c>
      <c r="B194" s="93">
        <v>193</v>
      </c>
    </row>
    <row r="195" spans="1:2" x14ac:dyDescent="0.3">
      <c r="A195" t="s">
        <v>2672</v>
      </c>
      <c r="B195" s="93">
        <v>194</v>
      </c>
    </row>
    <row r="196" spans="1:2" x14ac:dyDescent="0.3">
      <c r="A196" t="s">
        <v>2167</v>
      </c>
      <c r="B196" s="93">
        <v>195</v>
      </c>
    </row>
    <row r="197" spans="1:2" x14ac:dyDescent="0.3">
      <c r="A197" t="s">
        <v>2346</v>
      </c>
      <c r="B197" s="93">
        <v>196</v>
      </c>
    </row>
    <row r="198" spans="1:2" x14ac:dyDescent="0.3">
      <c r="A198" t="s">
        <v>93</v>
      </c>
      <c r="B198" s="93">
        <v>197</v>
      </c>
    </row>
    <row r="199" spans="1:2" x14ac:dyDescent="0.3">
      <c r="A199" t="s">
        <v>2745</v>
      </c>
      <c r="B199" s="93">
        <v>198</v>
      </c>
    </row>
    <row r="200" spans="1:2" x14ac:dyDescent="0.3">
      <c r="A200" t="s">
        <v>2148</v>
      </c>
      <c r="B200" s="93">
        <v>199</v>
      </c>
    </row>
    <row r="201" spans="1:2" x14ac:dyDescent="0.3">
      <c r="A201" t="s">
        <v>1671</v>
      </c>
      <c r="B201" s="93">
        <v>200</v>
      </c>
    </row>
    <row r="202" spans="1:2" x14ac:dyDescent="0.3">
      <c r="A202" t="s">
        <v>2159</v>
      </c>
      <c r="B202" s="93">
        <v>201</v>
      </c>
    </row>
    <row r="203" spans="1:2" x14ac:dyDescent="0.3">
      <c r="A203" t="s">
        <v>2185</v>
      </c>
      <c r="B203" s="93">
        <v>202</v>
      </c>
    </row>
    <row r="204" spans="1:2" x14ac:dyDescent="0.3">
      <c r="A204" t="s">
        <v>2203</v>
      </c>
      <c r="B204" s="93">
        <v>203</v>
      </c>
    </row>
    <row r="205" spans="1:2" x14ac:dyDescent="0.3">
      <c r="A205" t="s">
        <v>157</v>
      </c>
      <c r="B205" s="93">
        <v>204</v>
      </c>
    </row>
    <row r="206" spans="1:2" x14ac:dyDescent="0.3">
      <c r="A206" t="s">
        <v>940</v>
      </c>
      <c r="B206" s="93">
        <v>205</v>
      </c>
    </row>
    <row r="207" spans="1:2" x14ac:dyDescent="0.3">
      <c r="A207" t="s">
        <v>1226</v>
      </c>
      <c r="B207" s="93">
        <v>206</v>
      </c>
    </row>
    <row r="208" spans="1:2" x14ac:dyDescent="0.3">
      <c r="A208" t="s">
        <v>1441</v>
      </c>
      <c r="B208" s="93">
        <v>207</v>
      </c>
    </row>
    <row r="209" spans="1:2" x14ac:dyDescent="0.3">
      <c r="A209" t="s">
        <v>1468</v>
      </c>
      <c r="B209" s="93">
        <v>208</v>
      </c>
    </row>
    <row r="210" spans="1:2" x14ac:dyDescent="0.3">
      <c r="A210" t="s">
        <v>1344</v>
      </c>
      <c r="B210" s="93">
        <v>209</v>
      </c>
    </row>
    <row r="211" spans="1:2" x14ac:dyDescent="0.3">
      <c r="A211" t="s">
        <v>1157</v>
      </c>
      <c r="B211" s="93">
        <v>210</v>
      </c>
    </row>
    <row r="212" spans="1:2" x14ac:dyDescent="0.3">
      <c r="A212" t="s">
        <v>1966</v>
      </c>
      <c r="B212" s="93">
        <v>211</v>
      </c>
    </row>
    <row r="213" spans="1:2" x14ac:dyDescent="0.3">
      <c r="A213" t="s">
        <v>2019</v>
      </c>
      <c r="B213" s="93">
        <v>212</v>
      </c>
    </row>
    <row r="214" spans="1:2" x14ac:dyDescent="0.3">
      <c r="A214" t="s">
        <v>2721</v>
      </c>
      <c r="B214" s="93">
        <v>213</v>
      </c>
    </row>
    <row r="215" spans="1:2" x14ac:dyDescent="0.3">
      <c r="A215" t="s">
        <v>1365</v>
      </c>
      <c r="B215" s="93">
        <v>214</v>
      </c>
    </row>
    <row r="216" spans="1:2" x14ac:dyDescent="0.3">
      <c r="A216" t="s">
        <v>1127</v>
      </c>
      <c r="B216" s="93">
        <v>215</v>
      </c>
    </row>
    <row r="217" spans="1:2" x14ac:dyDescent="0.3">
      <c r="A217" t="s">
        <v>2729</v>
      </c>
      <c r="B217" s="93">
        <v>216</v>
      </c>
    </row>
    <row r="218" spans="1:2" x14ac:dyDescent="0.3">
      <c r="A218" t="s">
        <v>1325</v>
      </c>
      <c r="B218" s="93">
        <v>217</v>
      </c>
    </row>
    <row r="219" spans="1:2" x14ac:dyDescent="0.3">
      <c r="A219" t="s">
        <v>163</v>
      </c>
      <c r="B219" s="93">
        <v>218</v>
      </c>
    </row>
    <row r="220" spans="1:2" x14ac:dyDescent="0.3">
      <c r="A220" t="s">
        <v>147</v>
      </c>
      <c r="B220" s="93">
        <v>219</v>
      </c>
    </row>
    <row r="221" spans="1:2" x14ac:dyDescent="0.3">
      <c r="A221" t="s">
        <v>103</v>
      </c>
      <c r="B221" s="93">
        <v>220</v>
      </c>
    </row>
    <row r="222" spans="1:2" x14ac:dyDescent="0.3">
      <c r="A222" t="s">
        <v>127</v>
      </c>
      <c r="B222" s="93">
        <v>221</v>
      </c>
    </row>
    <row r="223" spans="1:2" x14ac:dyDescent="0.3">
      <c r="A223" t="s">
        <v>2086</v>
      </c>
      <c r="B223" s="93">
        <v>222</v>
      </c>
    </row>
    <row r="224" spans="1:2" x14ac:dyDescent="0.3">
      <c r="A224" t="s">
        <v>1268</v>
      </c>
      <c r="B224" s="93">
        <v>223</v>
      </c>
    </row>
    <row r="225" spans="1:2" x14ac:dyDescent="0.3">
      <c r="A225" t="s">
        <v>1137</v>
      </c>
      <c r="B225" s="93">
        <v>224</v>
      </c>
    </row>
    <row r="226" spans="1:2" x14ac:dyDescent="0.3">
      <c r="A226" t="s">
        <v>1599</v>
      </c>
      <c r="B226" s="93">
        <v>225</v>
      </c>
    </row>
    <row r="227" spans="1:2" x14ac:dyDescent="0.3">
      <c r="A227" t="s">
        <v>1714</v>
      </c>
      <c r="B227" s="93">
        <v>226</v>
      </c>
    </row>
    <row r="228" spans="1:2" x14ac:dyDescent="0.3">
      <c r="A228" t="s">
        <v>1950</v>
      </c>
      <c r="B228" s="93">
        <v>227</v>
      </c>
    </row>
    <row r="229" spans="1:2" x14ac:dyDescent="0.3">
      <c r="A229" t="s">
        <v>2506</v>
      </c>
      <c r="B229" s="93">
        <v>228</v>
      </c>
    </row>
    <row r="230" spans="1:2" x14ac:dyDescent="0.3">
      <c r="A230" t="s">
        <v>1259</v>
      </c>
      <c r="B230" s="93">
        <v>229</v>
      </c>
    </row>
    <row r="231" spans="1:2" x14ac:dyDescent="0.3">
      <c r="A231" t="s">
        <v>981</v>
      </c>
      <c r="B231" s="93">
        <v>230</v>
      </c>
    </row>
    <row r="232" spans="1:2" x14ac:dyDescent="0.3">
      <c r="A232" t="s">
        <v>2128</v>
      </c>
      <c r="B232" s="93">
        <v>231</v>
      </c>
    </row>
    <row r="233" spans="1:2" x14ac:dyDescent="0.3">
      <c r="A233" t="s">
        <v>2445</v>
      </c>
      <c r="B233" s="93">
        <v>232</v>
      </c>
    </row>
    <row r="234" spans="1:2" x14ac:dyDescent="0.3">
      <c r="A234" t="s">
        <v>991</v>
      </c>
      <c r="B234" s="93">
        <v>233</v>
      </c>
    </row>
    <row r="235" spans="1:2" x14ac:dyDescent="0.3">
      <c r="A235" t="s">
        <v>1704</v>
      </c>
      <c r="B235" s="93">
        <v>234</v>
      </c>
    </row>
    <row r="236" spans="1:2" x14ac:dyDescent="0.3">
      <c r="A236" t="s">
        <v>2002</v>
      </c>
      <c r="B236" s="93">
        <v>235</v>
      </c>
    </row>
    <row r="237" spans="1:2" x14ac:dyDescent="0.3">
      <c r="A237" t="s">
        <v>2103</v>
      </c>
      <c r="B237" s="93">
        <v>236</v>
      </c>
    </row>
    <row r="238" spans="1:2" x14ac:dyDescent="0.3">
      <c r="A238" t="s">
        <v>2564</v>
      </c>
      <c r="B238" s="93">
        <v>237</v>
      </c>
    </row>
    <row r="239" spans="1:2" x14ac:dyDescent="0.3">
      <c r="A239" t="s">
        <v>2607</v>
      </c>
      <c r="B239" s="93">
        <v>238</v>
      </c>
    </row>
    <row r="240" spans="1:2" x14ac:dyDescent="0.3">
      <c r="A240" t="s">
        <v>2175</v>
      </c>
      <c r="B240" s="93">
        <v>239</v>
      </c>
    </row>
    <row r="241" spans="1:2" x14ac:dyDescent="0.3">
      <c r="A241" t="s">
        <v>2138</v>
      </c>
      <c r="B241" s="93">
        <v>240</v>
      </c>
    </row>
    <row r="242" spans="1:2" x14ac:dyDescent="0.3">
      <c r="A242" t="s">
        <v>2219</v>
      </c>
      <c r="B242" s="93">
        <v>241</v>
      </c>
    </row>
    <row r="243" spans="1:2" x14ac:dyDescent="0.3">
      <c r="A243" t="s">
        <v>2371</v>
      </c>
      <c r="B243" s="93">
        <v>242</v>
      </c>
    </row>
    <row r="244" spans="1:2" x14ac:dyDescent="0.3">
      <c r="A244" t="s">
        <v>85</v>
      </c>
      <c r="B244" s="93">
        <v>243</v>
      </c>
    </row>
    <row r="245" spans="1:2" x14ac:dyDescent="0.3">
      <c r="A245" t="s">
        <v>2037</v>
      </c>
      <c r="B245" s="93">
        <v>244</v>
      </c>
    </row>
    <row r="246" spans="1:2" x14ac:dyDescent="0.3">
      <c r="A246" t="s">
        <v>2327</v>
      </c>
      <c r="B246" s="93">
        <v>245</v>
      </c>
    </row>
    <row r="247" spans="1:2" x14ac:dyDescent="0.3">
      <c r="A247" t="s">
        <v>2405</v>
      </c>
      <c r="B247" s="93">
        <v>246</v>
      </c>
    </row>
    <row r="248" spans="1:2" x14ac:dyDescent="0.3">
      <c r="A248" t="s">
        <v>2411</v>
      </c>
      <c r="B248" s="93">
        <v>247</v>
      </c>
    </row>
    <row r="249" spans="1:2" x14ac:dyDescent="0.3">
      <c r="A249" t="s">
        <v>2417</v>
      </c>
      <c r="B249" s="93">
        <v>248</v>
      </c>
    </row>
    <row r="250" spans="1:2" x14ac:dyDescent="0.3">
      <c r="A250" t="s">
        <v>2422</v>
      </c>
      <c r="B250" s="93">
        <v>249</v>
      </c>
    </row>
    <row r="251" spans="1:2" x14ac:dyDescent="0.3">
      <c r="A251" t="s">
        <v>2428</v>
      </c>
      <c r="B251" s="93">
        <v>250</v>
      </c>
    </row>
    <row r="252" spans="1:2" x14ac:dyDescent="0.3">
      <c r="A252" t="s">
        <v>2433</v>
      </c>
      <c r="B252" s="93">
        <v>251</v>
      </c>
    </row>
    <row r="253" spans="1:2" x14ac:dyDescent="0.3">
      <c r="A253" t="s">
        <v>2439</v>
      </c>
      <c r="B253" s="93">
        <v>252</v>
      </c>
    </row>
    <row r="254" spans="1:2" x14ac:dyDescent="0.3">
      <c r="A254" t="s">
        <v>2664</v>
      </c>
      <c r="B254" s="93">
        <v>253</v>
      </c>
    </row>
    <row r="255" spans="1:2" x14ac:dyDescent="0.3">
      <c r="A255" t="s">
        <v>2680</v>
      </c>
      <c r="B255" s="93">
        <v>254</v>
      </c>
    </row>
    <row r="256" spans="1:2" x14ac:dyDescent="0.3">
      <c r="A256" t="s">
        <v>1196</v>
      </c>
      <c r="B256" s="93">
        <v>255</v>
      </c>
    </row>
    <row r="257" spans="1:2" x14ac:dyDescent="0.3">
      <c r="A257" t="s">
        <v>1053</v>
      </c>
      <c r="B257" s="93">
        <v>256</v>
      </c>
    </row>
    <row r="258" spans="1:2" x14ac:dyDescent="0.3">
      <c r="A258" t="s">
        <v>1506</v>
      </c>
      <c r="B258" s="93">
        <v>257</v>
      </c>
    </row>
    <row r="259" spans="1:2" x14ac:dyDescent="0.3">
      <c r="A259" t="s">
        <v>1550</v>
      </c>
      <c r="B259" s="93">
        <v>258</v>
      </c>
    </row>
    <row r="260" spans="1:2" x14ac:dyDescent="0.3">
      <c r="A260" t="s">
        <v>1723</v>
      </c>
      <c r="B260" s="93">
        <v>259</v>
      </c>
    </row>
    <row r="261" spans="1:2" x14ac:dyDescent="0.3">
      <c r="A261" t="s">
        <v>87</v>
      </c>
      <c r="B261" s="93">
        <v>260</v>
      </c>
    </row>
    <row r="262" spans="1:2" x14ac:dyDescent="0.3">
      <c r="A262" t="s">
        <v>2010</v>
      </c>
      <c r="B262" s="93">
        <v>261</v>
      </c>
    </row>
    <row r="263" spans="1:2" x14ac:dyDescent="0.3">
      <c r="A263" t="s">
        <v>2062</v>
      </c>
      <c r="B263" s="93">
        <v>262</v>
      </c>
    </row>
    <row r="264" spans="1:2" x14ac:dyDescent="0.3">
      <c r="A264" t="s">
        <v>2309</v>
      </c>
      <c r="B264" s="93">
        <v>263</v>
      </c>
    </row>
    <row r="265" spans="1:2" x14ac:dyDescent="0.3">
      <c r="A265" t="s">
        <v>95</v>
      </c>
      <c r="B265" s="93">
        <v>264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Sample</vt:lpstr>
      <vt:lpstr>sitelist</vt:lpstr>
      <vt:lpstr>Modified sitelist</vt:lpstr>
      <vt:lpstr>Sheet1</vt:lpstr>
      <vt:lpstr>Sheet2</vt:lpstr>
      <vt:lpstr>Sheet3</vt:lpstr>
      <vt:lpstr>AllsiteData</vt:lpstr>
      <vt:lpstr>AuditNum</vt:lpstr>
      <vt:lpstr>MainAuditNumber</vt:lpstr>
      <vt:lpstr>'Modified sitelist'!Print_Area</vt:lpstr>
      <vt:lpstr>Sample!Print_Area</vt:lpstr>
      <vt:lpstr>'Modified sitelist'!Print_Titles</vt:lpstr>
      <vt:lpstr>Sample!Print_Titles</vt:lpstr>
      <vt:lpstr>Sitenamesonly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2013-09-09T23:47:14Z</dcterms:created>
  <dcterms:modified xsi:type="dcterms:W3CDTF">2018-02-26T08:11:23Z</dcterms:modified>
</cp:coreProperties>
</file>